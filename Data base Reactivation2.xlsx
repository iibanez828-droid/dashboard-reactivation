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ivanibanez/Desktop/"/>
    </mc:Choice>
  </mc:AlternateContent>
  <xr:revisionPtr revIDLastSave="0" documentId="8_{F059C3DD-383A-584E-99AB-6900F677FC45}" xr6:coauthVersionLast="47" xr6:coauthVersionMax="47" xr10:uidLastSave="{00000000-0000-0000-0000-000000000000}"/>
  <bookViews>
    <workbookView xWindow="0" yWindow="600" windowWidth="30240" windowHeight="18300" activeTab="8" xr2:uid="{E29761E9-FEDD-4E2C-9807-812745E2CEAF}"/>
  </bookViews>
  <sheets>
    <sheet name="Structural" sheetId="1" r:id="rId1"/>
    <sheet name="Rules &amp; Rate" sheetId="5" r:id="rId2"/>
    <sheet name="Labour" sheetId="4" r:id="rId3"/>
    <sheet name="Component $" sheetId="3" r:id="rId4"/>
    <sheet name="Kits" sheetId="2" r:id="rId5"/>
    <sheet name="Cerrejon inventory impact" sheetId="10" r:id="rId6"/>
    <sheet name="Component parts impact" sheetId="11" r:id="rId7"/>
    <sheet name="Inventory total" sheetId="6" r:id="rId8"/>
    <sheet name="Summary Inventory" sheetId="12" r:id="rId9"/>
  </sheets>
  <definedNames>
    <definedName name="_xlnm._FilterDatabase" localSheetId="5" hidden="1">'Cerrejon inventory impact'!$A$1:$AK$167</definedName>
    <definedName name="_xlnm._FilterDatabase" localSheetId="7" hidden="1">'Inventory total'!$A$1:$F$5839</definedName>
    <definedName name="_xlnm._FilterDatabase" localSheetId="4" hidden="1">Kits!$A$1:$I$202</definedName>
    <definedName name="_xlnm._FilterDatabase" localSheetId="0" hidden="1">Structural!$A$1:$CA$31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1" i="12" l="1"/>
  <c r="F202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J11" i="11"/>
  <c r="J4" i="11"/>
  <c r="J15" i="11"/>
  <c r="J16" i="11"/>
  <c r="J50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11" i="11"/>
  <c r="AJ2" i="10"/>
  <c r="AJ3" i="10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29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F5273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2971" i="6"/>
  <c r="F2970" i="6"/>
  <c r="F2969" i="6"/>
  <c r="F2968" i="6"/>
  <c r="F2967" i="6"/>
  <c r="F2966" i="6"/>
  <c r="F2965" i="6"/>
  <c r="F2964" i="6"/>
  <c r="F2963" i="6"/>
  <c r="F2962" i="6"/>
  <c r="F2961" i="6"/>
  <c r="F2960" i="6"/>
  <c r="F2959" i="6"/>
  <c r="F2958" i="6"/>
  <c r="F2957" i="6"/>
  <c r="F2956" i="6"/>
  <c r="F2955" i="6"/>
  <c r="F2954" i="6"/>
  <c r="F2953" i="6"/>
  <c r="F2952" i="6"/>
  <c r="F2951" i="6"/>
  <c r="F2950" i="6"/>
  <c r="F2949" i="6"/>
  <c r="F2948" i="6"/>
  <c r="F2947" i="6"/>
  <c r="F2946" i="6"/>
  <c r="F2945" i="6"/>
  <c r="F2944" i="6"/>
  <c r="F2943" i="6"/>
  <c r="F2942" i="6"/>
  <c r="F2941" i="6"/>
  <c r="F2940" i="6"/>
  <c r="F2939" i="6"/>
  <c r="F2938" i="6"/>
  <c r="F2937" i="6"/>
  <c r="F2936" i="6"/>
  <c r="F2935" i="6"/>
  <c r="F2934" i="6"/>
  <c r="F2933" i="6"/>
  <c r="F2932" i="6"/>
  <c r="F2931" i="6"/>
  <c r="F2930" i="6"/>
  <c r="F2929" i="6"/>
  <c r="F2928" i="6"/>
  <c r="F2927" i="6"/>
  <c r="F2926" i="6"/>
  <c r="F2925" i="6"/>
  <c r="F2924" i="6"/>
  <c r="F2923" i="6"/>
  <c r="F2922" i="6"/>
  <c r="F2921" i="6"/>
  <c r="F2920" i="6"/>
  <c r="F2919" i="6"/>
  <c r="F2918" i="6"/>
  <c r="F2917" i="6"/>
  <c r="F2916" i="6"/>
  <c r="F2915" i="6"/>
  <c r="F2914" i="6"/>
  <c r="F2913" i="6"/>
  <c r="F2912" i="6"/>
  <c r="F2911" i="6"/>
  <c r="F2910" i="6"/>
  <c r="F2909" i="6"/>
  <c r="F2908" i="6"/>
  <c r="F2907" i="6"/>
  <c r="F2906" i="6"/>
  <c r="F2905" i="6"/>
  <c r="F2904" i="6"/>
  <c r="F2903" i="6"/>
  <c r="F2902" i="6"/>
  <c r="F2901" i="6"/>
  <c r="F2900" i="6"/>
  <c r="F2899" i="6"/>
  <c r="F2898" i="6"/>
  <c r="F2897" i="6"/>
  <c r="F2896" i="6"/>
  <c r="F2895" i="6"/>
  <c r="F2894" i="6"/>
  <c r="F2893" i="6"/>
  <c r="F2892" i="6"/>
  <c r="F2891" i="6"/>
  <c r="F2890" i="6"/>
  <c r="F2889" i="6"/>
  <c r="F2888" i="6"/>
  <c r="F2887" i="6"/>
  <c r="F2886" i="6"/>
  <c r="F2885" i="6"/>
  <c r="F2884" i="6"/>
  <c r="F2883" i="6"/>
  <c r="F2882" i="6"/>
  <c r="F2881" i="6"/>
  <c r="F2880" i="6"/>
  <c r="F2879" i="6"/>
  <c r="F2878" i="6"/>
  <c r="F2877" i="6"/>
  <c r="F2876" i="6"/>
  <c r="F2875" i="6"/>
  <c r="F2874" i="6"/>
  <c r="F2873" i="6"/>
  <c r="F2872" i="6"/>
  <c r="F2871" i="6"/>
  <c r="F2870" i="6"/>
  <c r="F2869" i="6"/>
  <c r="F2868" i="6"/>
  <c r="F2867" i="6"/>
  <c r="F2866" i="6"/>
  <c r="F2865" i="6"/>
  <c r="F2864" i="6"/>
  <c r="F2863" i="6"/>
  <c r="F2862" i="6"/>
  <c r="F2861" i="6"/>
  <c r="F2860" i="6"/>
  <c r="F2859" i="6"/>
  <c r="F2858" i="6"/>
  <c r="F2857" i="6"/>
  <c r="F2856" i="6"/>
  <c r="F2855" i="6"/>
  <c r="F2854" i="6"/>
  <c r="F2853" i="6"/>
  <c r="F2852" i="6"/>
  <c r="F2851" i="6"/>
  <c r="F2850" i="6"/>
  <c r="F2849" i="6"/>
  <c r="F2848" i="6"/>
  <c r="F2847" i="6"/>
  <c r="F2846" i="6"/>
  <c r="F2845" i="6"/>
  <c r="F2844" i="6"/>
  <c r="F2843" i="6"/>
  <c r="F2842" i="6"/>
  <c r="F2841" i="6"/>
  <c r="F2840" i="6"/>
  <c r="F2839" i="6"/>
  <c r="F2838" i="6"/>
  <c r="F2837" i="6"/>
  <c r="F2836" i="6"/>
  <c r="F2835" i="6"/>
  <c r="F2834" i="6"/>
  <c r="F2833" i="6"/>
  <c r="F2832" i="6"/>
  <c r="F2831" i="6"/>
  <c r="F2830" i="6"/>
  <c r="F2829" i="6"/>
  <c r="F2828" i="6"/>
  <c r="F2827" i="6"/>
  <c r="F2826" i="6"/>
  <c r="F2825" i="6"/>
  <c r="F2824" i="6"/>
  <c r="F2823" i="6"/>
  <c r="F2822" i="6"/>
  <c r="F2821" i="6"/>
  <c r="F2820" i="6"/>
  <c r="F2819" i="6"/>
  <c r="F2818" i="6"/>
  <c r="F2817" i="6"/>
  <c r="F2816" i="6"/>
  <c r="F2815" i="6"/>
  <c r="F2814" i="6"/>
  <c r="F2813" i="6"/>
  <c r="F2812" i="6"/>
  <c r="F2811" i="6"/>
  <c r="F2810" i="6"/>
  <c r="F2809" i="6"/>
  <c r="F2808" i="6"/>
  <c r="F2807" i="6"/>
  <c r="F2806" i="6"/>
  <c r="F2805" i="6"/>
  <c r="F2804" i="6"/>
  <c r="F2803" i="6"/>
  <c r="F2802" i="6"/>
  <c r="F2801" i="6"/>
  <c r="F2800" i="6"/>
  <c r="F2799" i="6"/>
  <c r="F2798" i="6"/>
  <c r="F2797" i="6"/>
  <c r="F2796" i="6"/>
  <c r="F2795" i="6"/>
  <c r="F2794" i="6"/>
  <c r="F2793" i="6"/>
  <c r="F2792" i="6"/>
  <c r="F2791" i="6"/>
  <c r="F2790" i="6"/>
  <c r="F2789" i="6"/>
  <c r="F2788" i="6"/>
  <c r="F2787" i="6"/>
  <c r="F2786" i="6"/>
  <c r="F2785" i="6"/>
  <c r="F2784" i="6"/>
  <c r="F2783" i="6"/>
  <c r="F2782" i="6"/>
  <c r="F2781" i="6"/>
  <c r="F2780" i="6"/>
  <c r="F2779" i="6"/>
  <c r="F2778" i="6"/>
  <c r="F2777" i="6"/>
  <c r="F2776" i="6"/>
  <c r="F2775" i="6"/>
  <c r="F2774" i="6"/>
  <c r="F2773" i="6"/>
  <c r="F2772" i="6"/>
  <c r="F2771" i="6"/>
  <c r="F2770" i="6"/>
  <c r="F2769" i="6"/>
  <c r="F2768" i="6"/>
  <c r="F2767" i="6"/>
  <c r="F2766" i="6"/>
  <c r="F2765" i="6"/>
  <c r="F2764" i="6"/>
  <c r="F2763" i="6"/>
  <c r="F2762" i="6"/>
  <c r="F2761" i="6"/>
  <c r="F2760" i="6"/>
  <c r="F2759" i="6"/>
  <c r="F2758" i="6"/>
  <c r="F2757" i="6"/>
  <c r="F2756" i="6"/>
  <c r="F2755" i="6"/>
  <c r="F2754" i="6"/>
  <c r="F2753" i="6"/>
  <c r="F2752" i="6"/>
  <c r="F2751" i="6"/>
  <c r="F2750" i="6"/>
  <c r="F2749" i="6"/>
  <c r="F2748" i="6"/>
  <c r="F2747" i="6"/>
  <c r="F2746" i="6"/>
  <c r="F2745" i="6"/>
  <c r="F2744" i="6"/>
  <c r="F2743" i="6"/>
  <c r="F2742" i="6"/>
  <c r="F2741" i="6"/>
  <c r="F2740" i="6"/>
  <c r="F2739" i="6"/>
  <c r="F2738" i="6"/>
  <c r="F2737" i="6"/>
  <c r="F2736" i="6"/>
  <c r="F2735" i="6"/>
  <c r="F2734" i="6"/>
  <c r="F2733" i="6"/>
  <c r="F2732" i="6"/>
  <c r="F2731" i="6"/>
  <c r="F2730" i="6"/>
  <c r="F2729" i="6"/>
  <c r="F2728" i="6"/>
  <c r="F2727" i="6"/>
  <c r="F2726" i="6"/>
  <c r="F2725" i="6"/>
  <c r="F2724" i="6"/>
  <c r="F2723" i="6"/>
  <c r="F2722" i="6"/>
  <c r="F2721" i="6"/>
  <c r="F2720" i="6"/>
  <c r="F2719" i="6"/>
  <c r="F2718" i="6"/>
  <c r="F2717" i="6"/>
  <c r="F2716" i="6"/>
  <c r="F2715" i="6"/>
  <c r="F2714" i="6"/>
  <c r="F2713" i="6"/>
  <c r="F2712" i="6"/>
  <c r="F2711" i="6"/>
  <c r="F2710" i="6"/>
  <c r="F2709" i="6"/>
  <c r="F2708" i="6"/>
  <c r="F2707" i="6"/>
  <c r="F2706" i="6"/>
  <c r="F2705" i="6"/>
  <c r="F2704" i="6"/>
  <c r="F2703" i="6"/>
  <c r="F2702" i="6"/>
  <c r="F2701" i="6"/>
  <c r="F2700" i="6"/>
  <c r="F2699" i="6"/>
  <c r="F2698" i="6"/>
  <c r="F2697" i="6"/>
  <c r="F2696" i="6"/>
  <c r="F2695" i="6"/>
  <c r="F2694" i="6"/>
  <c r="F2693" i="6"/>
  <c r="F2692" i="6"/>
  <c r="F2691" i="6"/>
  <c r="F2690" i="6"/>
  <c r="F2689" i="6"/>
  <c r="F2688" i="6"/>
  <c r="F2687" i="6"/>
  <c r="F2686" i="6"/>
  <c r="F2685" i="6"/>
  <c r="F2684" i="6"/>
  <c r="F2683" i="6"/>
  <c r="F2682" i="6"/>
  <c r="F2681" i="6"/>
  <c r="F2680" i="6"/>
  <c r="F2679" i="6"/>
  <c r="F2678" i="6"/>
  <c r="F2677" i="6"/>
  <c r="F2676" i="6"/>
  <c r="F2675" i="6"/>
  <c r="F2674" i="6"/>
  <c r="F2673" i="6"/>
  <c r="F2672" i="6"/>
  <c r="F2671" i="6"/>
  <c r="F2670" i="6"/>
  <c r="F2669" i="6"/>
  <c r="F2668" i="6"/>
  <c r="F2667" i="6"/>
  <c r="F2666" i="6"/>
  <c r="F2665" i="6"/>
  <c r="F2664" i="6"/>
  <c r="F2663" i="6"/>
  <c r="F2662" i="6"/>
  <c r="F2661" i="6"/>
  <c r="F2660" i="6"/>
  <c r="F2659" i="6"/>
  <c r="F2658" i="6"/>
  <c r="F2657" i="6"/>
  <c r="F2656" i="6"/>
  <c r="F2655" i="6"/>
  <c r="F2654" i="6"/>
  <c r="F2653" i="6"/>
  <c r="F2652" i="6"/>
  <c r="F2651" i="6"/>
  <c r="F2650" i="6"/>
  <c r="F2649" i="6"/>
  <c r="F2648" i="6"/>
  <c r="F2647" i="6"/>
  <c r="F2646" i="6"/>
  <c r="F2645" i="6"/>
  <c r="F2644" i="6"/>
  <c r="F2643" i="6"/>
  <c r="F2642" i="6"/>
  <c r="F2641" i="6"/>
  <c r="F2640" i="6"/>
  <c r="F2639" i="6"/>
  <c r="F2638" i="6"/>
  <c r="F2637" i="6"/>
  <c r="F2636" i="6"/>
  <c r="F2635" i="6"/>
  <c r="F2634" i="6"/>
  <c r="F2633" i="6"/>
  <c r="F2632" i="6"/>
  <c r="F2631" i="6"/>
  <c r="F2630" i="6"/>
  <c r="F2629" i="6"/>
  <c r="F2628" i="6"/>
  <c r="F2627" i="6"/>
  <c r="F2626" i="6"/>
  <c r="F2625" i="6"/>
  <c r="F2624" i="6"/>
  <c r="F2623" i="6"/>
  <c r="F2622" i="6"/>
  <c r="F2621" i="6"/>
  <c r="F2620" i="6"/>
  <c r="F2619" i="6"/>
  <c r="F2618" i="6"/>
  <c r="F2617" i="6"/>
  <c r="F2616" i="6"/>
  <c r="F2615" i="6"/>
  <c r="F2614" i="6"/>
  <c r="F2613" i="6"/>
  <c r="F2612" i="6"/>
  <c r="F2611" i="6"/>
  <c r="F2610" i="6"/>
  <c r="F2609" i="6"/>
  <c r="F2608" i="6"/>
  <c r="F2607" i="6"/>
  <c r="F2606" i="6"/>
  <c r="F2605" i="6"/>
  <c r="F2604" i="6"/>
  <c r="F2603" i="6"/>
  <c r="F2602" i="6"/>
  <c r="F2601" i="6"/>
  <c r="F2600" i="6"/>
  <c r="F2599" i="6"/>
  <c r="F2598" i="6"/>
  <c r="F2597" i="6"/>
  <c r="F2596" i="6"/>
  <c r="F2595" i="6"/>
  <c r="F2594" i="6"/>
  <c r="F2593" i="6"/>
  <c r="F2592" i="6"/>
  <c r="F2591" i="6"/>
  <c r="F2590" i="6"/>
  <c r="F2589" i="6"/>
  <c r="F2588" i="6"/>
  <c r="F2587" i="6"/>
  <c r="F2586" i="6"/>
  <c r="F2585" i="6"/>
  <c r="F2584" i="6"/>
  <c r="F2583" i="6"/>
  <c r="F2582" i="6"/>
  <c r="F2581" i="6"/>
  <c r="F2580" i="6"/>
  <c r="F2579" i="6"/>
  <c r="F2578" i="6"/>
  <c r="F2577" i="6"/>
  <c r="F2576" i="6"/>
  <c r="F2575" i="6"/>
  <c r="F2574" i="6"/>
  <c r="F2573" i="6"/>
  <c r="F2572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127" i="6"/>
  <c r="F2126" i="6"/>
  <c r="F2125" i="6"/>
  <c r="F2124" i="6"/>
  <c r="F2123" i="6"/>
  <c r="F2122" i="6"/>
  <c r="F2121" i="6"/>
  <c r="F2120" i="6"/>
  <c r="F2119" i="6"/>
  <c r="F2118" i="6"/>
  <c r="F2117" i="6"/>
  <c r="F2116" i="6"/>
  <c r="F2115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91" i="6"/>
  <c r="F2090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" i="6"/>
  <c r="I202" i="2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2" i="1"/>
  <c r="BF2" i="1"/>
  <c r="BG2" i="1"/>
  <c r="BH2" i="1"/>
  <c r="BI2" i="1"/>
  <c r="BJ2" i="1"/>
  <c r="BK2" i="1"/>
  <c r="BL2" i="1"/>
  <c r="BM2" i="1"/>
  <c r="BN2" i="1"/>
  <c r="BO2" i="1"/>
  <c r="BP2" i="1"/>
  <c r="BQ2" i="1"/>
  <c r="BV2" i="1"/>
  <c r="BF3" i="1"/>
  <c r="BG3" i="1"/>
  <c r="BH3" i="1"/>
  <c r="BI3" i="1"/>
  <c r="BJ3" i="1"/>
  <c r="BK3" i="1"/>
  <c r="BL3" i="1"/>
  <c r="BM3" i="1"/>
  <c r="BN3" i="1"/>
  <c r="BO3" i="1"/>
  <c r="BP3" i="1"/>
  <c r="BQ3" i="1"/>
  <c r="BV3" i="1"/>
  <c r="BF4" i="1"/>
  <c r="BG4" i="1"/>
  <c r="BH4" i="1"/>
  <c r="BI4" i="1"/>
  <c r="BJ4" i="1"/>
  <c r="BK4" i="1"/>
  <c r="BL4" i="1"/>
  <c r="BM4" i="1"/>
  <c r="BN4" i="1"/>
  <c r="BO4" i="1"/>
  <c r="BP4" i="1"/>
  <c r="BQ4" i="1"/>
  <c r="BV4" i="1"/>
  <c r="BF5" i="1"/>
  <c r="BG5" i="1"/>
  <c r="BH5" i="1"/>
  <c r="BI5" i="1"/>
  <c r="BJ5" i="1"/>
  <c r="BK5" i="1"/>
  <c r="BL5" i="1"/>
  <c r="BM5" i="1"/>
  <c r="BN5" i="1"/>
  <c r="BO5" i="1"/>
  <c r="BP5" i="1"/>
  <c r="BQ5" i="1"/>
  <c r="BV5" i="1"/>
  <c r="BF6" i="1"/>
  <c r="BG6" i="1"/>
  <c r="BH6" i="1"/>
  <c r="BI6" i="1"/>
  <c r="BJ6" i="1"/>
  <c r="BK6" i="1"/>
  <c r="BL6" i="1"/>
  <c r="BM6" i="1"/>
  <c r="BN6" i="1"/>
  <c r="BO6" i="1"/>
  <c r="BP6" i="1"/>
  <c r="BQ6" i="1"/>
  <c r="BV6" i="1"/>
  <c r="BF7" i="1"/>
  <c r="BG7" i="1"/>
  <c r="BH7" i="1"/>
  <c r="BI7" i="1"/>
  <c r="BJ7" i="1"/>
  <c r="BK7" i="1"/>
  <c r="BL7" i="1"/>
  <c r="BM7" i="1"/>
  <c r="BN7" i="1"/>
  <c r="BO7" i="1"/>
  <c r="BP7" i="1"/>
  <c r="BQ7" i="1"/>
  <c r="BV7" i="1"/>
  <c r="BF8" i="1"/>
  <c r="BG8" i="1"/>
  <c r="BH8" i="1"/>
  <c r="BI8" i="1"/>
  <c r="BJ8" i="1"/>
  <c r="BK8" i="1"/>
  <c r="BL8" i="1"/>
  <c r="BM8" i="1"/>
  <c r="BN8" i="1"/>
  <c r="BO8" i="1"/>
  <c r="BP8" i="1"/>
  <c r="BQ8" i="1"/>
  <c r="BV8" i="1"/>
  <c r="BF9" i="1"/>
  <c r="BG9" i="1"/>
  <c r="BH9" i="1"/>
  <c r="BI9" i="1"/>
  <c r="BJ9" i="1"/>
  <c r="BK9" i="1"/>
  <c r="BL9" i="1"/>
  <c r="BM9" i="1"/>
  <c r="BN9" i="1"/>
  <c r="BO9" i="1"/>
  <c r="BP9" i="1"/>
  <c r="BQ9" i="1"/>
  <c r="BV9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V10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V11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V12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V13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V14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V15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V16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V17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V18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V19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V20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V21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V22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V23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V24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V25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V26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V27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V28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V29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V30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V31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2" i="1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B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B9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2" i="1"/>
  <c r="BX5" i="1"/>
  <c r="BX6" i="1"/>
  <c r="BZ6" i="1" s="1"/>
  <c r="BX7" i="1"/>
  <c r="BZ7" i="1" s="1"/>
  <c r="BX8" i="1"/>
  <c r="BZ8" i="1" s="1"/>
  <c r="BX9" i="1"/>
  <c r="BX10" i="1"/>
  <c r="BZ10" i="1" s="1"/>
  <c r="BX11" i="1"/>
  <c r="BX12" i="1"/>
  <c r="BZ12" i="1" s="1"/>
  <c r="BX13" i="1"/>
  <c r="BZ13" i="1" s="1"/>
  <c r="BX14" i="1"/>
  <c r="BZ14" i="1" s="1"/>
  <c r="BX15" i="1"/>
  <c r="BZ15" i="1" s="1"/>
  <c r="BX16" i="1"/>
  <c r="BZ16" i="1" s="1"/>
  <c r="BX17" i="1"/>
  <c r="BZ17" i="1" s="1"/>
  <c r="BX18" i="1"/>
  <c r="BZ18" i="1" s="1"/>
  <c r="BX19" i="1"/>
  <c r="BZ19" i="1" s="1"/>
  <c r="BX20" i="1"/>
  <c r="BZ20" i="1" s="1"/>
  <c r="BX21" i="1"/>
  <c r="BZ21" i="1" s="1"/>
  <c r="BX22" i="1"/>
  <c r="BZ22" i="1" s="1"/>
  <c r="BX23" i="1"/>
  <c r="BZ23" i="1" s="1"/>
  <c r="BX24" i="1"/>
  <c r="BZ24" i="1" s="1"/>
  <c r="BX25" i="1"/>
  <c r="BX26" i="1"/>
  <c r="BZ26" i="1" s="1"/>
  <c r="BX27" i="1"/>
  <c r="BZ27" i="1" s="1"/>
  <c r="BX28" i="1"/>
  <c r="BX29" i="1"/>
  <c r="BX30" i="1"/>
  <c r="BZ30" i="1" s="1"/>
  <c r="BX31" i="1"/>
  <c r="BX4" i="1"/>
  <c r="BX3" i="1"/>
  <c r="BX2" i="1"/>
  <c r="BZ2" i="1"/>
  <c r="BZ3" i="1"/>
  <c r="BZ4" i="1"/>
  <c r="BZ5" i="1"/>
  <c r="BZ31" i="1"/>
  <c r="AJ16" i="10" l="1"/>
  <c r="AJ20" i="10"/>
  <c r="AJ22" i="10"/>
  <c r="AJ24" i="10"/>
  <c r="AJ26" i="10"/>
  <c r="AJ28" i="10"/>
  <c r="AJ31" i="10"/>
  <c r="AJ33" i="10"/>
  <c r="AJ37" i="10"/>
  <c r="AJ40" i="10"/>
  <c r="AJ41" i="10"/>
  <c r="AJ45" i="10"/>
  <c r="AJ48" i="10"/>
  <c r="AJ57" i="10"/>
  <c r="AJ61" i="10"/>
  <c r="AJ65" i="10"/>
  <c r="AJ69" i="10"/>
  <c r="AJ70" i="10"/>
  <c r="AJ77" i="10"/>
  <c r="AJ80" i="10"/>
  <c r="AJ84" i="10"/>
  <c r="AJ87" i="10"/>
  <c r="AJ90" i="10"/>
  <c r="AJ97" i="10"/>
  <c r="AJ100" i="10"/>
  <c r="AJ101" i="10"/>
  <c r="AJ108" i="10"/>
  <c r="AJ110" i="10"/>
  <c r="AJ113" i="10"/>
  <c r="AJ117" i="10"/>
  <c r="AJ118" i="10"/>
  <c r="AJ122" i="10"/>
  <c r="AJ127" i="10"/>
  <c r="AJ128" i="10"/>
  <c r="AJ132" i="10"/>
  <c r="AJ134" i="10"/>
  <c r="AJ141" i="10"/>
  <c r="AJ147" i="10"/>
  <c r="AJ150" i="10"/>
  <c r="AJ152" i="10"/>
  <c r="AJ153" i="10"/>
  <c r="AJ155" i="10"/>
  <c r="AJ158" i="10"/>
  <c r="AJ160" i="10"/>
  <c r="AJ163" i="10"/>
  <c r="AJ17" i="10"/>
  <c r="AJ21" i="10"/>
  <c r="AJ25" i="10"/>
  <c r="AJ35" i="10"/>
  <c r="AJ38" i="10"/>
  <c r="AJ42" i="10"/>
  <c r="AJ52" i="10"/>
  <c r="AJ55" i="10"/>
  <c r="AJ58" i="10"/>
  <c r="AJ62" i="10"/>
  <c r="AJ66" i="10"/>
  <c r="AJ72" i="10"/>
  <c r="AJ75" i="10"/>
  <c r="AJ78" i="10"/>
  <c r="AJ83" i="10"/>
  <c r="AJ88" i="10"/>
  <c r="AJ89" i="10"/>
  <c r="AJ92" i="10"/>
  <c r="AJ94" i="10"/>
  <c r="AJ98" i="10"/>
  <c r="AJ102" i="10"/>
  <c r="AJ105" i="10"/>
  <c r="AJ107" i="10"/>
  <c r="AJ111" i="10"/>
  <c r="AJ114" i="10"/>
  <c r="AJ116" i="10"/>
  <c r="AJ119" i="10"/>
  <c r="AJ121" i="10"/>
  <c r="AJ125" i="10"/>
  <c r="AJ131" i="10"/>
  <c r="AJ136" i="10"/>
  <c r="AJ139" i="10"/>
  <c r="AJ143" i="10"/>
  <c r="AJ144" i="10"/>
  <c r="AJ146" i="10"/>
  <c r="AJ149" i="10"/>
  <c r="AJ159" i="10"/>
  <c r="AJ161" i="10"/>
  <c r="AJ166" i="10"/>
  <c r="AJ19" i="10"/>
  <c r="AJ32" i="10"/>
  <c r="AJ36" i="10"/>
  <c r="AJ43" i="10"/>
  <c r="AJ46" i="10"/>
  <c r="AJ51" i="10"/>
  <c r="AJ53" i="10"/>
  <c r="AJ54" i="10"/>
  <c r="AJ60" i="10"/>
  <c r="AJ64" i="10"/>
  <c r="AJ67" i="10"/>
  <c r="AJ73" i="10"/>
  <c r="AJ79" i="10"/>
  <c r="AJ82" i="10"/>
  <c r="AJ85" i="10"/>
  <c r="AJ93" i="10"/>
  <c r="AJ96" i="10"/>
  <c r="AJ103" i="10"/>
  <c r="AJ109" i="10"/>
  <c r="AJ112" i="10"/>
  <c r="AJ115" i="10"/>
  <c r="AJ120" i="10"/>
  <c r="AJ124" i="10"/>
  <c r="AJ126" i="10"/>
  <c r="AJ129" i="10"/>
  <c r="AJ133" i="10"/>
  <c r="AJ138" i="10"/>
  <c r="AJ142" i="10"/>
  <c r="AJ148" i="10"/>
  <c r="AJ154" i="10"/>
  <c r="AJ157" i="10"/>
  <c r="AJ162" i="10"/>
  <c r="AJ167" i="10"/>
  <c r="AJ18" i="10"/>
  <c r="AJ23" i="10"/>
  <c r="AJ27" i="10"/>
  <c r="AJ30" i="10"/>
  <c r="AJ34" i="10"/>
  <c r="AJ39" i="10"/>
  <c r="AJ44" i="10"/>
  <c r="AJ47" i="10"/>
  <c r="AJ49" i="10"/>
  <c r="AJ50" i="10"/>
  <c r="AJ56" i="10"/>
  <c r="AJ59" i="10"/>
  <c r="AJ63" i="10"/>
  <c r="AJ68" i="10"/>
  <c r="AJ71" i="10"/>
  <c r="AJ74" i="10"/>
  <c r="AJ76" i="10"/>
  <c r="AJ81" i="10"/>
  <c r="AJ86" i="10"/>
  <c r="AJ91" i="10"/>
  <c r="AJ95" i="10"/>
  <c r="AJ99" i="10"/>
  <c r="AJ104" i="10"/>
  <c r="AJ106" i="10"/>
  <c r="AJ123" i="10"/>
  <c r="AJ130" i="10"/>
  <c r="AJ135" i="10"/>
  <c r="AJ137" i="10"/>
  <c r="AJ140" i="10"/>
  <c r="AJ145" i="10"/>
  <c r="AJ151" i="10"/>
  <c r="AJ156" i="10"/>
  <c r="AJ164" i="10"/>
  <c r="AJ165" i="10"/>
  <c r="BZ9" i="1"/>
  <c r="BZ11" i="1"/>
  <c r="BZ25" i="1"/>
  <c r="BZ28" i="1"/>
  <c r="BZ29" i="1"/>
  <c r="CD22" i="1"/>
  <c r="CD4" i="1"/>
  <c r="CD5" i="1"/>
  <c r="CD3" i="1"/>
  <c r="CD19" i="1"/>
  <c r="CE18" i="1"/>
  <c r="CD26" i="1"/>
  <c r="CD6" i="1"/>
  <c r="CD21" i="1"/>
  <c r="CD8" i="1"/>
  <c r="CE9" i="1"/>
  <c r="CD11" i="1"/>
  <c r="CD2" i="1"/>
  <c r="CE17" i="1"/>
  <c r="CE20" i="1"/>
  <c r="CE10" i="1"/>
  <c r="CE16" i="1"/>
  <c r="CE15" i="1"/>
  <c r="CD29" i="1"/>
  <c r="CD25" i="1"/>
  <c r="CD23" i="1"/>
  <c r="CE22" i="1"/>
  <c r="CD7" i="1"/>
  <c r="CE14" i="1"/>
  <c r="CE28" i="1"/>
  <c r="CD27" i="1"/>
  <c r="CE11" i="1"/>
  <c r="CD10" i="1"/>
  <c r="CE13" i="1"/>
  <c r="CC6" i="1"/>
  <c r="CE2" i="1"/>
  <c r="CD31" i="1"/>
  <c r="CD30" i="1"/>
  <c r="CD12" i="1"/>
  <c r="CD9" i="1"/>
  <c r="CD24" i="1"/>
  <c r="CE30" i="1"/>
  <c r="CE31" i="1"/>
  <c r="CE12" i="1"/>
  <c r="CD28" i="1"/>
  <c r="CE29" i="1"/>
  <c r="CD20" i="1"/>
  <c r="CD18" i="1"/>
  <c r="CE8" i="1"/>
  <c r="CD17" i="1"/>
  <c r="CE27" i="1"/>
  <c r="CE7" i="1"/>
  <c r="CD16" i="1"/>
  <c r="CE26" i="1"/>
  <c r="CE6" i="1"/>
  <c r="CD15" i="1"/>
  <c r="CE25" i="1"/>
  <c r="CE5" i="1"/>
  <c r="CD14" i="1"/>
  <c r="CE24" i="1"/>
  <c r="CE4" i="1"/>
  <c r="CD13" i="1"/>
  <c r="CE23" i="1"/>
  <c r="CE3" i="1"/>
  <c r="CE21" i="1"/>
  <c r="CE19" i="1"/>
  <c r="CC17" i="1"/>
  <c r="CC16" i="1"/>
  <c r="CC14" i="1"/>
  <c r="CC13" i="1"/>
  <c r="CC18" i="1"/>
  <c r="CC24" i="1"/>
  <c r="CC25" i="1"/>
  <c r="CC5" i="1"/>
  <c r="CC4" i="1"/>
  <c r="CC23" i="1"/>
  <c r="CC3" i="1"/>
  <c r="CB3" i="1"/>
  <c r="CF3" i="1" s="1"/>
  <c r="CC22" i="1"/>
  <c r="CC21" i="1"/>
  <c r="CC20" i="1"/>
  <c r="CC19" i="1"/>
  <c r="CC15" i="1"/>
  <c r="CB16" i="1"/>
  <c r="CF16" i="1" s="1"/>
  <c r="CC2" i="1"/>
  <c r="CC31" i="1"/>
  <c r="CC30" i="1"/>
  <c r="CC10" i="1"/>
  <c r="CC12" i="1"/>
  <c r="CC11" i="1"/>
  <c r="CC29" i="1"/>
  <c r="CC9" i="1"/>
  <c r="CC28" i="1"/>
  <c r="CC8" i="1"/>
  <c r="CC27" i="1"/>
  <c r="CC7" i="1"/>
  <c r="CC26" i="1"/>
  <c r="CB20" i="1"/>
  <c r="CF20" i="1" s="1"/>
  <c r="CB19" i="1"/>
  <c r="CF19" i="1" s="1"/>
  <c r="CB2" i="1"/>
  <c r="CF2" i="1" s="1"/>
  <c r="CB12" i="1"/>
  <c r="CF12" i="1" s="1"/>
  <c r="CB22" i="1"/>
  <c r="CF22" i="1" s="1"/>
  <c r="CB13" i="1"/>
  <c r="CF13" i="1" s="1"/>
  <c r="CB31" i="1"/>
  <c r="CF31" i="1" s="1"/>
  <c r="CB11" i="1"/>
  <c r="CF11" i="1" s="1"/>
  <c r="CB30" i="1"/>
  <c r="CF30" i="1" s="1"/>
  <c r="CB10" i="1"/>
  <c r="CF10" i="1" s="1"/>
  <c r="CB21" i="1"/>
  <c r="CF21" i="1" s="1"/>
  <c r="CB29" i="1"/>
  <c r="CF29" i="1" s="1"/>
  <c r="CB9" i="1"/>
  <c r="CF9" i="1" s="1"/>
  <c r="CB28" i="1"/>
  <c r="CF28" i="1" s="1"/>
  <c r="CB8" i="1"/>
  <c r="CF8" i="1" s="1"/>
  <c r="CB27" i="1"/>
  <c r="CF27" i="1" s="1"/>
  <c r="CB7" i="1"/>
  <c r="CF7" i="1" s="1"/>
  <c r="CB6" i="1"/>
  <c r="CF6" i="1" s="1"/>
  <c r="CB15" i="1"/>
  <c r="CF15" i="1" s="1"/>
  <c r="CB14" i="1"/>
  <c r="CF14" i="1" s="1"/>
  <c r="CB25" i="1"/>
  <c r="CF25" i="1" s="1"/>
  <c r="CB5" i="1"/>
  <c r="CF5" i="1" s="1"/>
  <c r="CB18" i="1"/>
  <c r="CF18" i="1" s="1"/>
  <c r="CB17" i="1"/>
  <c r="CF17" i="1" s="1"/>
  <c r="CB26" i="1"/>
  <c r="CF26" i="1" s="1"/>
  <c r="CB24" i="1"/>
  <c r="CF24" i="1" s="1"/>
  <c r="CB4" i="1"/>
  <c r="CF4" i="1" s="1"/>
  <c r="CB23" i="1"/>
  <c r="CF23" i="1" s="1"/>
</calcChain>
</file>

<file path=xl/sharedStrings.xml><?xml version="1.0" encoding="utf-8"?>
<sst xmlns="http://schemas.openxmlformats.org/spreadsheetml/2006/main" count="13957" uniqueCount="570">
  <si>
    <t>DT</t>
  </si>
  <si>
    <t>High Arch Severity</t>
  </si>
  <si>
    <t>Nose Cone Severity</t>
  </si>
  <si>
    <t>Inside Web Plates Severity</t>
  </si>
  <si>
    <t>Hoist Plates Severity</t>
  </si>
  <si>
    <t>Top &amp; Bottom flange Severity</t>
  </si>
  <si>
    <t>HTM Severity</t>
  </si>
  <si>
    <t>Crack Length Criteria</t>
  </si>
  <si>
    <t>Weighted criteria</t>
  </si>
  <si>
    <t>Total Lenghts cracks (mm)</t>
  </si>
  <si>
    <t>Accum front brake</t>
  </si>
  <si>
    <t>Accum rear brake</t>
  </si>
  <si>
    <t>Accum steer right</t>
  </si>
  <si>
    <t>Accum steer left</t>
  </si>
  <si>
    <t>Alternator</t>
  </si>
  <si>
    <t>Operator Cab</t>
  </si>
  <si>
    <t>Frame</t>
  </si>
  <si>
    <t>Hoist cylinder right</t>
  </si>
  <si>
    <t>Hoist cylinder left</t>
  </si>
  <si>
    <t>Steer cylinder right</t>
  </si>
  <si>
    <t>Steer cylinder left</t>
  </si>
  <si>
    <t>Final Drive right</t>
  </si>
  <si>
    <t>Final Drive left</t>
  </si>
  <si>
    <t>Engine</t>
  </si>
  <si>
    <t>Eletrical motor right</t>
  </si>
  <si>
    <t>Eletrical motor left</t>
  </si>
  <si>
    <t>Spindle right</t>
  </si>
  <si>
    <t>Spindle left</t>
  </si>
  <si>
    <t>Front strut right</t>
  </si>
  <si>
    <t>Rear strtus right</t>
  </si>
  <si>
    <t>Front strut left</t>
  </si>
  <si>
    <t>Rear strut right</t>
  </si>
  <si>
    <t>Body</t>
  </si>
  <si>
    <t>Kits 1 A/C System</t>
  </si>
  <si>
    <t>Kit 2 Lube system</t>
  </si>
  <si>
    <t>Kit 3 Hydraulic filters &amp; seal kits</t>
  </si>
  <si>
    <t>Kit 4 Operator Cab Monuting</t>
  </si>
  <si>
    <t xml:space="preserve">Kit 5 Drive system </t>
  </si>
  <si>
    <t>Kit 6 Drive system elfa fan blower</t>
  </si>
  <si>
    <t>Kit 7 Drive system braking resistor</t>
  </si>
  <si>
    <t>Kit 8 Body Mounting &amp; Pads</t>
  </si>
  <si>
    <t>Kit 9 Accum steer &amp; Brake</t>
  </si>
  <si>
    <t>Kit 10 Brake Valve &amp; Cooler mounting</t>
  </si>
  <si>
    <t>Kit 11 Front axle &amp; MTG</t>
  </si>
  <si>
    <t>Kit 12 Frame Bottom plate optimized</t>
  </si>
  <si>
    <t>Kit 13 Frame upper plate optimized</t>
  </si>
  <si>
    <t>Kit 14 Frame left side optimized</t>
  </si>
  <si>
    <t xml:space="preserve">Kit 15 Frame right  side optimized </t>
  </si>
  <si>
    <t>Kit 16 Hoist plate reinforment optmized</t>
  </si>
  <si>
    <t>Kit 17 Filtration drive system optmized</t>
  </si>
  <si>
    <t>Kit 18 Engine &amp; Hardware</t>
  </si>
  <si>
    <t xml:space="preserve">Kit 19 Mirror bracket support </t>
  </si>
  <si>
    <t>Kit 20 Fuel tank Bracket support</t>
  </si>
  <si>
    <t>Hours</t>
  </si>
  <si>
    <t>System</t>
  </si>
  <si>
    <t>PN</t>
  </si>
  <si>
    <t>Description</t>
  </si>
  <si>
    <t>QTY</t>
  </si>
  <si>
    <t>CHM Dealer price</t>
  </si>
  <si>
    <t>Bench Labour hours</t>
  </si>
  <si>
    <t>Total price</t>
  </si>
  <si>
    <t>AIR CONDITIONER COMPRESSOR</t>
  </si>
  <si>
    <t>E13811534</t>
  </si>
  <si>
    <t>Locknut, m12 x1.75 yel</t>
  </si>
  <si>
    <t>E12628761</t>
  </si>
  <si>
    <t>Compressor,high outpt 1</t>
  </si>
  <si>
    <t>AIR CONDITIONER UNIT</t>
  </si>
  <si>
    <t>E12981645</t>
  </si>
  <si>
    <t>Receiver drier</t>
  </si>
  <si>
    <t>AIR CONDITIONER CONDENSER</t>
  </si>
  <si>
    <t>E12643308</t>
  </si>
  <si>
    <t>A/c condenser</t>
  </si>
  <si>
    <t>AIR CONDITIONER LINES</t>
  </si>
  <si>
    <t>E13803040</t>
  </si>
  <si>
    <t>Clamp</t>
  </si>
  <si>
    <t>E13807441</t>
  </si>
  <si>
    <t>Lock nut</t>
  </si>
  <si>
    <t>E13813399</t>
  </si>
  <si>
    <t>E13811467</t>
  </si>
  <si>
    <t>E13813400</t>
  </si>
  <si>
    <t>E13813373</t>
  </si>
  <si>
    <t>E13803044</t>
  </si>
  <si>
    <t>E12646913</t>
  </si>
  <si>
    <t>Kit-drain hose</t>
  </si>
  <si>
    <t>E12650120</t>
  </si>
  <si>
    <t>Hose assy</t>
  </si>
  <si>
    <t>E12650122</t>
  </si>
  <si>
    <t>E12662364</t>
  </si>
  <si>
    <t>Hose assembly</t>
  </si>
  <si>
    <t>E12650118</t>
  </si>
  <si>
    <t>E12662365</t>
  </si>
  <si>
    <t>AIR CONDITIONER PARTS</t>
  </si>
  <si>
    <t>E12635857</t>
  </si>
  <si>
    <t>V-belt</t>
  </si>
  <si>
    <t>E12642566</t>
  </si>
  <si>
    <t xml:space="preserve">AC Display </t>
  </si>
  <si>
    <t>Lube System</t>
  </si>
  <si>
    <t>E4007022</t>
  </si>
  <si>
    <t xml:space="preserve">Injector </t>
  </si>
  <si>
    <t>E12660586</t>
  </si>
  <si>
    <t>Injector</t>
  </si>
  <si>
    <t>E12977367</t>
  </si>
  <si>
    <t xml:space="preserve">Vent Valve </t>
  </si>
  <si>
    <t>E4058129</t>
  </si>
  <si>
    <t>Valve</t>
  </si>
  <si>
    <t>E12979473</t>
  </si>
  <si>
    <t>Kit seal pump</t>
  </si>
  <si>
    <t>E12979471</t>
  </si>
  <si>
    <t xml:space="preserve">Kit seal hyd valve lube pump </t>
  </si>
  <si>
    <t>FILTER</t>
  </si>
  <si>
    <t>E12978122</t>
  </si>
  <si>
    <t>Kit, seal</t>
  </si>
  <si>
    <t>E12699796</t>
  </si>
  <si>
    <t>Element, filter</t>
  </si>
  <si>
    <t>FILTER, STEER</t>
  </si>
  <si>
    <t>CAB MOUNTING</t>
  </si>
  <si>
    <t>E13811433</t>
  </si>
  <si>
    <t>Washer</t>
  </si>
  <si>
    <t>E13811075</t>
  </si>
  <si>
    <t>Screw</t>
  </si>
  <si>
    <t>E13806880</t>
  </si>
  <si>
    <t>E12588822</t>
  </si>
  <si>
    <t>E13804131</t>
  </si>
  <si>
    <t>E12598553</t>
  </si>
  <si>
    <t>E12596345</t>
  </si>
  <si>
    <t>E12587786</t>
  </si>
  <si>
    <t>E12588558</t>
  </si>
  <si>
    <t>Mount, cab</t>
  </si>
  <si>
    <t>Display</t>
  </si>
  <si>
    <t>E12696031</t>
  </si>
  <si>
    <t xml:space="preserve">Display Main cab </t>
  </si>
  <si>
    <t>Switchs box</t>
  </si>
  <si>
    <t>4656354</t>
  </si>
  <si>
    <t>Switch box display</t>
  </si>
  <si>
    <t>Drive system</t>
  </si>
  <si>
    <t>E12670401</t>
  </si>
  <si>
    <t xml:space="preserve">Antifrogen </t>
  </si>
  <si>
    <t>E12984823</t>
  </si>
  <si>
    <t>Kit Contactor K109</t>
  </si>
  <si>
    <t>E15002376</t>
  </si>
  <si>
    <t>Kit Overhaul elfa motor</t>
  </si>
  <si>
    <t xml:space="preserve">Kit 7 Drive system </t>
  </si>
  <si>
    <t>E12984906</t>
  </si>
  <si>
    <t>Fan blower IGBT</t>
  </si>
  <si>
    <t>E12984907</t>
  </si>
  <si>
    <t xml:space="preserve">Fan cover </t>
  </si>
  <si>
    <t>E12652952</t>
  </si>
  <si>
    <t>Braking resistor</t>
  </si>
  <si>
    <t>BODY MOUNTING</t>
  </si>
  <si>
    <t>E13800408</t>
  </si>
  <si>
    <t>Cotter pin</t>
  </si>
  <si>
    <t>E427648</t>
  </si>
  <si>
    <t>Nut</t>
  </si>
  <si>
    <t>E13811076</t>
  </si>
  <si>
    <t>E13811459</t>
  </si>
  <si>
    <t>E12595558</t>
  </si>
  <si>
    <t>Shim 0.06 in</t>
  </si>
  <si>
    <t>E12595559</t>
  </si>
  <si>
    <t>Shim 0.12 in</t>
  </si>
  <si>
    <t>E13806878</t>
  </si>
  <si>
    <t>E4028042</t>
  </si>
  <si>
    <t>Ring</t>
  </si>
  <si>
    <t>E12595560</t>
  </si>
  <si>
    <t>Shim 0.25 in</t>
  </si>
  <si>
    <t>E12650107</t>
  </si>
  <si>
    <t>Shim,6.4 [.25]</t>
  </si>
  <si>
    <t>E13811193</t>
  </si>
  <si>
    <t>E12672581</t>
  </si>
  <si>
    <t>Cover plate</t>
  </si>
  <si>
    <t>E13813831</t>
  </si>
  <si>
    <t>E4028916</t>
  </si>
  <si>
    <t>Shim 0.1196 in</t>
  </si>
  <si>
    <t>E13814163</t>
  </si>
  <si>
    <t>Elbow</t>
  </si>
  <si>
    <t>E13811077</t>
  </si>
  <si>
    <t>E12643922</t>
  </si>
  <si>
    <t>Bolt</t>
  </si>
  <si>
    <t>E12672633</t>
  </si>
  <si>
    <t>Pin, weldment</t>
  </si>
  <si>
    <t>E13813518</t>
  </si>
  <si>
    <t>E12633961</t>
  </si>
  <si>
    <t>Shim, 3.2 [.12]</t>
  </si>
  <si>
    <t>E12633959</t>
  </si>
  <si>
    <t>E12650520</t>
  </si>
  <si>
    <t>Plate</t>
  </si>
  <si>
    <t>E12672580</t>
  </si>
  <si>
    <t>Moon ring</t>
  </si>
  <si>
    <t>E12633962</t>
  </si>
  <si>
    <t>Shim, 6.3 [.25]</t>
  </si>
  <si>
    <t>E12633960</t>
  </si>
  <si>
    <t>E12656859</t>
  </si>
  <si>
    <t>Pin, hinge</t>
  </si>
  <si>
    <t>E12630247</t>
  </si>
  <si>
    <t>Pad, body</t>
  </si>
  <si>
    <t>E12630246</t>
  </si>
  <si>
    <t>E13812878</t>
  </si>
  <si>
    <t>ACCUMULATOR</t>
  </si>
  <si>
    <t>E13811431</t>
  </si>
  <si>
    <t>E13804056</t>
  </si>
  <si>
    <t>. O-ring</t>
  </si>
  <si>
    <t>E13807009</t>
  </si>
  <si>
    <t>E13811191</t>
  </si>
  <si>
    <t>E4094716</t>
  </si>
  <si>
    <t>U-bolt</t>
  </si>
  <si>
    <t>E12624469</t>
  </si>
  <si>
    <t>Seal kit-accumulator</t>
  </si>
  <si>
    <t>ACCUMULATOR, STEER</t>
  </si>
  <si>
    <t>E13804046</t>
  </si>
  <si>
    <t>O-ring</t>
  </si>
  <si>
    <t>E12570758</t>
  </si>
  <si>
    <t>Charge valve</t>
  </si>
  <si>
    <t>E12588195</t>
  </si>
  <si>
    <t>E12573266</t>
  </si>
  <si>
    <t>Kit-seal accumulator</t>
  </si>
  <si>
    <t>VALVE ASS'Y, BRAKE CONTROL</t>
  </si>
  <si>
    <t>E13804055</t>
  </si>
  <si>
    <t>E13804043</t>
  </si>
  <si>
    <t>E13804059</t>
  </si>
  <si>
    <t>E13813654</t>
  </si>
  <si>
    <t>E13804057</t>
  </si>
  <si>
    <t>E13805322</t>
  </si>
  <si>
    <t>E13807010</t>
  </si>
  <si>
    <t>E13813652</t>
  </si>
  <si>
    <t>E4042270</t>
  </si>
  <si>
    <t>Cover</t>
  </si>
  <si>
    <t>E12588730</t>
  </si>
  <si>
    <t>Spring, extension</t>
  </si>
  <si>
    <t>E13813691</t>
  </si>
  <si>
    <t>E12638420</t>
  </si>
  <si>
    <t>Kit seal</t>
  </si>
  <si>
    <t>BRAKE COOLER MOUNTING</t>
  </si>
  <si>
    <t>E13805313</t>
  </si>
  <si>
    <t>E13811074</t>
  </si>
  <si>
    <t>E12618848</t>
  </si>
  <si>
    <t>Cooler assembly</t>
  </si>
  <si>
    <t>Front axel trailing arm shims</t>
  </si>
  <si>
    <t>E15010062</t>
  </si>
  <si>
    <t xml:space="preserve"> Shim, 1.5mm</t>
  </si>
  <si>
    <t>E15010325</t>
  </si>
  <si>
    <t>Shim, 6.35mm</t>
  </si>
  <si>
    <t xml:space="preserve">E15010072 </t>
  </si>
  <si>
    <t>Shim, 3.2mm</t>
  </si>
  <si>
    <t>E15010326</t>
  </si>
  <si>
    <t>Shim, 12.7mm</t>
  </si>
  <si>
    <t>E15008872</t>
  </si>
  <si>
    <t xml:space="preserve">E13811038 </t>
  </si>
  <si>
    <t>Screw Gr 8</t>
  </si>
  <si>
    <t>Lock nut 8</t>
  </si>
  <si>
    <t>E12595511</t>
  </si>
  <si>
    <t xml:space="preserve">Torsion tube </t>
  </si>
  <si>
    <t>E12594727</t>
  </si>
  <si>
    <t>Spacer thrust</t>
  </si>
  <si>
    <t>Frame repair structure</t>
  </si>
  <si>
    <t>E15007244</t>
  </si>
  <si>
    <t xml:space="preserve">Bottom plate </t>
  </si>
  <si>
    <t>E15006866</t>
  </si>
  <si>
    <t>Kits Level 2 upper plate</t>
  </si>
  <si>
    <t>E15006867</t>
  </si>
  <si>
    <t>Kits Level 2 Left side plate</t>
  </si>
  <si>
    <t>E15006887</t>
  </si>
  <si>
    <t>E15006906</t>
  </si>
  <si>
    <t>Kit Hoist plate left side</t>
  </si>
  <si>
    <t>E15006905</t>
  </si>
  <si>
    <t>Kit hoist plate rear side</t>
  </si>
  <si>
    <t>E15006893</t>
  </si>
  <si>
    <t xml:space="preserve">Fuel tank section front </t>
  </si>
  <si>
    <t xml:space="preserve">Siemens filtration system </t>
  </si>
  <si>
    <t>E15008764</t>
  </si>
  <si>
    <t>Filtration system IGBT drive</t>
  </si>
  <si>
    <t>Engine kit</t>
  </si>
  <si>
    <t>E12677395</t>
  </si>
  <si>
    <t>PLATE WLD</t>
  </si>
  <si>
    <t>E13814410</t>
  </si>
  <si>
    <t>SCREW</t>
  </si>
  <si>
    <t>E13814207</t>
  </si>
  <si>
    <t>E13805997</t>
  </si>
  <si>
    <t>LOCK NUT</t>
  </si>
  <si>
    <t>E12654597</t>
  </si>
  <si>
    <t>WASHER</t>
  </si>
  <si>
    <t>E12648942</t>
  </si>
  <si>
    <t>SPACER</t>
  </si>
  <si>
    <t>E12656878</t>
  </si>
  <si>
    <t>PAD</t>
  </si>
  <si>
    <t>E12596520</t>
  </si>
  <si>
    <t>EHJ933006</t>
  </si>
  <si>
    <t>E12658356</t>
  </si>
  <si>
    <t>TUBE</t>
  </si>
  <si>
    <t>EHJ922726</t>
  </si>
  <si>
    <t>E13811538</t>
  </si>
  <si>
    <t>Lock NUT</t>
  </si>
  <si>
    <t>E12658453</t>
  </si>
  <si>
    <t>E12654044</t>
  </si>
  <si>
    <t>E12599623</t>
  </si>
  <si>
    <t>GUARD</t>
  </si>
  <si>
    <t>E4022326</t>
  </si>
  <si>
    <t>E13814621</t>
  </si>
  <si>
    <t>E12597249</t>
  </si>
  <si>
    <t>SHIM</t>
  </si>
  <si>
    <t>E12597250</t>
  </si>
  <si>
    <t>E12597251</t>
  </si>
  <si>
    <t>E13807839</t>
  </si>
  <si>
    <t>E12645102</t>
  </si>
  <si>
    <t>PIN</t>
  </si>
  <si>
    <t>E12645121</t>
  </si>
  <si>
    <t>BEARING ROD END</t>
  </si>
  <si>
    <t>E13814612</t>
  </si>
  <si>
    <t>E4043950</t>
  </si>
  <si>
    <t>Hanrails</t>
  </si>
  <si>
    <t>E12666243</t>
  </si>
  <si>
    <t>TUBE WELDMENT</t>
  </si>
  <si>
    <t>E13811033</t>
  </si>
  <si>
    <t>E13811073</t>
  </si>
  <si>
    <t>E13813995</t>
  </si>
  <si>
    <t>LOCK</t>
  </si>
  <si>
    <t>E13811036</t>
  </si>
  <si>
    <t>TORNILLO</t>
  </si>
  <si>
    <t>E12669396</t>
  </si>
  <si>
    <t>TUBE EXTENSION WELDMENT</t>
  </si>
  <si>
    <t>E12653252</t>
  </si>
  <si>
    <t>SUPPORT</t>
  </si>
  <si>
    <t>E12669553</t>
  </si>
  <si>
    <t xml:space="preserve">BRACKET WELDMENT MIRROR </t>
  </si>
  <si>
    <t>Fuel tank support</t>
  </si>
  <si>
    <t>Lock</t>
  </si>
  <si>
    <t>EHJ921260</t>
  </si>
  <si>
    <t>EHJ921250</t>
  </si>
  <si>
    <t>E13812657</t>
  </si>
  <si>
    <t>E12658438</t>
  </si>
  <si>
    <t>E12662303</t>
  </si>
  <si>
    <t>BAR</t>
  </si>
  <si>
    <t>E12662299</t>
  </si>
  <si>
    <t>MUDFLAP</t>
  </si>
  <si>
    <t>E12662301</t>
  </si>
  <si>
    <t>PLATE</t>
  </si>
  <si>
    <t>E12662302</t>
  </si>
  <si>
    <t>E12662298</t>
  </si>
  <si>
    <t>E12662300</t>
  </si>
  <si>
    <t>E12618740</t>
  </si>
  <si>
    <t>E12618672</t>
  </si>
  <si>
    <t>E12618671</t>
  </si>
  <si>
    <t>E12658439</t>
  </si>
  <si>
    <t>E12656852</t>
  </si>
  <si>
    <t>SPACER WELDMENT</t>
  </si>
  <si>
    <t>E12618022</t>
  </si>
  <si>
    <t>E12618021</t>
  </si>
  <si>
    <t>E12644696</t>
  </si>
  <si>
    <t xml:space="preserve">Name </t>
  </si>
  <si>
    <t>Part Number</t>
  </si>
  <si>
    <t>Labour</t>
  </si>
  <si>
    <t>Labour cost</t>
  </si>
  <si>
    <t>Labour hours</t>
  </si>
  <si>
    <t>Mechanized &amp; Rebuild</t>
  </si>
  <si>
    <t>parts</t>
  </si>
  <si>
    <t>Chrome tube &amp; rod</t>
  </si>
  <si>
    <t>Total</t>
  </si>
  <si>
    <t>E12644742</t>
  </si>
  <si>
    <t>E12643355</t>
  </si>
  <si>
    <t>E12660762</t>
  </si>
  <si>
    <t>STEER VALVE</t>
  </si>
  <si>
    <t>E15051857</t>
  </si>
  <si>
    <t>Steer valve</t>
  </si>
  <si>
    <t>Cost</t>
  </si>
  <si>
    <t xml:space="preserve">Kit System </t>
  </si>
  <si>
    <t>Labour CHM per Kit</t>
  </si>
  <si>
    <t>Total Labour</t>
  </si>
  <si>
    <t xml:space="preserve">Rules </t>
  </si>
  <si>
    <t>Hydraulic</t>
  </si>
  <si>
    <t>Electrical</t>
  </si>
  <si>
    <t>Final Drives</t>
  </si>
  <si>
    <t>Rates</t>
  </si>
  <si>
    <t>CHM</t>
  </si>
  <si>
    <t>S&amp;S</t>
  </si>
  <si>
    <t>CSM</t>
  </si>
  <si>
    <t>Percentages</t>
  </si>
  <si>
    <t>Backlog total Labour</t>
  </si>
  <si>
    <t>Total cost per kit</t>
  </si>
  <si>
    <t>Rear strut left</t>
  </si>
  <si>
    <t>Body reapirs</t>
  </si>
  <si>
    <t>Total cost per truck</t>
  </si>
  <si>
    <t>Cost per Components</t>
  </si>
  <si>
    <t>Total cost Labour Components</t>
  </si>
  <si>
    <t>Sub total labour cost</t>
  </si>
  <si>
    <t>Total cost parts components</t>
  </si>
  <si>
    <t xml:space="preserve">Total cost Chome &amp; Mechanized </t>
  </si>
  <si>
    <t>Sub Total Chorme &amp; Mechanized</t>
  </si>
  <si>
    <t xml:space="preserve">Kit 6 Drive system </t>
  </si>
  <si>
    <t>Kit 21 Communication kit Wenco &amp; Optoisolator</t>
  </si>
  <si>
    <t>Communication kit Wenco&amp; Optoisolator</t>
  </si>
  <si>
    <t>Communication kit</t>
  </si>
  <si>
    <t>TDAX141600</t>
  </si>
  <si>
    <t>Optoisolator</t>
  </si>
  <si>
    <t>Kit 21 Communication kit</t>
  </si>
  <si>
    <t>Truck</t>
  </si>
  <si>
    <t>Impact Cerrejon Inventory</t>
  </si>
  <si>
    <t>Row Labels</t>
  </si>
  <si>
    <t>Grand Total</t>
  </si>
  <si>
    <t>Cerrejon stock</t>
  </si>
  <si>
    <t>Price 2026</t>
  </si>
  <si>
    <t>Req Inv Cerrejon</t>
  </si>
  <si>
    <t>Category Item</t>
  </si>
  <si>
    <t>Not Catalogued</t>
  </si>
  <si>
    <t>Available  in Cerrejon Stock</t>
  </si>
  <si>
    <t>Cerrejon Stock in Zero</t>
  </si>
  <si>
    <t>Cerrejon price</t>
  </si>
  <si>
    <t>Total components required</t>
  </si>
  <si>
    <t>Components inventory</t>
  </si>
  <si>
    <t>Rear strut</t>
  </si>
  <si>
    <t>E12593214</t>
  </si>
  <si>
    <t>DAMPER 1130211 E12593214</t>
  </si>
  <si>
    <t>E12595405</t>
  </si>
  <si>
    <t>FLUIDO HIDRÁULICO SUSPENSIÓN E12595405.</t>
  </si>
  <si>
    <t>E12644697</t>
  </si>
  <si>
    <t>KIT DE SELLOS E12644697</t>
  </si>
  <si>
    <t>E4091929</t>
  </si>
  <si>
    <t>BALIN ACER 1130113 E4091929 E13801356</t>
  </si>
  <si>
    <t>Front strut</t>
  </si>
  <si>
    <t>E4019512</t>
  </si>
  <si>
    <t>RING RETAINING E4019512</t>
  </si>
  <si>
    <t>Hoist Cylinder</t>
  </si>
  <si>
    <t>E12595239</t>
  </si>
  <si>
    <t>VALVULA RELIEF E12595239 50/34 (REV 2)</t>
  </si>
  <si>
    <t>E12595243</t>
  </si>
  <si>
    <t>RING E12595243</t>
  </si>
  <si>
    <t>E12628570</t>
  </si>
  <si>
    <t>PLUG E12628570</t>
  </si>
  <si>
    <t>E12628578</t>
  </si>
  <si>
    <t>PIN E12628578</t>
  </si>
  <si>
    <t>E12628608</t>
  </si>
  <si>
    <t>KIT E12628608</t>
  </si>
  <si>
    <t>E13801700</t>
  </si>
  <si>
    <t>SCREW-SET 1130035 E13801700</t>
  </si>
  <si>
    <t>ORING 1129711 - E13804055</t>
  </si>
  <si>
    <t>ORING E13804059</t>
  </si>
  <si>
    <t>E13804060</t>
  </si>
  <si>
    <t>O-RING E13804060</t>
  </si>
  <si>
    <t>E13807543</t>
  </si>
  <si>
    <t>TAPON VALVULA FRENO E13807543</t>
  </si>
  <si>
    <t>E13807546</t>
  </si>
  <si>
    <t>TAPON FRENO PARQUEO E13807546</t>
  </si>
  <si>
    <t>E13807548</t>
  </si>
  <si>
    <t>PLUG E13807548</t>
  </si>
  <si>
    <t>SCREW E13811036</t>
  </si>
  <si>
    <t>TORNILLO E13811075</t>
  </si>
  <si>
    <t>E13811473</t>
  </si>
  <si>
    <t>FLANGE E13811473</t>
  </si>
  <si>
    <t>E13811475</t>
  </si>
  <si>
    <t>FLANGE E13811475</t>
  </si>
  <si>
    <t>E1551681</t>
  </si>
  <si>
    <t>PLUG E1551681</t>
  </si>
  <si>
    <t>E1551683</t>
  </si>
  <si>
    <t>PLUG E1551683</t>
  </si>
  <si>
    <t>E4021432</t>
  </si>
  <si>
    <t>LOCK 1130009 E4021432</t>
  </si>
  <si>
    <t>E4026792</t>
  </si>
  <si>
    <t>RING-RETAINING 1130017 E4026792</t>
  </si>
  <si>
    <t>Final drive</t>
  </si>
  <si>
    <t>E12579397</t>
  </si>
  <si>
    <t>ARO DE RETENCION E12579397</t>
  </si>
  <si>
    <t>E12579398</t>
  </si>
  <si>
    <t>SELLO RETENEDOR DE ACEITE E12579398</t>
  </si>
  <si>
    <t>E12582068</t>
  </si>
  <si>
    <t>CONECTOR E12582068.</t>
  </si>
  <si>
    <t>E12612897</t>
  </si>
  <si>
    <t>DISCO FRENO E12612897</t>
  </si>
  <si>
    <t>E12612899</t>
  </si>
  <si>
    <t>RESORTE E12612899</t>
  </si>
  <si>
    <t>E12613335</t>
  </si>
  <si>
    <t>RODAMIENTO E12613335</t>
  </si>
  <si>
    <t>E12613343</t>
  </si>
  <si>
    <t>RODAMIENTO E12613343</t>
  </si>
  <si>
    <t>E12613548</t>
  </si>
  <si>
    <t>PLATO FRENO 4682584 E12613548</t>
  </si>
  <si>
    <t>E12613550</t>
  </si>
  <si>
    <t>PLATO DE FRENO 4682582 E12613550</t>
  </si>
  <si>
    <t>E12613707</t>
  </si>
  <si>
    <t>SHIM E12613707</t>
  </si>
  <si>
    <t>E12613708</t>
  </si>
  <si>
    <t>SHIM E12613708</t>
  </si>
  <si>
    <t>E12613709</t>
  </si>
  <si>
    <t>SHIM E12613709</t>
  </si>
  <si>
    <t>E12613945</t>
  </si>
  <si>
    <t>O-RING E12613945</t>
  </si>
  <si>
    <t>E12613946</t>
  </si>
  <si>
    <t>O-RING E12613946</t>
  </si>
  <si>
    <t>E12618357</t>
  </si>
  <si>
    <t>BEARING DEL SPINDLE E12618357</t>
  </si>
  <si>
    <t>E12628618</t>
  </si>
  <si>
    <t>BUJE E12628618.</t>
  </si>
  <si>
    <t>E12631108</t>
  </si>
  <si>
    <t>BUJE E12631108.</t>
  </si>
  <si>
    <t>E12632572</t>
  </si>
  <si>
    <t>RODAMIENTO E12632572</t>
  </si>
  <si>
    <t>E12637067</t>
  </si>
  <si>
    <t>SELLO E12637067</t>
  </si>
  <si>
    <t>E12638039</t>
  </si>
  <si>
    <t>SELLO E12638039</t>
  </si>
  <si>
    <t>E12666611</t>
  </si>
  <si>
    <t>SELLO E12666611</t>
  </si>
  <si>
    <t>E12667385</t>
  </si>
  <si>
    <t>MAGNETIC E12667385.</t>
  </si>
  <si>
    <t>E13803348</t>
  </si>
  <si>
    <t>ADAPTADOR E13803348</t>
  </si>
  <si>
    <t>E13804047</t>
  </si>
  <si>
    <t>O-RING E13804047</t>
  </si>
  <si>
    <t>O-RING E13804056</t>
  </si>
  <si>
    <t>E13804058</t>
  </si>
  <si>
    <t>ORING E13804058</t>
  </si>
  <si>
    <t>E13804061</t>
  </si>
  <si>
    <t>O-RING E13804061</t>
  </si>
  <si>
    <t>E13805268</t>
  </si>
  <si>
    <t>O-RING E13805268</t>
  </si>
  <si>
    <t>E13805310</t>
  </si>
  <si>
    <t>ORING E13805310</t>
  </si>
  <si>
    <t>E13805958</t>
  </si>
  <si>
    <t>ARO E13805958.</t>
  </si>
  <si>
    <t>O-RING E13807009</t>
  </si>
  <si>
    <t>E13807013</t>
  </si>
  <si>
    <t>O-RING E13807013</t>
  </si>
  <si>
    <t>E13812978</t>
  </si>
  <si>
    <t>O-RING E13812978</t>
  </si>
  <si>
    <t>E13813002</t>
  </si>
  <si>
    <t>O-RING E13813002</t>
  </si>
  <si>
    <t>E13813034</t>
  </si>
  <si>
    <t>O-RING E13813034</t>
  </si>
  <si>
    <t>E13813042</t>
  </si>
  <si>
    <t>O-RING E13813042</t>
  </si>
  <si>
    <t>E13813093</t>
  </si>
  <si>
    <t>O-RING E13813093</t>
  </si>
  <si>
    <t>E13813142</t>
  </si>
  <si>
    <t>O-RING E13813142</t>
  </si>
  <si>
    <t>HOSE E13813812</t>
  </si>
  <si>
    <t>E13813595</t>
  </si>
  <si>
    <t>O-RING E13813595</t>
  </si>
  <si>
    <t>E13813629</t>
  </si>
  <si>
    <t>ORING E13813629</t>
  </si>
  <si>
    <t>E13813877</t>
  </si>
  <si>
    <t>O-RING E13813877</t>
  </si>
  <si>
    <t>E13813881</t>
  </si>
  <si>
    <t>O-RING E13813881</t>
  </si>
  <si>
    <t>E13813883</t>
  </si>
  <si>
    <t>O-RING E13813883</t>
  </si>
  <si>
    <t>E139229</t>
  </si>
  <si>
    <t>PLUGÂ E139229Â</t>
  </si>
  <si>
    <t>E4014756</t>
  </si>
  <si>
    <t>CABLE TIE E4014756</t>
  </si>
  <si>
    <t>E4063063</t>
  </si>
  <si>
    <t>EMPAQUE PAPEL E4063063</t>
  </si>
  <si>
    <t>E4082997</t>
  </si>
  <si>
    <t>PIN E4082997.</t>
  </si>
  <si>
    <t>Accum Steer</t>
  </si>
  <si>
    <t>CHARGE VALVE</t>
  </si>
  <si>
    <t>KIT-SEAL ACCUMULATOR</t>
  </si>
  <si>
    <t>E13810894</t>
  </si>
  <si>
    <t>E4087756</t>
  </si>
  <si>
    <t>O-RING</t>
  </si>
  <si>
    <t>qty</t>
  </si>
  <si>
    <t>Name</t>
  </si>
  <si>
    <t>Component</t>
  </si>
  <si>
    <t>Stock Cerrejon Inventory</t>
  </si>
  <si>
    <t>Grant total</t>
  </si>
  <si>
    <t>Req Inventory Cerrejon</t>
  </si>
  <si>
    <t>Impact Cerrejon inventory</t>
  </si>
  <si>
    <t>E13813812</t>
  </si>
  <si>
    <t>TDAX141600-1</t>
  </si>
  <si>
    <t>Category</t>
  </si>
  <si>
    <t>QTY per truck</t>
  </si>
  <si>
    <t>QTY Required project</t>
  </si>
  <si>
    <t>Total Required project</t>
  </si>
  <si>
    <t>E12675063</t>
  </si>
  <si>
    <t>Operator seat std air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</si>
</sst>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4" fillId="0" borderId="0" xfId="0" applyFont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879776F7-F6E4-4C93-839D-45D1367B7180}"/>
    <cellStyle name="Percent 2" xfId="2" xr:uid="{EE8A339C-D219-4F99-B936-CEBDC74EC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C176-4667-4A3F-8E10-E81FC21F1C01}">
  <dimension ref="A1:CF31"/>
  <sheetViews>
    <sheetView topLeftCell="AR1" workbookViewId="0">
      <selection activeCell="BB5" sqref="BB5"/>
    </sheetView>
  </sheetViews>
  <sheetFormatPr baseColWidth="10" defaultColWidth="8.83203125" defaultRowHeight="15" x14ac:dyDescent="0.2"/>
  <cols>
    <col min="2" max="33" width="8.83203125" customWidth="1"/>
    <col min="34" max="34" width="7.6640625" customWidth="1"/>
    <col min="35" max="53" width="8.83203125" customWidth="1"/>
    <col min="54" max="54" width="22.33203125" bestFit="1" customWidth="1"/>
    <col min="55" max="55" width="9.1640625"/>
    <col min="56" max="56" width="14.6640625" customWidth="1"/>
    <col min="79" max="79" width="17.83203125" bestFit="1" customWidth="1"/>
    <col min="80" max="80" width="20" bestFit="1" customWidth="1"/>
  </cols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391</v>
      </c>
      <c r="BC1" s="9" t="s">
        <v>10</v>
      </c>
      <c r="BD1" t="s">
        <v>11</v>
      </c>
      <c r="BE1" t="s">
        <v>12</v>
      </c>
      <c r="BF1" t="s">
        <v>13</v>
      </c>
      <c r="BG1" t="s">
        <v>14</v>
      </c>
      <c r="BH1" t="s">
        <v>15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  <c r="BP1" t="s">
        <v>24</v>
      </c>
      <c r="BQ1" t="s">
        <v>25</v>
      </c>
      <c r="BR1" t="s">
        <v>28</v>
      </c>
      <c r="BS1" t="s">
        <v>29</v>
      </c>
      <c r="BT1" t="s">
        <v>30</v>
      </c>
      <c r="BU1" t="s">
        <v>376</v>
      </c>
      <c r="BV1" t="s">
        <v>377</v>
      </c>
      <c r="BW1" t="s">
        <v>53</v>
      </c>
      <c r="BX1" t="s">
        <v>363</v>
      </c>
      <c r="BY1" t="s">
        <v>374</v>
      </c>
      <c r="BZ1" t="s">
        <v>364</v>
      </c>
      <c r="CA1" t="s">
        <v>375</v>
      </c>
      <c r="CB1" t="s">
        <v>379</v>
      </c>
      <c r="CC1" t="s">
        <v>380</v>
      </c>
      <c r="CD1" t="s">
        <v>382</v>
      </c>
      <c r="CE1" t="s">
        <v>383</v>
      </c>
      <c r="CF1" t="s">
        <v>378</v>
      </c>
    </row>
    <row r="2" spans="1:84" x14ac:dyDescent="0.2">
      <c r="A2">
        <v>823</v>
      </c>
      <c r="B2">
        <v>1</v>
      </c>
      <c r="C2">
        <v>1</v>
      </c>
      <c r="D2">
        <v>1</v>
      </c>
      <c r="E2">
        <v>1</v>
      </c>
      <c r="F2">
        <v>1</v>
      </c>
      <c r="G2">
        <v>0.5</v>
      </c>
      <c r="H2">
        <v>0</v>
      </c>
      <c r="I2">
        <v>0</v>
      </c>
      <c r="J2">
        <v>0</v>
      </c>
      <c r="K2">
        <v>0.8090141666666667</v>
      </c>
      <c r="L2">
        <v>1.0757491666666668</v>
      </c>
      <c r="M2">
        <v>0.70318388888888894</v>
      </c>
      <c r="N2">
        <v>0.70318388888888894</v>
      </c>
      <c r="O2">
        <v>0.1852952380952381</v>
      </c>
      <c r="P2">
        <v>0.43029966666666669</v>
      </c>
      <c r="Q2">
        <v>1.0948793333333333</v>
      </c>
      <c r="R2">
        <v>2.926875E-2</v>
      </c>
      <c r="S2">
        <v>0.54873625000000004</v>
      </c>
      <c r="T2">
        <v>0.43898900000000002</v>
      </c>
      <c r="U2">
        <v>0.51353899999999997</v>
      </c>
      <c r="V2">
        <v>8.5544444444444451E-2</v>
      </c>
      <c r="W2">
        <v>0.27092111111111111</v>
      </c>
      <c r="X2">
        <v>0.1852952380952381</v>
      </c>
      <c r="Y2">
        <v>0.32799333333333336</v>
      </c>
      <c r="Z2">
        <v>0.36909333333333333</v>
      </c>
      <c r="AA2">
        <v>1.0948793333333333</v>
      </c>
      <c r="AB2">
        <v>1.0948793333333333</v>
      </c>
      <c r="AC2">
        <v>1.4685E-2</v>
      </c>
      <c r="AD2">
        <v>0.1779</v>
      </c>
      <c r="AE2">
        <v>0.16244</v>
      </c>
      <c r="AF2">
        <v>7.2392857142857148E-2</v>
      </c>
      <c r="AG2">
        <v>0.54187183333333333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f>IF('Rules &amp; Rate'!$B$2&lt;=K2,1,0)</f>
        <v>1</v>
      </c>
      <c r="BD2">
        <f>IF('Rules &amp; Rate'!$B$2&lt;=L2,1,0)</f>
        <v>1</v>
      </c>
      <c r="BE2">
        <f>IF('Rules &amp; Rate'!$B$2&lt;=M2,1,0)</f>
        <v>1</v>
      </c>
      <c r="BF2">
        <f>IF('Rules &amp; Rate'!$B$2&lt;=N2,1,0)</f>
        <v>1</v>
      </c>
      <c r="BG2">
        <f>IF('Rules &amp; Rate'!$B$3&lt;=O2,1,0)</f>
        <v>0</v>
      </c>
      <c r="BH2">
        <f>IF('Rules &amp; Rate'!$B$3&lt;=P2,1,0)</f>
        <v>0</v>
      </c>
      <c r="BI2">
        <f>IF('Rules &amp; Rate'!$B$2&lt;=R2,1,0)</f>
        <v>0</v>
      </c>
      <c r="BJ2">
        <f>IF('Rules &amp; Rate'!$B$2&lt;=S2,1,0)</f>
        <v>1</v>
      </c>
      <c r="BK2">
        <f>IF('Rules &amp; Rate'!$B$2&lt;=T2,1,0)</f>
        <v>1</v>
      </c>
      <c r="BL2">
        <f>IF('Rules &amp; Rate'!$B$2&lt;=U2,1,0)</f>
        <v>1</v>
      </c>
      <c r="BM2">
        <f>IF('Rules &amp; Rate'!$B$4&lt;=V2,1,0)</f>
        <v>0</v>
      </c>
      <c r="BN2">
        <f>IF('Rules &amp; Rate'!$B$4&lt;=W2,1,0)</f>
        <v>0</v>
      </c>
      <c r="BO2">
        <f>IF('Rules &amp; Rate'!$B$5&lt;=X2,1,0)</f>
        <v>0</v>
      </c>
      <c r="BP2">
        <f>IF('Rules &amp; Rate'!$B$3&lt;=Y2,1,0)</f>
        <v>0</v>
      </c>
      <c r="BQ2">
        <f>IF('Rules &amp; Rate'!$B$3&lt;=Z2,1,0)</f>
        <v>0</v>
      </c>
      <c r="BR2">
        <f>IF('Rules &amp; Rate'!$B$2&lt;=AC2,1,0)</f>
        <v>0</v>
      </c>
      <c r="BS2">
        <f>IF('Rules &amp; Rate'!$B$2&lt;=AD2,1,0)</f>
        <v>0</v>
      </c>
      <c r="BT2">
        <f>IF('Rules &amp; Rate'!$B$2&lt;=AE2,1,0)</f>
        <v>0</v>
      </c>
      <c r="BU2">
        <f>IF('Rules &amp; Rate'!$B$2&lt;=AF2,1,0)</f>
        <v>0</v>
      </c>
      <c r="BV2">
        <f>IF('Rules &amp; Rate'!$B$6&lt;=AG2,1,0)</f>
        <v>0</v>
      </c>
      <c r="BW2">
        <v>65692.759999999995</v>
      </c>
      <c r="BX2">
        <f>SUMPRODUCT(AH2:BA2,Labour!$B$2:$U$2)</f>
        <v>400</v>
      </c>
      <c r="BY2">
        <v>130</v>
      </c>
      <c r="BZ2">
        <f t="shared" ref="BZ2:BZ31" si="0">+BX2+BY2</f>
        <v>530</v>
      </c>
      <c r="CA2">
        <f>SUMPRODUCT(AH2:BA2,Labour!$B$3:$U$3)</f>
        <v>424675.83999999997</v>
      </c>
      <c r="CB2">
        <f>SUMPRODUCT(BC2:BV2,'Component $'!$B$10:$U$10)</f>
        <v>59747.608000000007</v>
      </c>
      <c r="CC2">
        <f>SUMPRODUCT(BC2:BV2,'Component $'!$B$9:$U$9)</f>
        <v>7877.8079999999991</v>
      </c>
      <c r="CD2">
        <f>SUMPRODUCT(BC2:BV2,'Component $'!$B$6:$U$6)</f>
        <v>6280.7999999999993</v>
      </c>
      <c r="CE2">
        <f>SUMPRODUCT(BC2:BV2,'Component $'!$B$8:$U$8)</f>
        <v>45589</v>
      </c>
      <c r="CF2">
        <f t="shared" ref="CF2:CF31" si="1">+CA2+CB2</f>
        <v>484423.44799999997</v>
      </c>
    </row>
    <row r="3" spans="1:84" x14ac:dyDescent="0.2">
      <c r="A3">
        <v>824</v>
      </c>
      <c r="B3">
        <v>2</v>
      </c>
      <c r="C3">
        <v>1</v>
      </c>
      <c r="D3">
        <v>1</v>
      </c>
      <c r="E3">
        <v>2</v>
      </c>
      <c r="F3">
        <v>2</v>
      </c>
      <c r="G3">
        <v>0.8</v>
      </c>
      <c r="H3">
        <v>0.55620155038759689</v>
      </c>
      <c r="I3">
        <v>0.44496124031007755</v>
      </c>
      <c r="J3">
        <v>2870</v>
      </c>
      <c r="K3">
        <v>1.6743508333333332</v>
      </c>
      <c r="L3">
        <v>1.6743508333333332</v>
      </c>
      <c r="M3">
        <v>0.37944805555555555</v>
      </c>
      <c r="N3">
        <v>0.77956166666666671</v>
      </c>
      <c r="O3">
        <v>0.20693333333333333</v>
      </c>
      <c r="P3">
        <v>0.45588233333333333</v>
      </c>
      <c r="Q3">
        <v>1.1138714999999999</v>
      </c>
      <c r="R3">
        <v>0.41377124999999998</v>
      </c>
      <c r="S3">
        <v>0.34818375000000001</v>
      </c>
      <c r="T3">
        <v>1.4986035</v>
      </c>
      <c r="U3">
        <v>0.38880199999999998</v>
      </c>
      <c r="V3">
        <v>0.24288888888888888</v>
      </c>
      <c r="W3">
        <v>0.24288888888888888</v>
      </c>
      <c r="X3">
        <v>0.20693333333333333</v>
      </c>
      <c r="Y3">
        <v>0.24288888888888888</v>
      </c>
      <c r="Z3">
        <v>0.24288888888888888</v>
      </c>
      <c r="AA3">
        <v>0.70542766666666668</v>
      </c>
      <c r="AB3">
        <v>1.1138714999999999</v>
      </c>
      <c r="AC3">
        <v>0.26792700000000003</v>
      </c>
      <c r="AD3">
        <v>9.8985714285714288E-2</v>
      </c>
      <c r="AF3">
        <v>0.31228571428571428</v>
      </c>
      <c r="AG3">
        <v>0.61638250000000006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f>IF('Rules &amp; Rate'!$B$2&lt;=K3,1,0)</f>
        <v>1</v>
      </c>
      <c r="BD3">
        <f>IF('Rules &amp; Rate'!$B$2&lt;=L3,1,0)</f>
        <v>1</v>
      </c>
      <c r="BE3">
        <f>IF('Rules &amp; Rate'!$B$2&lt;=M3,1,0)</f>
        <v>1</v>
      </c>
      <c r="BF3">
        <f>IF('Rules &amp; Rate'!$B$2&lt;=N3,1,0)</f>
        <v>1</v>
      </c>
      <c r="BG3">
        <f>IF('Rules &amp; Rate'!$B$3&lt;=O3,1,0)</f>
        <v>0</v>
      </c>
      <c r="BH3">
        <f>IF('Rules &amp; Rate'!$B$3&lt;=P3,1,0)</f>
        <v>0</v>
      </c>
      <c r="BI3">
        <f>IF('Rules &amp; Rate'!$B$2&lt;=R3,1,0)</f>
        <v>1</v>
      </c>
      <c r="BJ3">
        <f>IF('Rules &amp; Rate'!$B$2&lt;=S3,1,0)</f>
        <v>1</v>
      </c>
      <c r="BK3">
        <f>IF('Rules &amp; Rate'!$B$2&lt;=T3,1,0)</f>
        <v>1</v>
      </c>
      <c r="BL3">
        <f>IF('Rules &amp; Rate'!$B$2&lt;=U3,1,0)</f>
        <v>1</v>
      </c>
      <c r="BM3">
        <f>IF('Rules &amp; Rate'!$B$4&lt;=V3,1,0)</f>
        <v>0</v>
      </c>
      <c r="BN3">
        <f>IF('Rules &amp; Rate'!$B$4&lt;=W3,1,0)</f>
        <v>0</v>
      </c>
      <c r="BO3">
        <f>IF('Rules &amp; Rate'!$B$5&lt;=X3,1,0)</f>
        <v>0</v>
      </c>
      <c r="BP3">
        <f>IF('Rules &amp; Rate'!$B$3&lt;=Y3,1,0)</f>
        <v>0</v>
      </c>
      <c r="BQ3">
        <f>IF('Rules &amp; Rate'!$B$3&lt;=Z3,1,0)</f>
        <v>0</v>
      </c>
      <c r="BR3">
        <f>IF('Rules &amp; Rate'!$B$2&lt;=AC3,1,0)</f>
        <v>0</v>
      </c>
      <c r="BS3">
        <f>IF('Rules &amp; Rate'!$B$2&lt;=AD3,1,0)</f>
        <v>0</v>
      </c>
      <c r="BT3">
        <f>IF('Rules &amp; Rate'!$B$2&lt;=AE3,1,0)</f>
        <v>0</v>
      </c>
      <c r="BU3">
        <f>IF('Rules &amp; Rate'!$B$2&lt;=AF3,1,0)</f>
        <v>1</v>
      </c>
      <c r="BV3">
        <f>IF('Rules &amp; Rate'!$B$6&lt;=AG3,1,0)</f>
        <v>0</v>
      </c>
      <c r="BW3">
        <v>66758.39</v>
      </c>
      <c r="BX3">
        <f>SUMPRODUCT(AH3:BA3,Labour!$B$2:$U$2)</f>
        <v>382</v>
      </c>
      <c r="BY3">
        <v>122</v>
      </c>
      <c r="BZ3">
        <f t="shared" si="0"/>
        <v>504</v>
      </c>
      <c r="CA3">
        <f>SUMPRODUCT(AH3:BA3,Labour!$B$3:$U$3)</f>
        <v>348210.91000000003</v>
      </c>
      <c r="CB3">
        <f>SUMPRODUCT(BC3:BV3,'Component $'!$B$10:$U$10)</f>
        <v>101921.35240000002</v>
      </c>
      <c r="CC3">
        <f>SUMPRODUCT(BC3:BV3,'Component $'!$B$9:$U$9)</f>
        <v>13538.5524</v>
      </c>
      <c r="CD3">
        <f>SUMPRODUCT(BC3:BV3,'Component $'!$B$6:$U$6)</f>
        <v>15180.800000000001</v>
      </c>
      <c r="CE3">
        <f>SUMPRODUCT(BC3:BV3,'Component $'!$B$8:$U$8)</f>
        <v>73202</v>
      </c>
      <c r="CF3">
        <f t="shared" si="1"/>
        <v>450132.26240000007</v>
      </c>
    </row>
    <row r="4" spans="1:84" x14ac:dyDescent="0.2">
      <c r="A4">
        <v>825</v>
      </c>
      <c r="B4">
        <v>1</v>
      </c>
      <c r="C4">
        <v>1</v>
      </c>
      <c r="D4">
        <v>1</v>
      </c>
      <c r="E4">
        <v>1</v>
      </c>
      <c r="F4">
        <v>2</v>
      </c>
      <c r="G4">
        <v>0.6</v>
      </c>
      <c r="H4">
        <v>0.16085271317829458</v>
      </c>
      <c r="I4">
        <v>9.6511627906976746E-2</v>
      </c>
      <c r="J4">
        <v>830</v>
      </c>
      <c r="K4">
        <v>1.19014</v>
      </c>
      <c r="L4">
        <v>1.19014</v>
      </c>
      <c r="M4">
        <v>0.7581552777777778</v>
      </c>
      <c r="N4">
        <v>0.52483111111111114</v>
      </c>
      <c r="O4">
        <v>0.4783647619047619</v>
      </c>
      <c r="P4">
        <v>0.47610750000000002</v>
      </c>
      <c r="Q4">
        <v>1.0866834999999999</v>
      </c>
      <c r="R4">
        <v>0.56325999999999998</v>
      </c>
      <c r="S4">
        <v>0.26088125000000001</v>
      </c>
      <c r="T4">
        <v>3.8269999999999998E-2</v>
      </c>
      <c r="U4">
        <v>0.8181195</v>
      </c>
      <c r="V4">
        <v>0.42776444444444445</v>
      </c>
      <c r="W4">
        <v>0.12475555555555555</v>
      </c>
      <c r="X4">
        <v>0.4783647619047619</v>
      </c>
      <c r="Y4">
        <v>0.80798555555555551</v>
      </c>
      <c r="Z4">
        <v>0.12475555555555555</v>
      </c>
      <c r="AA4">
        <v>1.0866834999999999</v>
      </c>
      <c r="AB4">
        <v>1.0866834999999999</v>
      </c>
      <c r="AC4">
        <v>0.208705</v>
      </c>
      <c r="AD4">
        <v>5.4671428571428572E-2</v>
      </c>
      <c r="AE4">
        <v>0.208705</v>
      </c>
      <c r="AF4">
        <v>0.19595000000000001</v>
      </c>
      <c r="AG4">
        <v>0.65410483333333336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4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f>IF('Rules &amp; Rate'!$B$2&lt;=K4,1,0)</f>
        <v>1</v>
      </c>
      <c r="BD4">
        <f>IF('Rules &amp; Rate'!$B$2&lt;=L4,1,0)</f>
        <v>1</v>
      </c>
      <c r="BE4">
        <f>IF('Rules &amp; Rate'!$B$2&lt;=M4,1,0)</f>
        <v>1</v>
      </c>
      <c r="BF4">
        <f>IF('Rules &amp; Rate'!$B$2&lt;=N4,1,0)</f>
        <v>1</v>
      </c>
      <c r="BG4">
        <f>IF('Rules &amp; Rate'!$B$3&lt;=O4,1,0)</f>
        <v>0</v>
      </c>
      <c r="BH4">
        <f>IF('Rules &amp; Rate'!$B$3&lt;=P4,1,0)</f>
        <v>0</v>
      </c>
      <c r="BI4">
        <f>IF('Rules &amp; Rate'!$B$2&lt;=R4,1,0)</f>
        <v>1</v>
      </c>
      <c r="BJ4">
        <f>IF('Rules &amp; Rate'!$B$2&lt;=S4,1,0)</f>
        <v>0</v>
      </c>
      <c r="BK4">
        <f>IF('Rules &amp; Rate'!$B$2&lt;=T4,1,0)</f>
        <v>0</v>
      </c>
      <c r="BL4">
        <f>IF('Rules &amp; Rate'!$B$2&lt;=U4,1,0)</f>
        <v>1</v>
      </c>
      <c r="BM4">
        <f>IF('Rules &amp; Rate'!$B$4&lt;=V4,1,0)</f>
        <v>0</v>
      </c>
      <c r="BN4">
        <f>IF('Rules &amp; Rate'!$B$4&lt;=W4,1,0)</f>
        <v>0</v>
      </c>
      <c r="BO4">
        <f>IF('Rules &amp; Rate'!$B$5&lt;=X4,1,0)</f>
        <v>0</v>
      </c>
      <c r="BP4">
        <f>IF('Rules &amp; Rate'!$B$3&lt;=Y4,1,0)</f>
        <v>1</v>
      </c>
      <c r="BQ4">
        <f>IF('Rules &amp; Rate'!$B$3&lt;=Z4,1,0)</f>
        <v>0</v>
      </c>
      <c r="BR4">
        <f>IF('Rules &amp; Rate'!$B$2&lt;=AC4,1,0)</f>
        <v>0</v>
      </c>
      <c r="BS4">
        <f>IF('Rules &amp; Rate'!$B$2&lt;=AD4,1,0)</f>
        <v>0</v>
      </c>
      <c r="BT4">
        <f>IF('Rules &amp; Rate'!$B$2&lt;=AE4,1,0)</f>
        <v>0</v>
      </c>
      <c r="BU4">
        <f>IF('Rules &amp; Rate'!$B$2&lt;=AF4,1,0)</f>
        <v>0</v>
      </c>
      <c r="BV4">
        <f>IF('Rules &amp; Rate'!$B$6&lt;=AG4,1,0)</f>
        <v>0</v>
      </c>
      <c r="BW4">
        <v>65183.41</v>
      </c>
      <c r="BX4">
        <f>SUMPRODUCT(AH4:BA4,Labour!$B$2:$U$2)</f>
        <v>394</v>
      </c>
      <c r="BY4">
        <v>88</v>
      </c>
      <c r="BZ4">
        <f t="shared" si="0"/>
        <v>482</v>
      </c>
      <c r="CA4">
        <f>SUMPRODUCT(AH4:BA4,Labour!$B$3:$U$3)</f>
        <v>399187.53</v>
      </c>
      <c r="CB4">
        <f>SUMPRODUCT(BC4:BV4,'Component $'!$B$10:$U$10)</f>
        <v>84342.863000000012</v>
      </c>
      <c r="CC4">
        <f>SUMPRODUCT(BC4:BV4,'Component $'!$B$9:$U$9)</f>
        <v>17708.012999999999</v>
      </c>
      <c r="CD4">
        <f>SUMPRODUCT(BC4:BV4,'Component $'!$B$6:$U$6)</f>
        <v>25592.85</v>
      </c>
      <c r="CE4">
        <f>SUMPRODUCT(BC4:BV4,'Component $'!$B$8:$U$8)</f>
        <v>41042</v>
      </c>
      <c r="CF4">
        <f t="shared" si="1"/>
        <v>483530.39300000004</v>
      </c>
    </row>
    <row r="5" spans="1:84" x14ac:dyDescent="0.2">
      <c r="A5">
        <v>826</v>
      </c>
      <c r="B5">
        <v>1</v>
      </c>
      <c r="C5">
        <v>1</v>
      </c>
      <c r="D5">
        <v>1</v>
      </c>
      <c r="E5">
        <v>1</v>
      </c>
      <c r="F5">
        <v>1</v>
      </c>
      <c r="G5">
        <v>0.5</v>
      </c>
      <c r="H5">
        <v>0</v>
      </c>
      <c r="I5">
        <v>0</v>
      </c>
      <c r="J5">
        <v>0</v>
      </c>
      <c r="K5">
        <v>1.2589812499999999</v>
      </c>
      <c r="L5">
        <v>1.2589812499999999</v>
      </c>
      <c r="M5">
        <v>0.75906194444444441</v>
      </c>
      <c r="N5">
        <v>0.75906194444444441</v>
      </c>
      <c r="O5">
        <v>5.0247619047619048E-2</v>
      </c>
      <c r="P5">
        <v>0.42165483333333331</v>
      </c>
      <c r="Q5">
        <v>1.0716019999999999</v>
      </c>
      <c r="R5">
        <v>0.19609375000000001</v>
      </c>
      <c r="S5">
        <v>3.0550000000000001E-2</v>
      </c>
      <c r="T5">
        <v>0.34164800000000001</v>
      </c>
      <c r="U5">
        <v>0.39339800000000003</v>
      </c>
      <c r="V5">
        <v>0.31552000000000002</v>
      </c>
      <c r="W5">
        <v>0.18202222222222222</v>
      </c>
      <c r="X5">
        <v>0.4084504761904762</v>
      </c>
      <c r="Y5">
        <v>0.31552000000000002</v>
      </c>
      <c r="Z5">
        <v>0.18202222222222222</v>
      </c>
      <c r="AA5">
        <v>1.0716019999999999</v>
      </c>
      <c r="AB5">
        <v>1.0716019999999999</v>
      </c>
      <c r="AC5">
        <v>0.46688800000000003</v>
      </c>
      <c r="AD5">
        <v>0.15190000000000001</v>
      </c>
      <c r="AE5">
        <v>0.21809500000000001</v>
      </c>
      <c r="AF5">
        <v>0.21172142857142856</v>
      </c>
      <c r="AG5">
        <v>0.637907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5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f>IF('Rules &amp; Rate'!$B$2&lt;=K5,1,0)</f>
        <v>1</v>
      </c>
      <c r="BD5">
        <f>IF('Rules &amp; Rate'!$B$2&lt;=L5,1,0)</f>
        <v>1</v>
      </c>
      <c r="BE5">
        <f>IF('Rules &amp; Rate'!$B$2&lt;=M5,1,0)</f>
        <v>1</v>
      </c>
      <c r="BF5">
        <f>IF('Rules &amp; Rate'!$B$2&lt;=N5,1,0)</f>
        <v>1</v>
      </c>
      <c r="BG5">
        <f>IF('Rules &amp; Rate'!$B$3&lt;=O5,1,0)</f>
        <v>0</v>
      </c>
      <c r="BH5">
        <f>IF('Rules &amp; Rate'!$B$3&lt;=P5,1,0)</f>
        <v>0</v>
      </c>
      <c r="BI5">
        <f>IF('Rules &amp; Rate'!$B$2&lt;=R5,1,0)</f>
        <v>0</v>
      </c>
      <c r="BJ5">
        <f>IF('Rules &amp; Rate'!$B$2&lt;=S5,1,0)</f>
        <v>0</v>
      </c>
      <c r="BK5">
        <f>IF('Rules &amp; Rate'!$B$2&lt;=T5,1,0)</f>
        <v>1</v>
      </c>
      <c r="BL5">
        <f>IF('Rules &amp; Rate'!$B$2&lt;=U5,1,0)</f>
        <v>1</v>
      </c>
      <c r="BM5">
        <f>IF('Rules &amp; Rate'!$B$4&lt;=V5,1,0)</f>
        <v>0</v>
      </c>
      <c r="BN5">
        <f>IF('Rules &amp; Rate'!$B$4&lt;=W5,1,0)</f>
        <v>0</v>
      </c>
      <c r="BO5">
        <f>IF('Rules &amp; Rate'!$B$5&lt;=X5,1,0)</f>
        <v>0</v>
      </c>
      <c r="BP5">
        <f>IF('Rules &amp; Rate'!$B$3&lt;=Y5,1,0)</f>
        <v>0</v>
      </c>
      <c r="BQ5">
        <f>IF('Rules &amp; Rate'!$B$3&lt;=Z5,1,0)</f>
        <v>0</v>
      </c>
      <c r="BR5">
        <f>IF('Rules &amp; Rate'!$B$2&lt;=AC5,1,0)</f>
        <v>1</v>
      </c>
      <c r="BS5">
        <f>IF('Rules &amp; Rate'!$B$2&lt;=AD5,1,0)</f>
        <v>0</v>
      </c>
      <c r="BT5">
        <f>IF('Rules &amp; Rate'!$B$2&lt;=AE5,1,0)</f>
        <v>0</v>
      </c>
      <c r="BU5">
        <f>IF('Rules &amp; Rate'!$B$2&lt;=AF5,1,0)</f>
        <v>0</v>
      </c>
      <c r="BV5">
        <f>IF('Rules &amp; Rate'!$B$6&lt;=AG5,1,0)</f>
        <v>0</v>
      </c>
      <c r="BW5">
        <v>64231.12</v>
      </c>
      <c r="BX5">
        <f>SUMPRODUCT(AH5:BA5,Labour!$B$2:$U$2)</f>
        <v>400</v>
      </c>
      <c r="BY5">
        <v>97</v>
      </c>
      <c r="BZ5">
        <f t="shared" si="0"/>
        <v>497</v>
      </c>
      <c r="CA5">
        <f>SUMPRODUCT(AH5:BA5,Labour!$B$3:$U$3)</f>
        <v>424675.83999999997</v>
      </c>
      <c r="CB5">
        <f>SUMPRODUCT(BC5:BV5,'Component $'!$B$10:$U$10)</f>
        <v>44138.076400000005</v>
      </c>
      <c r="CC5">
        <f>SUMPRODUCT(BC5:BV5,'Component $'!$B$9:$U$9)</f>
        <v>6731.2763999999988</v>
      </c>
      <c r="CD5">
        <f>SUMPRODUCT(BC5:BV5,'Component $'!$B$6:$U$6)</f>
        <v>5266.8</v>
      </c>
      <c r="CE5">
        <f>SUMPRODUCT(BC5:BV5,'Component $'!$B$8:$U$8)</f>
        <v>32140</v>
      </c>
      <c r="CF5">
        <f t="shared" si="1"/>
        <v>468813.91639999999</v>
      </c>
    </row>
    <row r="6" spans="1:84" x14ac:dyDescent="0.2">
      <c r="A6">
        <v>827</v>
      </c>
      <c r="B6">
        <v>1</v>
      </c>
      <c r="C6">
        <v>1</v>
      </c>
      <c r="D6">
        <v>1</v>
      </c>
      <c r="E6">
        <v>1</v>
      </c>
      <c r="F6">
        <v>1</v>
      </c>
      <c r="G6">
        <v>0.5</v>
      </c>
      <c r="H6">
        <v>0</v>
      </c>
      <c r="I6">
        <v>0</v>
      </c>
      <c r="J6">
        <v>0</v>
      </c>
      <c r="K6">
        <v>1.21777125</v>
      </c>
      <c r="L6">
        <v>1.21777125</v>
      </c>
      <c r="M6">
        <v>0.73301138888888884</v>
      </c>
      <c r="O6">
        <v>0.1320095238095238</v>
      </c>
      <c r="P6">
        <v>0.4871085</v>
      </c>
      <c r="Q6">
        <v>1.084562</v>
      </c>
      <c r="R6">
        <v>0.43108125000000003</v>
      </c>
      <c r="S6">
        <v>3.1468749999999997E-2</v>
      </c>
      <c r="T6">
        <v>0.71131800000000001</v>
      </c>
      <c r="U6">
        <v>0.344885</v>
      </c>
      <c r="V6">
        <v>1.0111722222222221</v>
      </c>
      <c r="W6">
        <v>0.61156111111111111</v>
      </c>
      <c r="X6">
        <v>0.1320095238095238</v>
      </c>
      <c r="Y6">
        <v>1.0109177777777778</v>
      </c>
      <c r="Z6">
        <v>0.74300166666666667</v>
      </c>
      <c r="AA6">
        <v>1.084562</v>
      </c>
      <c r="AB6">
        <v>1.084562</v>
      </c>
      <c r="AC6">
        <v>0.123025</v>
      </c>
      <c r="AD6">
        <v>0.14041428571428571</v>
      </c>
      <c r="AE6">
        <v>0.17511499999999999</v>
      </c>
      <c r="AF6">
        <v>0.14041428571428571</v>
      </c>
      <c r="AG6">
        <v>0.4871085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3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f>IF('Rules &amp; Rate'!$B$2&lt;=K6,1,0)</f>
        <v>1</v>
      </c>
      <c r="BD6">
        <f>IF('Rules &amp; Rate'!$B$2&lt;=L6,1,0)</f>
        <v>1</v>
      </c>
      <c r="BE6">
        <f>IF('Rules &amp; Rate'!$B$2&lt;=M6,1,0)</f>
        <v>1</v>
      </c>
      <c r="BF6">
        <f>IF('Rules &amp; Rate'!$B$2&lt;=N6,1,0)</f>
        <v>0</v>
      </c>
      <c r="BG6">
        <f>IF('Rules &amp; Rate'!$B$3&lt;=O6,1,0)</f>
        <v>0</v>
      </c>
      <c r="BH6">
        <f>IF('Rules &amp; Rate'!$B$3&lt;=P6,1,0)</f>
        <v>0</v>
      </c>
      <c r="BI6">
        <f>IF('Rules &amp; Rate'!$B$2&lt;=R6,1,0)</f>
        <v>1</v>
      </c>
      <c r="BJ6">
        <f>IF('Rules &amp; Rate'!$B$2&lt;=S6,1,0)</f>
        <v>0</v>
      </c>
      <c r="BK6">
        <f>IF('Rules &amp; Rate'!$B$2&lt;=T6,1,0)</f>
        <v>1</v>
      </c>
      <c r="BL6">
        <f>IF('Rules &amp; Rate'!$B$2&lt;=U6,1,0)</f>
        <v>1</v>
      </c>
      <c r="BM6">
        <f>IF('Rules &amp; Rate'!$B$4&lt;=V6,1,0)</f>
        <v>1</v>
      </c>
      <c r="BN6">
        <f>IF('Rules &amp; Rate'!$B$4&lt;=W6,1,0)</f>
        <v>0</v>
      </c>
      <c r="BO6">
        <f>IF('Rules &amp; Rate'!$B$5&lt;=X6,1,0)</f>
        <v>0</v>
      </c>
      <c r="BP6">
        <f>IF('Rules &amp; Rate'!$B$3&lt;=Y6,1,0)</f>
        <v>1</v>
      </c>
      <c r="BQ6">
        <f>IF('Rules &amp; Rate'!$B$3&lt;=Z6,1,0)</f>
        <v>1</v>
      </c>
      <c r="BR6">
        <f>IF('Rules &amp; Rate'!$B$2&lt;=AC6,1,0)</f>
        <v>0</v>
      </c>
      <c r="BS6">
        <f>IF('Rules &amp; Rate'!$B$2&lt;=AD6,1,0)</f>
        <v>0</v>
      </c>
      <c r="BT6">
        <f>IF('Rules &amp; Rate'!$B$2&lt;=AE6,1,0)</f>
        <v>0</v>
      </c>
      <c r="BU6">
        <f>IF('Rules &amp; Rate'!$B$2&lt;=AF6,1,0)</f>
        <v>0</v>
      </c>
      <c r="BV6">
        <f>IF('Rules &amp; Rate'!$B$6&lt;=AG6,1,0)</f>
        <v>0</v>
      </c>
      <c r="BW6">
        <v>65001.72</v>
      </c>
      <c r="BX6">
        <f>SUMPRODUCT(AH6:BA6,Labour!$B$2:$U$2)</f>
        <v>388</v>
      </c>
      <c r="BY6">
        <v>127</v>
      </c>
      <c r="BZ6">
        <f t="shared" si="0"/>
        <v>515</v>
      </c>
      <c r="CA6">
        <f>SUMPRODUCT(AH6:BA6,Labour!$B$3:$U$3)</f>
        <v>373699.22</v>
      </c>
      <c r="CB6">
        <f>SUMPRODUCT(BC6:BV6,'Component $'!$B$10:$U$10)</f>
        <v>268632.56299999997</v>
      </c>
      <c r="CC6">
        <f>SUMPRODUCT(BC6:BV6,'Component $'!$B$9:$U$9)</f>
        <v>33595.713000000003</v>
      </c>
      <c r="CD6">
        <f>SUMPRODUCT(BC6:BV6,'Component $'!$B$6:$U$6)</f>
        <v>160594.85</v>
      </c>
      <c r="CE6">
        <f>SUMPRODUCT(BC6:BV6,'Component $'!$B$8:$U$8)</f>
        <v>74442</v>
      </c>
      <c r="CF6">
        <f t="shared" si="1"/>
        <v>642331.78299999994</v>
      </c>
    </row>
    <row r="7" spans="1:84" ht="14" customHeight="1" x14ac:dyDescent="0.2">
      <c r="A7">
        <v>828</v>
      </c>
      <c r="B7">
        <v>1</v>
      </c>
      <c r="C7">
        <v>1</v>
      </c>
      <c r="D7">
        <v>1</v>
      </c>
      <c r="E7">
        <v>1</v>
      </c>
      <c r="F7">
        <v>1</v>
      </c>
      <c r="G7">
        <v>0.5</v>
      </c>
      <c r="H7">
        <v>0.16860465116279069</v>
      </c>
      <c r="I7">
        <v>8.4302325581395346E-2</v>
      </c>
      <c r="J7">
        <v>870</v>
      </c>
      <c r="K7">
        <v>1.8189645833333334</v>
      </c>
      <c r="L7">
        <v>1.8189645833333334</v>
      </c>
      <c r="M7">
        <v>0.7797452777777778</v>
      </c>
      <c r="N7">
        <v>0.7797452777777778</v>
      </c>
      <c r="O7">
        <v>0.43383523809523811</v>
      </c>
      <c r="P7">
        <v>0.46137283333333334</v>
      </c>
      <c r="Q7">
        <v>1.1150435000000001</v>
      </c>
      <c r="R7">
        <v>0.21925625000000001</v>
      </c>
      <c r="S7">
        <v>0.40262750000000003</v>
      </c>
      <c r="T7">
        <v>9.9140000000000006E-2</v>
      </c>
      <c r="U7">
        <v>0.12489</v>
      </c>
      <c r="V7">
        <v>0.13876666666666668</v>
      </c>
      <c r="W7">
        <v>6.7222222222222223E-3</v>
      </c>
      <c r="X7">
        <v>1.3182080952380952</v>
      </c>
      <c r="Y7">
        <v>0.35345777777777776</v>
      </c>
      <c r="Z7">
        <v>0.53308</v>
      </c>
      <c r="AA7">
        <v>1.1150435000000001</v>
      </c>
      <c r="AB7">
        <v>1.1150435000000001</v>
      </c>
      <c r="AC7">
        <v>0.42710700000000001</v>
      </c>
      <c r="AD7">
        <v>1.1819657142857143</v>
      </c>
      <c r="AE7">
        <v>0.32209199999999999</v>
      </c>
      <c r="AF7">
        <v>1.1819657142857143</v>
      </c>
      <c r="AG7">
        <v>0.66148300000000004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5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f>IF('Rules &amp; Rate'!$B$2&lt;=K7,1,0)</f>
        <v>1</v>
      </c>
      <c r="BD7">
        <f>IF('Rules &amp; Rate'!$B$2&lt;=L7,1,0)</f>
        <v>1</v>
      </c>
      <c r="BE7">
        <f>IF('Rules &amp; Rate'!$B$2&lt;=M7,1,0)</f>
        <v>1</v>
      </c>
      <c r="BF7">
        <f>IF('Rules &amp; Rate'!$B$2&lt;=N7,1,0)</f>
        <v>1</v>
      </c>
      <c r="BG7">
        <f>IF('Rules &amp; Rate'!$B$3&lt;=O7,1,0)</f>
        <v>0</v>
      </c>
      <c r="BH7">
        <f>IF('Rules &amp; Rate'!$B$3&lt;=P7,1,0)</f>
        <v>0</v>
      </c>
      <c r="BI7">
        <f>IF('Rules &amp; Rate'!$B$2&lt;=R7,1,0)</f>
        <v>0</v>
      </c>
      <c r="BJ7">
        <f>IF('Rules &amp; Rate'!$B$2&lt;=S7,1,0)</f>
        <v>1</v>
      </c>
      <c r="BK7">
        <f>IF('Rules &amp; Rate'!$B$2&lt;=T7,1,0)</f>
        <v>0</v>
      </c>
      <c r="BL7">
        <f>IF('Rules &amp; Rate'!$B$2&lt;=U7,1,0)</f>
        <v>0</v>
      </c>
      <c r="BM7">
        <f>IF('Rules &amp; Rate'!$B$4&lt;=V7,1,0)</f>
        <v>0</v>
      </c>
      <c r="BN7">
        <f>IF('Rules &amp; Rate'!$B$4&lt;=W7,1,0)</f>
        <v>0</v>
      </c>
      <c r="BO7">
        <f>IF('Rules &amp; Rate'!$B$5&lt;=X7,1,0)</f>
        <v>1</v>
      </c>
      <c r="BP7">
        <f>IF('Rules &amp; Rate'!$B$3&lt;=Y7,1,0)</f>
        <v>0</v>
      </c>
      <c r="BQ7">
        <f>IF('Rules &amp; Rate'!$B$3&lt;=Z7,1,0)</f>
        <v>1</v>
      </c>
      <c r="BR7">
        <f>IF('Rules &amp; Rate'!$B$2&lt;=AC7,1,0)</f>
        <v>1</v>
      </c>
      <c r="BS7">
        <f>IF('Rules &amp; Rate'!$B$2&lt;=AD7,1,0)</f>
        <v>1</v>
      </c>
      <c r="BT7">
        <f>IF('Rules &amp; Rate'!$B$2&lt;=AE7,1,0)</f>
        <v>1</v>
      </c>
      <c r="BU7">
        <f>IF('Rules &amp; Rate'!$B$2&lt;=AF7,1,0)</f>
        <v>1</v>
      </c>
      <c r="BV7">
        <f>IF('Rules &amp; Rate'!$B$6&lt;=AG7,1,0)</f>
        <v>0</v>
      </c>
      <c r="BW7">
        <v>66902.61</v>
      </c>
      <c r="BX7">
        <f>SUMPRODUCT(AH7:BA7,Labour!$B$2:$U$2)</f>
        <v>400</v>
      </c>
      <c r="BY7">
        <v>127</v>
      </c>
      <c r="BZ7">
        <f t="shared" si="0"/>
        <v>527</v>
      </c>
      <c r="CA7">
        <f>SUMPRODUCT(AH7:BA7,Labour!$B$3:$U$3)</f>
        <v>424675.83999999997</v>
      </c>
      <c r="CB7">
        <f>SUMPRODUCT(BC7:BV7,'Component $'!$B$10:$U$10)</f>
        <v>170381.84359999999</v>
      </c>
      <c r="CC7">
        <f>SUMPRODUCT(BC7:BV7,'Component $'!$B$9:$U$9)</f>
        <v>26807.943600000002</v>
      </c>
      <c r="CD7">
        <f>SUMPRODUCT(BC7:BV7,'Component $'!$B$6:$U$6)</f>
        <v>78750.899999999994</v>
      </c>
      <c r="CE7">
        <f>SUMPRODUCT(BC7:BV7,'Component $'!$B$8:$U$8)</f>
        <v>64823</v>
      </c>
      <c r="CF7">
        <f t="shared" si="1"/>
        <v>595057.68359999999</v>
      </c>
    </row>
    <row r="8" spans="1:84" x14ac:dyDescent="0.2">
      <c r="A8">
        <v>829</v>
      </c>
      <c r="B8">
        <v>1</v>
      </c>
      <c r="C8">
        <v>1</v>
      </c>
      <c r="D8">
        <v>1</v>
      </c>
      <c r="E8">
        <v>1</v>
      </c>
      <c r="F8">
        <v>1</v>
      </c>
      <c r="G8">
        <v>0.5</v>
      </c>
      <c r="H8">
        <v>6.9767441860465115E-2</v>
      </c>
      <c r="I8">
        <v>3.4883720930232558E-2</v>
      </c>
      <c r="J8">
        <v>360</v>
      </c>
      <c r="K8">
        <v>1.5123316666666666</v>
      </c>
      <c r="L8">
        <v>1.5123316666666666</v>
      </c>
      <c r="M8">
        <v>0.7285611111111111</v>
      </c>
      <c r="N8">
        <v>0.7285611111111111</v>
      </c>
      <c r="O8">
        <v>0.35297000000000001</v>
      </c>
      <c r="P8">
        <v>0.39662433333333336</v>
      </c>
      <c r="Q8">
        <v>1.0433083333333333</v>
      </c>
      <c r="R8">
        <v>0.30641062499999999</v>
      </c>
      <c r="S8">
        <v>4.4081250000000002E-2</v>
      </c>
      <c r="T8">
        <v>0.71031250000000001</v>
      </c>
      <c r="U8">
        <v>1.26041</v>
      </c>
      <c r="V8">
        <v>0.52701500000000001</v>
      </c>
      <c r="W8">
        <v>0.78923611111111114</v>
      </c>
      <c r="X8">
        <v>0.67225999999999997</v>
      </c>
      <c r="Y8">
        <v>0.18215000000000001</v>
      </c>
      <c r="Z8">
        <v>0.68977611111111115</v>
      </c>
      <c r="AA8">
        <v>1.0433083333333333</v>
      </c>
      <c r="AB8">
        <v>1.0433083333333333</v>
      </c>
      <c r="AC8">
        <v>0.52809349999999999</v>
      </c>
      <c r="AD8">
        <v>0.14952142857142858</v>
      </c>
      <c r="AE8">
        <v>8.2244999999999999E-2</v>
      </c>
      <c r="AF8">
        <v>0.11749285714285715</v>
      </c>
      <c r="AG8">
        <v>0.6852651666666667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2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f>IF('Rules &amp; Rate'!$B$2&lt;=K8,1,0)</f>
        <v>1</v>
      </c>
      <c r="BD8">
        <f>IF('Rules &amp; Rate'!$B$2&lt;=L8,1,0)</f>
        <v>1</v>
      </c>
      <c r="BE8">
        <f>IF('Rules &amp; Rate'!$B$2&lt;=M8,1,0)</f>
        <v>1</v>
      </c>
      <c r="BF8">
        <f>IF('Rules &amp; Rate'!$B$2&lt;=N8,1,0)</f>
        <v>1</v>
      </c>
      <c r="BG8">
        <f>IF('Rules &amp; Rate'!$B$3&lt;=O8,1,0)</f>
        <v>0</v>
      </c>
      <c r="BH8">
        <f>IF('Rules &amp; Rate'!$B$3&lt;=P8,1,0)</f>
        <v>0</v>
      </c>
      <c r="BI8">
        <f>IF('Rules &amp; Rate'!$B$2&lt;=R8,1,0)</f>
        <v>1</v>
      </c>
      <c r="BJ8">
        <f>IF('Rules &amp; Rate'!$B$2&lt;=S8,1,0)</f>
        <v>0</v>
      </c>
      <c r="BK8">
        <f>IF('Rules &amp; Rate'!$B$2&lt;=T8,1,0)</f>
        <v>1</v>
      </c>
      <c r="BL8">
        <f>IF('Rules &amp; Rate'!$B$2&lt;=U8,1,0)</f>
        <v>1</v>
      </c>
      <c r="BM8">
        <f>IF('Rules &amp; Rate'!$B$4&lt;=V8,1,0)</f>
        <v>0</v>
      </c>
      <c r="BN8">
        <f>IF('Rules &amp; Rate'!$B$4&lt;=W8,1,0)</f>
        <v>1</v>
      </c>
      <c r="BO8">
        <f>IF('Rules &amp; Rate'!$B$5&lt;=X8,1,0)</f>
        <v>0</v>
      </c>
      <c r="BP8">
        <f>IF('Rules &amp; Rate'!$B$3&lt;=Y8,1,0)</f>
        <v>0</v>
      </c>
      <c r="BQ8">
        <f>IF('Rules &amp; Rate'!$B$3&lt;=Z8,1,0)</f>
        <v>1</v>
      </c>
      <c r="BR8">
        <f>IF('Rules &amp; Rate'!$B$2&lt;=AC8,1,0)</f>
        <v>1</v>
      </c>
      <c r="BS8">
        <f>IF('Rules &amp; Rate'!$B$2&lt;=AD8,1,0)</f>
        <v>0</v>
      </c>
      <c r="BT8">
        <f>IF('Rules &amp; Rate'!$B$2&lt;=AE8,1,0)</f>
        <v>0</v>
      </c>
      <c r="BU8">
        <f>IF('Rules &amp; Rate'!$B$2&lt;=AF8,1,0)</f>
        <v>0</v>
      </c>
      <c r="BV8">
        <f>IF('Rules &amp; Rate'!$B$6&lt;=AG8,1,0)</f>
        <v>0</v>
      </c>
      <c r="BW8">
        <v>62598.5</v>
      </c>
      <c r="BX8">
        <f>SUMPRODUCT(AH8:BA8,Labour!$B$2:$U$2)</f>
        <v>382</v>
      </c>
      <c r="BY8">
        <v>141</v>
      </c>
      <c r="BZ8">
        <f t="shared" si="0"/>
        <v>523</v>
      </c>
      <c r="CA8">
        <f>SUMPRODUCT(AH8:BA8,Labour!$B$3:$U$3)</f>
        <v>348210.91000000003</v>
      </c>
      <c r="CB8">
        <f>SUMPRODUCT(BC8:BV8,'Component $'!$B$10:$U$10)</f>
        <v>255949.41439999998</v>
      </c>
      <c r="CC8">
        <f>SUMPRODUCT(BC8:BV8,'Component $'!$B$9:$U$9)</f>
        <v>26022.614400000002</v>
      </c>
      <c r="CD8">
        <f>SUMPRODUCT(BC8:BV8,'Component $'!$B$6:$U$6)</f>
        <v>144485.79999999999</v>
      </c>
      <c r="CE8">
        <f>SUMPRODUCT(BC8:BV8,'Component $'!$B$8:$U$8)</f>
        <v>85441</v>
      </c>
      <c r="CF8">
        <f t="shared" si="1"/>
        <v>604160.32440000004</v>
      </c>
    </row>
    <row r="9" spans="1:84" x14ac:dyDescent="0.2">
      <c r="A9">
        <v>830</v>
      </c>
      <c r="B9">
        <v>1</v>
      </c>
      <c r="C9">
        <v>1</v>
      </c>
      <c r="D9">
        <v>1</v>
      </c>
      <c r="E9">
        <v>1</v>
      </c>
      <c r="F9">
        <v>1</v>
      </c>
      <c r="G9">
        <v>0.5</v>
      </c>
      <c r="H9">
        <v>0</v>
      </c>
      <c r="I9">
        <v>0</v>
      </c>
      <c r="J9">
        <v>0</v>
      </c>
      <c r="K9">
        <v>1.5782779166666667</v>
      </c>
      <c r="L9">
        <v>1.5782779166666667</v>
      </c>
      <c r="M9">
        <v>0.74672000000000005</v>
      </c>
      <c r="N9">
        <v>0.74672000000000005</v>
      </c>
      <c r="O9">
        <v>4.4828571428571426E-2</v>
      </c>
      <c r="P9">
        <v>0.40586899999999998</v>
      </c>
      <c r="Q9">
        <v>1.0600778333333334</v>
      </c>
      <c r="R9">
        <v>0.44502312500000002</v>
      </c>
      <c r="S9">
        <v>0.44551687499999998</v>
      </c>
      <c r="T9">
        <v>8.5050000000000004E-3</v>
      </c>
      <c r="U9">
        <v>1.2176070000000001</v>
      </c>
      <c r="V9">
        <v>0.94872888888888884</v>
      </c>
      <c r="W9">
        <v>0.63883166666666669</v>
      </c>
      <c r="X9">
        <v>4.4828571428571426E-2</v>
      </c>
      <c r="Y9">
        <v>0.38140944444444447</v>
      </c>
      <c r="Z9">
        <v>0.61380944444444441</v>
      </c>
      <c r="AA9">
        <v>1.0600778333333334</v>
      </c>
      <c r="AB9">
        <v>1.0600778333333334</v>
      </c>
      <c r="AC9">
        <v>6.1405000000000001E-2</v>
      </c>
      <c r="AD9">
        <v>8.9521428571428571E-2</v>
      </c>
      <c r="AE9">
        <v>0.3089035</v>
      </c>
      <c r="AF9">
        <v>8.9521428571428571E-2</v>
      </c>
      <c r="AG9">
        <v>0.40586899999999998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2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f>IF('Rules &amp; Rate'!$B$2&lt;=K9,1,0)</f>
        <v>1</v>
      </c>
      <c r="BD9">
        <f>IF('Rules &amp; Rate'!$B$2&lt;=L9,1,0)</f>
        <v>1</v>
      </c>
      <c r="BE9">
        <f>IF('Rules &amp; Rate'!$B$2&lt;=M9,1,0)</f>
        <v>1</v>
      </c>
      <c r="BF9">
        <f>IF('Rules &amp; Rate'!$B$2&lt;=N9,1,0)</f>
        <v>1</v>
      </c>
      <c r="BG9">
        <f>IF('Rules &amp; Rate'!$B$3&lt;=O9,1,0)</f>
        <v>0</v>
      </c>
      <c r="BH9">
        <f>IF('Rules &amp; Rate'!$B$3&lt;=P9,1,0)</f>
        <v>0</v>
      </c>
      <c r="BI9">
        <f>IF('Rules &amp; Rate'!$B$2&lt;=R9,1,0)</f>
        <v>1</v>
      </c>
      <c r="BJ9">
        <f>IF('Rules &amp; Rate'!$B$2&lt;=S9,1,0)</f>
        <v>1</v>
      </c>
      <c r="BK9">
        <f>IF('Rules &amp; Rate'!$B$2&lt;=T9,1,0)</f>
        <v>0</v>
      </c>
      <c r="BL9">
        <f>IF('Rules &amp; Rate'!$B$2&lt;=U9,1,0)</f>
        <v>1</v>
      </c>
      <c r="BM9">
        <f>IF('Rules &amp; Rate'!$B$4&lt;=V9,1,0)</f>
        <v>1</v>
      </c>
      <c r="BN9">
        <f>IF('Rules &amp; Rate'!$B$4&lt;=W9,1,0)</f>
        <v>0</v>
      </c>
      <c r="BO9">
        <f>IF('Rules &amp; Rate'!$B$5&lt;=X9,1,0)</f>
        <v>0</v>
      </c>
      <c r="BP9">
        <f>IF('Rules &amp; Rate'!$B$3&lt;=Y9,1,0)</f>
        <v>0</v>
      </c>
      <c r="BQ9">
        <f>IF('Rules &amp; Rate'!$B$3&lt;=Z9,1,0)</f>
        <v>1</v>
      </c>
      <c r="BR9">
        <f>IF('Rules &amp; Rate'!$B$2&lt;=AC9,1,0)</f>
        <v>0</v>
      </c>
      <c r="BS9">
        <f>IF('Rules &amp; Rate'!$B$2&lt;=AD9,1,0)</f>
        <v>0</v>
      </c>
      <c r="BT9">
        <f>IF('Rules &amp; Rate'!$B$2&lt;=AE9,1,0)</f>
        <v>1</v>
      </c>
      <c r="BU9">
        <f>IF('Rules &amp; Rate'!$B$2&lt;=AF9,1,0)</f>
        <v>0</v>
      </c>
      <c r="BV9">
        <f>IF('Rules &amp; Rate'!$B$6&lt;=AG9,1,0)</f>
        <v>0</v>
      </c>
      <c r="BW9">
        <v>63604.67</v>
      </c>
      <c r="BX9">
        <f>SUMPRODUCT(AH9:BA9,Labour!$B$2:$U$2)</f>
        <v>370</v>
      </c>
      <c r="BY9">
        <v>186</v>
      </c>
      <c r="BZ9">
        <f t="shared" si="0"/>
        <v>556</v>
      </c>
      <c r="CA9">
        <f>SUMPRODUCT(AH9:BA9,Labour!$B$3:$U$3)</f>
        <v>332798.91000000003</v>
      </c>
      <c r="CB9">
        <f>SUMPRODUCT(BC9:BV9,'Component $'!$B$10:$U$10)</f>
        <v>277843.40740000003</v>
      </c>
      <c r="CC9">
        <f>SUMPRODUCT(BC9:BV9,'Component $'!$B$9:$U$9)</f>
        <v>28680.557400000002</v>
      </c>
      <c r="CD9">
        <f>SUMPRODUCT(BC9:BV9,'Component $'!$B$6:$U$6)</f>
        <v>148367.85</v>
      </c>
      <c r="CE9">
        <f>SUMPRODUCT(BC9:BV9,'Component $'!$B$8:$U$8)</f>
        <v>100795</v>
      </c>
      <c r="CF9">
        <f t="shared" si="1"/>
        <v>610642.31740000006</v>
      </c>
    </row>
    <row r="10" spans="1:84" x14ac:dyDescent="0.2">
      <c r="A10">
        <v>831</v>
      </c>
      <c r="B10">
        <v>1</v>
      </c>
      <c r="C10">
        <v>1</v>
      </c>
      <c r="D10">
        <v>1</v>
      </c>
      <c r="E10">
        <v>1</v>
      </c>
      <c r="F10">
        <v>1</v>
      </c>
      <c r="G10">
        <v>0.5</v>
      </c>
      <c r="H10">
        <v>0</v>
      </c>
      <c r="I10">
        <v>0</v>
      </c>
      <c r="J10">
        <v>0</v>
      </c>
      <c r="K10">
        <v>0.40910958333333336</v>
      </c>
      <c r="L10">
        <v>0.40910958333333336</v>
      </c>
      <c r="M10">
        <v>0.63515861111111116</v>
      </c>
      <c r="N10">
        <v>0.63515861111111116</v>
      </c>
      <c r="O10">
        <v>0.36870619047619047</v>
      </c>
      <c r="Q10">
        <v>0.16364383333333332</v>
      </c>
      <c r="R10">
        <v>2.6668750000000001E-2</v>
      </c>
      <c r="S10">
        <v>8.8531250000000006E-2</v>
      </c>
      <c r="T10">
        <v>1.1432855</v>
      </c>
      <c r="U10">
        <v>1.1432855</v>
      </c>
      <c r="V10">
        <v>0.54547944444444441</v>
      </c>
      <c r="W10">
        <v>0.54547944444444441</v>
      </c>
      <c r="X10">
        <v>0.46755380952380954</v>
      </c>
      <c r="Y10">
        <v>0.54547944444444441</v>
      </c>
      <c r="AA10">
        <v>0.99901616666666671</v>
      </c>
      <c r="AB10">
        <v>0.99901616666666671</v>
      </c>
      <c r="AC10">
        <v>7.0824999999999999E-2</v>
      </c>
      <c r="AD10">
        <v>0.37989499999999998</v>
      </c>
      <c r="AE10">
        <v>7.0824999999999999E-2</v>
      </c>
      <c r="AF10">
        <v>0.14987142857142857</v>
      </c>
      <c r="AG10">
        <v>0.51296716666666664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4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f>IF('Rules &amp; Rate'!$B$2&lt;=K10,1,0)</f>
        <v>1</v>
      </c>
      <c r="BD10">
        <f>IF('Rules &amp; Rate'!$B$2&lt;=L10,1,0)</f>
        <v>1</v>
      </c>
      <c r="BE10">
        <f>IF('Rules &amp; Rate'!$B$2&lt;=M10,1,0)</f>
        <v>1</v>
      </c>
      <c r="BF10">
        <f>IF('Rules &amp; Rate'!$B$2&lt;=N10,1,0)</f>
        <v>1</v>
      </c>
      <c r="BG10">
        <f>IF('Rules &amp; Rate'!$B$3&lt;=O10,1,0)</f>
        <v>0</v>
      </c>
      <c r="BH10">
        <f>IF('Rules &amp; Rate'!$B$3&lt;=P10,1,0)</f>
        <v>0</v>
      </c>
      <c r="BI10">
        <f>IF('Rules &amp; Rate'!$B$2&lt;=R10,1,0)</f>
        <v>0</v>
      </c>
      <c r="BJ10">
        <f>IF('Rules &amp; Rate'!$B$2&lt;=S10,1,0)</f>
        <v>0</v>
      </c>
      <c r="BK10">
        <f>IF('Rules &amp; Rate'!$B$2&lt;=T10,1,0)</f>
        <v>1</v>
      </c>
      <c r="BL10">
        <f>IF('Rules &amp; Rate'!$B$2&lt;=U10,1,0)</f>
        <v>1</v>
      </c>
      <c r="BM10">
        <f>IF('Rules &amp; Rate'!$B$4&lt;=V10,1,0)</f>
        <v>0</v>
      </c>
      <c r="BN10">
        <f>IF('Rules &amp; Rate'!$B$4&lt;=W10,1,0)</f>
        <v>0</v>
      </c>
      <c r="BO10">
        <f>IF('Rules &amp; Rate'!$B$5&lt;=X10,1,0)</f>
        <v>0</v>
      </c>
      <c r="BP10">
        <f>IF('Rules &amp; Rate'!$B$3&lt;=Y10,1,0)</f>
        <v>1</v>
      </c>
      <c r="BQ10">
        <f>IF('Rules &amp; Rate'!$B$3&lt;=Z10,1,0)</f>
        <v>0</v>
      </c>
      <c r="BR10">
        <f>IF('Rules &amp; Rate'!$B$2&lt;=AC10,1,0)</f>
        <v>0</v>
      </c>
      <c r="BS10">
        <f>IF('Rules &amp; Rate'!$B$2&lt;=AD10,1,0)</f>
        <v>1</v>
      </c>
      <c r="BT10">
        <f>IF('Rules &amp; Rate'!$B$2&lt;=AE10,1,0)</f>
        <v>0</v>
      </c>
      <c r="BU10">
        <f>IF('Rules &amp; Rate'!$B$2&lt;=AF10,1,0)</f>
        <v>0</v>
      </c>
      <c r="BV10">
        <f>IF('Rules &amp; Rate'!$B$6&lt;=AG10,1,0)</f>
        <v>0</v>
      </c>
      <c r="BW10">
        <v>59940.97</v>
      </c>
      <c r="BX10">
        <f>SUMPRODUCT(AH10:BA10,Labour!$B$2:$U$2)</f>
        <v>394</v>
      </c>
      <c r="BY10">
        <v>138</v>
      </c>
      <c r="BZ10">
        <f t="shared" si="0"/>
        <v>532</v>
      </c>
      <c r="CA10">
        <f>SUMPRODUCT(AH10:BA10,Labour!$B$3:$U$3)</f>
        <v>399187.53</v>
      </c>
      <c r="CB10">
        <f>SUMPRODUCT(BC10:BV10,'Component $'!$B$10:$U$10)</f>
        <v>77100.9764</v>
      </c>
      <c r="CC10">
        <f>SUMPRODUCT(BC10:BV10,'Component $'!$B$9:$U$9)</f>
        <v>17307.1764</v>
      </c>
      <c r="CD10">
        <f>SUMPRODUCT(BC10:BV10,'Component $'!$B$6:$U$6)</f>
        <v>26393.8</v>
      </c>
      <c r="CE10">
        <f>SUMPRODUCT(BC10:BV10,'Component $'!$B$8:$U$8)</f>
        <v>33400</v>
      </c>
      <c r="CF10">
        <f t="shared" si="1"/>
        <v>476288.50640000001</v>
      </c>
    </row>
    <row r="11" spans="1:84" x14ac:dyDescent="0.2">
      <c r="A11">
        <v>832</v>
      </c>
      <c r="B11">
        <v>1</v>
      </c>
      <c r="C11">
        <v>1</v>
      </c>
      <c r="D11">
        <v>2</v>
      </c>
      <c r="E11">
        <v>1</v>
      </c>
      <c r="F11">
        <v>2</v>
      </c>
      <c r="G11">
        <v>0.7</v>
      </c>
      <c r="H11">
        <v>0.35852713178294576</v>
      </c>
      <c r="I11">
        <v>0.25096899224806202</v>
      </c>
      <c r="J11">
        <v>1850</v>
      </c>
      <c r="K11">
        <v>1.6036858333333333</v>
      </c>
      <c r="L11">
        <v>1.6036858333333333</v>
      </c>
      <c r="M11">
        <v>0.77221111111111107</v>
      </c>
      <c r="N11">
        <v>0.77221111111111107</v>
      </c>
      <c r="O11">
        <v>0.23825714285714286</v>
      </c>
      <c r="P11">
        <v>0.43589050000000001</v>
      </c>
      <c r="Q11">
        <v>1.0651798333333333</v>
      </c>
      <c r="R11">
        <v>0.5074225</v>
      </c>
      <c r="S11">
        <v>0.44981624999999997</v>
      </c>
      <c r="T11">
        <v>0.33622800000000003</v>
      </c>
      <c r="U11">
        <v>0.33622800000000003</v>
      </c>
      <c r="V11">
        <v>0.10051111111111111</v>
      </c>
      <c r="W11">
        <v>0.15101666666666666</v>
      </c>
      <c r="X11">
        <v>0.31245523809523812</v>
      </c>
      <c r="Y11">
        <v>0.10051111111111111</v>
      </c>
      <c r="Z11">
        <v>0.15101666666666666</v>
      </c>
      <c r="AA11">
        <v>1.0651798333333333</v>
      </c>
      <c r="AB11">
        <v>1.0651798333333333</v>
      </c>
      <c r="AC11">
        <v>0.259158</v>
      </c>
      <c r="AD11">
        <v>0.19416428571428571</v>
      </c>
      <c r="AE11">
        <v>0.28062799999999999</v>
      </c>
      <c r="AF11">
        <v>0.19416428571428571</v>
      </c>
      <c r="AG11">
        <v>0.51355550000000005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2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f>IF('Rules &amp; Rate'!$B$2&lt;=K11,1,0)</f>
        <v>1</v>
      </c>
      <c r="BD11">
        <f>IF('Rules &amp; Rate'!$B$2&lt;=L11,1,0)</f>
        <v>1</v>
      </c>
      <c r="BE11">
        <f>IF('Rules &amp; Rate'!$B$2&lt;=M11,1,0)</f>
        <v>1</v>
      </c>
      <c r="BF11">
        <f>IF('Rules &amp; Rate'!$B$2&lt;=N11,1,0)</f>
        <v>1</v>
      </c>
      <c r="BG11">
        <f>IF('Rules &amp; Rate'!$B$3&lt;=O11,1,0)</f>
        <v>0</v>
      </c>
      <c r="BH11">
        <f>IF('Rules &amp; Rate'!$B$3&lt;=P11,1,0)</f>
        <v>0</v>
      </c>
      <c r="BI11">
        <f>IF('Rules &amp; Rate'!$B$2&lt;=R11,1,0)</f>
        <v>1</v>
      </c>
      <c r="BJ11">
        <f>IF('Rules &amp; Rate'!$B$2&lt;=S11,1,0)</f>
        <v>1</v>
      </c>
      <c r="BK11">
        <f>IF('Rules &amp; Rate'!$B$2&lt;=T11,1,0)</f>
        <v>1</v>
      </c>
      <c r="BL11">
        <f>IF('Rules &amp; Rate'!$B$2&lt;=U11,1,0)</f>
        <v>1</v>
      </c>
      <c r="BM11">
        <f>IF('Rules &amp; Rate'!$B$4&lt;=V11,1,0)</f>
        <v>0</v>
      </c>
      <c r="BN11">
        <f>IF('Rules &amp; Rate'!$B$4&lt;=W11,1,0)</f>
        <v>0</v>
      </c>
      <c r="BO11">
        <f>IF('Rules &amp; Rate'!$B$5&lt;=X11,1,0)</f>
        <v>0</v>
      </c>
      <c r="BP11">
        <f>IF('Rules &amp; Rate'!$B$3&lt;=Y11,1,0)</f>
        <v>0</v>
      </c>
      <c r="BQ11">
        <f>IF('Rules &amp; Rate'!$B$3&lt;=Z11,1,0)</f>
        <v>0</v>
      </c>
      <c r="BR11">
        <f>IF('Rules &amp; Rate'!$B$2&lt;=AC11,1,0)</f>
        <v>0</v>
      </c>
      <c r="BS11">
        <f>IF('Rules &amp; Rate'!$B$2&lt;=AD11,1,0)</f>
        <v>0</v>
      </c>
      <c r="BT11">
        <f>IF('Rules &amp; Rate'!$B$2&lt;=AE11,1,0)</f>
        <v>0</v>
      </c>
      <c r="BU11">
        <f>IF('Rules &amp; Rate'!$B$2&lt;=AF11,1,0)</f>
        <v>0</v>
      </c>
      <c r="BV11">
        <f>IF('Rules &amp; Rate'!$B$6&lt;=AG11,1,0)</f>
        <v>0</v>
      </c>
      <c r="BW11">
        <v>63857.72</v>
      </c>
      <c r="BX11">
        <f>SUMPRODUCT(AH11:BA11,Labour!$B$2:$U$2)</f>
        <v>382</v>
      </c>
      <c r="BY11">
        <v>127</v>
      </c>
      <c r="BZ11">
        <f t="shared" si="0"/>
        <v>509</v>
      </c>
      <c r="CA11">
        <f>SUMPRODUCT(AH11:BA11,Labour!$B$3:$U$3)</f>
        <v>348210.91000000003</v>
      </c>
      <c r="CB11">
        <f>SUMPRODUCT(BC11:BV11,'Component $'!$B$10:$U$10)</f>
        <v>87269.246000000014</v>
      </c>
      <c r="CC11">
        <f>SUMPRODUCT(BC11:BV11,'Component $'!$B$9:$U$9)</f>
        <v>11281.446</v>
      </c>
      <c r="CD11">
        <f>SUMPRODUCT(BC11:BV11,'Component $'!$B$6:$U$6)</f>
        <v>10497.800000000001</v>
      </c>
      <c r="CE11">
        <f>SUMPRODUCT(BC11:BV11,'Component $'!$B$8:$U$8)</f>
        <v>65490</v>
      </c>
      <c r="CF11">
        <f t="shared" si="1"/>
        <v>435480.15600000008</v>
      </c>
    </row>
    <row r="12" spans="1:84" x14ac:dyDescent="0.2">
      <c r="A12">
        <v>833</v>
      </c>
      <c r="B12">
        <v>2</v>
      </c>
      <c r="C12">
        <v>0</v>
      </c>
      <c r="D12">
        <v>2</v>
      </c>
      <c r="E12">
        <v>2</v>
      </c>
      <c r="F12">
        <v>1</v>
      </c>
      <c r="G12">
        <v>0.7</v>
      </c>
      <c r="H12">
        <v>0.59883720930232553</v>
      </c>
      <c r="I12">
        <v>0.41918604651162783</v>
      </c>
      <c r="J12">
        <v>3090</v>
      </c>
      <c r="K12">
        <v>0.66243916666666669</v>
      </c>
      <c r="L12">
        <v>0.68918374999999998</v>
      </c>
      <c r="M12">
        <v>0.25958805555555553</v>
      </c>
      <c r="N12">
        <v>0.25958805555555553</v>
      </c>
      <c r="O12">
        <v>0.40323190476190474</v>
      </c>
      <c r="P12">
        <v>0.27579316666666664</v>
      </c>
      <c r="Q12">
        <v>0.96806933333333334</v>
      </c>
      <c r="R12">
        <v>0.63740437500000002</v>
      </c>
      <c r="S12">
        <v>0.63740437500000002</v>
      </c>
      <c r="T12">
        <v>0.63506399999999996</v>
      </c>
      <c r="U12">
        <v>0.63506399999999996</v>
      </c>
      <c r="V12">
        <v>0.30549833333333332</v>
      </c>
      <c r="W12">
        <v>0.37379833333333334</v>
      </c>
      <c r="X12">
        <v>0.63024904761904765</v>
      </c>
      <c r="Y12">
        <v>0.26573166666666664</v>
      </c>
      <c r="Z12">
        <v>0.25187611111111113</v>
      </c>
      <c r="AA12">
        <v>0.96806933333333334</v>
      </c>
      <c r="AB12">
        <v>0.96806933333333334</v>
      </c>
      <c r="AC12">
        <v>0.36743350000000002</v>
      </c>
      <c r="AD12">
        <v>0.1069</v>
      </c>
      <c r="AE12">
        <v>0.138075</v>
      </c>
      <c r="AF12">
        <v>0.28698571428571429</v>
      </c>
      <c r="AG12">
        <v>0.48929250000000002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f>IF('Rules &amp; Rate'!$B$2&lt;=K12,1,0)</f>
        <v>1</v>
      </c>
      <c r="BD12">
        <f>IF('Rules &amp; Rate'!$B$2&lt;=L12,1,0)</f>
        <v>1</v>
      </c>
      <c r="BE12">
        <f>IF('Rules &amp; Rate'!$B$2&lt;=M12,1,0)</f>
        <v>0</v>
      </c>
      <c r="BF12">
        <f>IF('Rules &amp; Rate'!$B$2&lt;=N12,1,0)</f>
        <v>0</v>
      </c>
      <c r="BG12">
        <f>IF('Rules &amp; Rate'!$B$3&lt;=O12,1,0)</f>
        <v>0</v>
      </c>
      <c r="BH12">
        <f>IF('Rules &amp; Rate'!$B$3&lt;=P12,1,0)</f>
        <v>0</v>
      </c>
      <c r="BI12">
        <f>IF('Rules &amp; Rate'!$B$2&lt;=R12,1,0)</f>
        <v>1</v>
      </c>
      <c r="BJ12">
        <f>IF('Rules &amp; Rate'!$B$2&lt;=S12,1,0)</f>
        <v>1</v>
      </c>
      <c r="BK12">
        <f>IF('Rules &amp; Rate'!$B$2&lt;=T12,1,0)</f>
        <v>1</v>
      </c>
      <c r="BL12">
        <f>IF('Rules &amp; Rate'!$B$2&lt;=U12,1,0)</f>
        <v>1</v>
      </c>
      <c r="BM12">
        <f>IF('Rules &amp; Rate'!$B$4&lt;=V12,1,0)</f>
        <v>0</v>
      </c>
      <c r="BN12">
        <f>IF('Rules &amp; Rate'!$B$4&lt;=W12,1,0)</f>
        <v>0</v>
      </c>
      <c r="BO12">
        <f>IF('Rules &amp; Rate'!$B$5&lt;=X12,1,0)</f>
        <v>0</v>
      </c>
      <c r="BP12">
        <f>IF('Rules &amp; Rate'!$B$3&lt;=Y12,1,0)</f>
        <v>0</v>
      </c>
      <c r="BQ12">
        <f>IF('Rules &amp; Rate'!$B$3&lt;=Z12,1,0)</f>
        <v>0</v>
      </c>
      <c r="BR12">
        <f>IF('Rules &amp; Rate'!$B$2&lt;=AC12,1,0)</f>
        <v>1</v>
      </c>
      <c r="BS12">
        <f>IF('Rules &amp; Rate'!$B$2&lt;=AD12,1,0)</f>
        <v>0</v>
      </c>
      <c r="BT12">
        <f>IF('Rules &amp; Rate'!$B$2&lt;=AE12,1,0)</f>
        <v>0</v>
      </c>
      <c r="BU12">
        <f>IF('Rules &amp; Rate'!$B$2&lt;=AF12,1,0)</f>
        <v>0</v>
      </c>
      <c r="BV12">
        <f>IF('Rules &amp; Rate'!$B$6&lt;=AG12,1,0)</f>
        <v>0</v>
      </c>
      <c r="BW12">
        <v>58084.160000000003</v>
      </c>
      <c r="BX12">
        <f>SUMPRODUCT(AH12:BA12,Labour!$B$2:$U$2)</f>
        <v>382</v>
      </c>
      <c r="BY12">
        <v>101</v>
      </c>
      <c r="BZ12">
        <f t="shared" si="0"/>
        <v>483</v>
      </c>
      <c r="CA12">
        <f>SUMPRODUCT(AH12:BA12,Labour!$B$3:$U$3)</f>
        <v>348210.91000000003</v>
      </c>
      <c r="CB12">
        <f>SUMPRODUCT(BC12:BV12,'Component $'!$B$10:$U$10)</f>
        <v>87926.06240000001</v>
      </c>
      <c r="CC12">
        <f>SUMPRODUCT(BC12:BV12,'Component $'!$B$9:$U$9)</f>
        <v>12047.162400000001</v>
      </c>
      <c r="CD12">
        <f>SUMPRODUCT(BC12:BV12,'Component $'!$B$6:$U$6)</f>
        <v>13030.900000000001</v>
      </c>
      <c r="CE12">
        <f>SUMPRODUCT(BC12:BV12,'Component $'!$B$8:$U$8)</f>
        <v>62848</v>
      </c>
      <c r="CF12">
        <f t="shared" si="1"/>
        <v>436136.97240000003</v>
      </c>
    </row>
    <row r="13" spans="1:84" x14ac:dyDescent="0.2">
      <c r="A13">
        <v>834</v>
      </c>
      <c r="B13">
        <v>1</v>
      </c>
      <c r="C13">
        <v>2</v>
      </c>
      <c r="D13">
        <v>2</v>
      </c>
      <c r="E13">
        <v>2</v>
      </c>
      <c r="F13">
        <v>2</v>
      </c>
      <c r="G13">
        <v>0.9</v>
      </c>
      <c r="H13">
        <v>0.40116279069767441</v>
      </c>
      <c r="I13">
        <v>0.36104651162790696</v>
      </c>
      <c r="J13">
        <v>2070</v>
      </c>
      <c r="K13">
        <v>1.63657875</v>
      </c>
      <c r="L13">
        <v>1.63657875</v>
      </c>
      <c r="M13">
        <v>0.69945555555555561</v>
      </c>
      <c r="O13">
        <v>0.16896190476190476</v>
      </c>
      <c r="P13">
        <v>0.38261666666666666</v>
      </c>
      <c r="Q13">
        <v>1.0275835</v>
      </c>
      <c r="R13">
        <v>3.3075E-2</v>
      </c>
      <c r="S13">
        <v>3.3075E-2</v>
      </c>
      <c r="T13">
        <v>1.328568</v>
      </c>
      <c r="U13">
        <v>1.23262</v>
      </c>
      <c r="V13">
        <v>0.32742500000000002</v>
      </c>
      <c r="W13">
        <v>5.8238888888888889E-2</v>
      </c>
      <c r="X13">
        <v>0.16896190476190476</v>
      </c>
      <c r="Y13">
        <v>0.37725833333333331</v>
      </c>
      <c r="Z13">
        <v>5.8238888888888889E-2</v>
      </c>
      <c r="AA13">
        <v>1.0275835</v>
      </c>
      <c r="AB13">
        <v>1.0275835</v>
      </c>
      <c r="AC13">
        <v>0.38743250000000001</v>
      </c>
      <c r="AD13">
        <v>0.21232857142857142</v>
      </c>
      <c r="AE13">
        <v>0.19563</v>
      </c>
      <c r="AF13">
        <v>0.24420714285714284</v>
      </c>
      <c r="AG13">
        <v>0.38261666666666666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f>IF('Rules &amp; Rate'!$B$2&lt;=K13,1,0)</f>
        <v>1</v>
      </c>
      <c r="BD13">
        <f>IF('Rules &amp; Rate'!$B$2&lt;=L13,1,0)</f>
        <v>1</v>
      </c>
      <c r="BE13">
        <f>IF('Rules &amp; Rate'!$B$2&lt;=M13,1,0)</f>
        <v>1</v>
      </c>
      <c r="BF13">
        <f>IF('Rules &amp; Rate'!$B$2&lt;=N13,1,0)</f>
        <v>0</v>
      </c>
      <c r="BG13">
        <f>IF('Rules &amp; Rate'!$B$3&lt;=O13,1,0)</f>
        <v>0</v>
      </c>
      <c r="BH13">
        <f>IF('Rules &amp; Rate'!$B$3&lt;=P13,1,0)</f>
        <v>0</v>
      </c>
      <c r="BI13">
        <f>IF('Rules &amp; Rate'!$B$2&lt;=R13,1,0)</f>
        <v>0</v>
      </c>
      <c r="BJ13">
        <f>IF('Rules &amp; Rate'!$B$2&lt;=S13,1,0)</f>
        <v>0</v>
      </c>
      <c r="BK13">
        <f>IF('Rules &amp; Rate'!$B$2&lt;=T13,1,0)</f>
        <v>1</v>
      </c>
      <c r="BL13">
        <f>IF('Rules &amp; Rate'!$B$2&lt;=U13,1,0)</f>
        <v>1</v>
      </c>
      <c r="BM13">
        <f>IF('Rules &amp; Rate'!$B$4&lt;=V13,1,0)</f>
        <v>0</v>
      </c>
      <c r="BN13">
        <f>IF('Rules &amp; Rate'!$B$4&lt;=W13,1,0)</f>
        <v>0</v>
      </c>
      <c r="BO13">
        <f>IF('Rules &amp; Rate'!$B$5&lt;=X13,1,0)</f>
        <v>0</v>
      </c>
      <c r="BP13">
        <f>IF('Rules &amp; Rate'!$B$3&lt;=Y13,1,0)</f>
        <v>0</v>
      </c>
      <c r="BQ13">
        <f>IF('Rules &amp; Rate'!$B$3&lt;=Z13,1,0)</f>
        <v>0</v>
      </c>
      <c r="BR13">
        <f>IF('Rules &amp; Rate'!$B$2&lt;=AC13,1,0)</f>
        <v>1</v>
      </c>
      <c r="BS13">
        <f>IF('Rules &amp; Rate'!$B$2&lt;=AD13,1,0)</f>
        <v>0</v>
      </c>
      <c r="BT13">
        <f>IF('Rules &amp; Rate'!$B$2&lt;=AE13,1,0)</f>
        <v>0</v>
      </c>
      <c r="BU13">
        <f>IF('Rules &amp; Rate'!$B$2&lt;=AF13,1,0)</f>
        <v>0</v>
      </c>
      <c r="BV13">
        <f>IF('Rules &amp; Rate'!$B$6&lt;=AG13,1,0)</f>
        <v>0</v>
      </c>
      <c r="BW13">
        <v>61655.01</v>
      </c>
      <c r="BX13">
        <f>SUMPRODUCT(AH13:BA13,Labour!$B$2:$U$2)</f>
        <v>382</v>
      </c>
      <c r="BY13">
        <v>155</v>
      </c>
      <c r="BZ13">
        <f t="shared" si="0"/>
        <v>537</v>
      </c>
      <c r="CA13">
        <f>SUMPRODUCT(AH13:BA13,Labour!$B$3:$U$3)</f>
        <v>348210.91000000003</v>
      </c>
      <c r="CB13">
        <f>SUMPRODUCT(BC13:BV13,'Component $'!$B$10:$U$10)</f>
        <v>38510.431400000001</v>
      </c>
      <c r="CC13">
        <f>SUMPRODUCT(BC13:BV13,'Component $'!$B$9:$U$9)</f>
        <v>5985.5813999999991</v>
      </c>
      <c r="CD13">
        <f>SUMPRODUCT(BC13:BV13,'Component $'!$B$6:$U$6)</f>
        <v>4931.8500000000004</v>
      </c>
      <c r="CE13">
        <f>SUMPRODUCT(BC13:BV13,'Component $'!$B$8:$U$8)</f>
        <v>27593</v>
      </c>
      <c r="CF13">
        <f t="shared" si="1"/>
        <v>386721.34140000003</v>
      </c>
    </row>
    <row r="14" spans="1:84" x14ac:dyDescent="0.2">
      <c r="A14">
        <v>835</v>
      </c>
      <c r="B14">
        <v>2</v>
      </c>
      <c r="C14">
        <v>1</v>
      </c>
      <c r="D14">
        <v>1</v>
      </c>
      <c r="E14">
        <v>1</v>
      </c>
      <c r="F14">
        <v>1</v>
      </c>
      <c r="G14">
        <v>0.6</v>
      </c>
      <c r="H14">
        <v>0.14534883720930233</v>
      </c>
      <c r="I14">
        <v>8.7209302325581398E-2</v>
      </c>
      <c r="J14">
        <v>750</v>
      </c>
      <c r="K14">
        <v>1.6291616666666666</v>
      </c>
      <c r="L14">
        <v>1.6291616666666666</v>
      </c>
      <c r="M14">
        <v>0.19674166666666668</v>
      </c>
      <c r="N14">
        <v>0.19674166666666668</v>
      </c>
      <c r="O14">
        <v>0.29251428571428573</v>
      </c>
      <c r="P14">
        <v>0.37267650000000002</v>
      </c>
      <c r="Q14">
        <v>1.0348156666666666</v>
      </c>
      <c r="R14">
        <v>0.63263124999999998</v>
      </c>
      <c r="S14">
        <v>0.93949562499999995</v>
      </c>
      <c r="T14">
        <v>0.21010000000000001</v>
      </c>
      <c r="U14">
        <v>1.214486</v>
      </c>
      <c r="V14">
        <v>0.46955000000000002</v>
      </c>
      <c r="W14">
        <v>0.11968333333333334</v>
      </c>
      <c r="X14">
        <v>0.29251428571428573</v>
      </c>
      <c r="Y14">
        <v>1.2422550000000001</v>
      </c>
      <c r="Z14">
        <v>0.11968333333333334</v>
      </c>
      <c r="AA14">
        <v>1.0348156666666666</v>
      </c>
      <c r="AB14">
        <v>1.0348156666666666</v>
      </c>
      <c r="AC14">
        <v>0.309195</v>
      </c>
      <c r="AD14">
        <v>0.4735785714285714</v>
      </c>
      <c r="AE14">
        <v>0.227295</v>
      </c>
      <c r="AF14">
        <v>0.23480000000000001</v>
      </c>
      <c r="AG14">
        <v>0.37267650000000002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f>IF('Rules &amp; Rate'!$B$2&lt;=K14,1,0)</f>
        <v>1</v>
      </c>
      <c r="BD14">
        <f>IF('Rules &amp; Rate'!$B$2&lt;=L14,1,0)</f>
        <v>1</v>
      </c>
      <c r="BE14">
        <f>IF('Rules &amp; Rate'!$B$2&lt;=M14,1,0)</f>
        <v>0</v>
      </c>
      <c r="BF14">
        <f>IF('Rules &amp; Rate'!$B$2&lt;=N14,1,0)</f>
        <v>0</v>
      </c>
      <c r="BG14">
        <f>IF('Rules &amp; Rate'!$B$3&lt;=O14,1,0)</f>
        <v>0</v>
      </c>
      <c r="BH14">
        <f>IF('Rules &amp; Rate'!$B$3&lt;=P14,1,0)</f>
        <v>0</v>
      </c>
      <c r="BI14">
        <f>IF('Rules &amp; Rate'!$B$2&lt;=R14,1,0)</f>
        <v>1</v>
      </c>
      <c r="BJ14">
        <f>IF('Rules &amp; Rate'!$B$2&lt;=S14,1,0)</f>
        <v>1</v>
      </c>
      <c r="BK14">
        <f>IF('Rules &amp; Rate'!$B$2&lt;=T14,1,0)</f>
        <v>0</v>
      </c>
      <c r="BL14">
        <f>IF('Rules &amp; Rate'!$B$2&lt;=U14,1,0)</f>
        <v>1</v>
      </c>
      <c r="BM14">
        <f>IF('Rules &amp; Rate'!$B$4&lt;=V14,1,0)</f>
        <v>0</v>
      </c>
      <c r="BN14">
        <f>IF('Rules &amp; Rate'!$B$4&lt;=W14,1,0)</f>
        <v>0</v>
      </c>
      <c r="BO14">
        <f>IF('Rules &amp; Rate'!$B$5&lt;=X14,1,0)</f>
        <v>0</v>
      </c>
      <c r="BP14">
        <f>IF('Rules &amp; Rate'!$B$3&lt;=Y14,1,0)</f>
        <v>1</v>
      </c>
      <c r="BQ14">
        <f>IF('Rules &amp; Rate'!$B$3&lt;=Z14,1,0)</f>
        <v>0</v>
      </c>
      <c r="BR14">
        <f>IF('Rules &amp; Rate'!$B$2&lt;=AC14,1,0)</f>
        <v>1</v>
      </c>
      <c r="BS14">
        <f>IF('Rules &amp; Rate'!$B$2&lt;=AD14,1,0)</f>
        <v>1</v>
      </c>
      <c r="BT14">
        <f>IF('Rules &amp; Rate'!$B$2&lt;=AE14,1,0)</f>
        <v>0</v>
      </c>
      <c r="BU14">
        <f>IF('Rules &amp; Rate'!$B$2&lt;=AF14,1,0)</f>
        <v>0</v>
      </c>
      <c r="BV14">
        <f>IF('Rules &amp; Rate'!$B$6&lt;=AG14,1,0)</f>
        <v>0</v>
      </c>
      <c r="BW14">
        <v>62061.74</v>
      </c>
      <c r="BX14">
        <f>SUMPRODUCT(AH14:BA14,Labour!$B$2:$U$2)</f>
        <v>388</v>
      </c>
      <c r="BY14">
        <v>184</v>
      </c>
      <c r="BZ14">
        <f t="shared" si="0"/>
        <v>572</v>
      </c>
      <c r="CA14">
        <f>SUMPRODUCT(AH14:BA14,Labour!$B$3:$U$3)</f>
        <v>373699.22</v>
      </c>
      <c r="CB14">
        <f>SUMPRODUCT(BC14:BV14,'Component $'!$B$10:$U$10)</f>
        <v>127173.42380000002</v>
      </c>
      <c r="CC14">
        <f>SUMPRODUCT(BC14:BV14,'Component $'!$B$9:$U$9)</f>
        <v>24134.4738</v>
      </c>
      <c r="CD14">
        <f>SUMPRODUCT(BC14:BV14,'Component $'!$B$6:$U$6)</f>
        <v>37025.949999999997</v>
      </c>
      <c r="CE14">
        <f>SUMPRODUCT(BC14:BV14,'Component $'!$B$8:$U$8)</f>
        <v>66013</v>
      </c>
      <c r="CF14">
        <f t="shared" si="1"/>
        <v>500872.64379999996</v>
      </c>
    </row>
    <row r="15" spans="1:84" x14ac:dyDescent="0.2">
      <c r="A15">
        <v>836</v>
      </c>
      <c r="B15">
        <v>1</v>
      </c>
      <c r="C15">
        <v>1</v>
      </c>
      <c r="D15">
        <v>1</v>
      </c>
      <c r="E15">
        <v>2</v>
      </c>
      <c r="F15">
        <v>1</v>
      </c>
      <c r="G15">
        <v>0.6</v>
      </c>
      <c r="H15">
        <v>0.16666666666666666</v>
      </c>
      <c r="I15">
        <v>9.9999999999999992E-2</v>
      </c>
      <c r="J15">
        <v>860</v>
      </c>
      <c r="K15">
        <v>1.5946987500000001</v>
      </c>
      <c r="L15">
        <v>1.5946987500000001</v>
      </c>
      <c r="M15">
        <v>0.70133916666666662</v>
      </c>
      <c r="N15">
        <v>0.70133916666666662</v>
      </c>
      <c r="O15">
        <v>0.47765285714285716</v>
      </c>
      <c r="P15">
        <v>0.26704749999999999</v>
      </c>
      <c r="R15">
        <v>0.62691937499999995</v>
      </c>
      <c r="S15">
        <v>0.54403812500000004</v>
      </c>
      <c r="T15">
        <v>9.6200000000000001E-3</v>
      </c>
      <c r="U15">
        <v>0.38747549999999997</v>
      </c>
      <c r="V15">
        <v>6.5183333333333329E-2</v>
      </c>
      <c r="W15">
        <v>4.3255555555555554E-2</v>
      </c>
      <c r="X15">
        <v>0.47765285714285716</v>
      </c>
      <c r="Y15">
        <v>6.5183333333333329E-2</v>
      </c>
      <c r="Z15">
        <v>4.3255555555555554E-2</v>
      </c>
      <c r="AA15">
        <v>1.0178688333333332</v>
      </c>
      <c r="AB15">
        <v>1.0178688333333332</v>
      </c>
      <c r="AC15">
        <v>0.80114249999999998</v>
      </c>
      <c r="AD15">
        <v>0.15507857142857143</v>
      </c>
      <c r="AE15">
        <v>0.55516049999999995</v>
      </c>
      <c r="AF15">
        <v>0.15507857142857143</v>
      </c>
      <c r="AG15">
        <v>0.58585566666666666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2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f>IF('Rules &amp; Rate'!$B$2&lt;=K15,1,0)</f>
        <v>1</v>
      </c>
      <c r="BD15">
        <f>IF('Rules &amp; Rate'!$B$2&lt;=L15,1,0)</f>
        <v>1</v>
      </c>
      <c r="BE15">
        <f>IF('Rules &amp; Rate'!$B$2&lt;=M15,1,0)</f>
        <v>1</v>
      </c>
      <c r="BF15">
        <f>IF('Rules &amp; Rate'!$B$2&lt;=N15,1,0)</f>
        <v>1</v>
      </c>
      <c r="BG15">
        <f>IF('Rules &amp; Rate'!$B$3&lt;=O15,1,0)</f>
        <v>0</v>
      </c>
      <c r="BH15">
        <f>IF('Rules &amp; Rate'!$B$3&lt;=P15,1,0)</f>
        <v>0</v>
      </c>
      <c r="BI15">
        <f>IF('Rules &amp; Rate'!$B$2&lt;=R15,1,0)</f>
        <v>1</v>
      </c>
      <c r="BJ15">
        <f>IF('Rules &amp; Rate'!$B$2&lt;=S15,1,0)</f>
        <v>1</v>
      </c>
      <c r="BK15">
        <f>IF('Rules &amp; Rate'!$B$2&lt;=T15,1,0)</f>
        <v>0</v>
      </c>
      <c r="BL15">
        <f>IF('Rules &amp; Rate'!$B$2&lt;=U15,1,0)</f>
        <v>1</v>
      </c>
      <c r="BM15">
        <f>IF('Rules &amp; Rate'!$B$4&lt;=V15,1,0)</f>
        <v>0</v>
      </c>
      <c r="BN15">
        <f>IF('Rules &amp; Rate'!$B$4&lt;=W15,1,0)</f>
        <v>0</v>
      </c>
      <c r="BO15">
        <f>IF('Rules &amp; Rate'!$B$5&lt;=X15,1,0)</f>
        <v>0</v>
      </c>
      <c r="BP15">
        <f>IF('Rules &amp; Rate'!$B$3&lt;=Y15,1,0)</f>
        <v>0</v>
      </c>
      <c r="BQ15">
        <f>IF('Rules &amp; Rate'!$B$3&lt;=Z15,1,0)</f>
        <v>0</v>
      </c>
      <c r="BR15">
        <f>IF('Rules &amp; Rate'!$B$2&lt;=AC15,1,0)</f>
        <v>1</v>
      </c>
      <c r="BS15">
        <f>IF('Rules &amp; Rate'!$B$2&lt;=AD15,1,0)</f>
        <v>0</v>
      </c>
      <c r="BT15">
        <f>IF('Rules &amp; Rate'!$B$2&lt;=AE15,1,0)</f>
        <v>1</v>
      </c>
      <c r="BU15">
        <f>IF('Rules &amp; Rate'!$B$2&lt;=AF15,1,0)</f>
        <v>0</v>
      </c>
      <c r="BV15">
        <f>IF('Rules &amp; Rate'!$B$6&lt;=AG15,1,0)</f>
        <v>0</v>
      </c>
      <c r="BW15">
        <v>61073.31</v>
      </c>
      <c r="BX15">
        <f>SUMPRODUCT(AH15:BA15,Labour!$B$2:$U$2)</f>
        <v>382</v>
      </c>
      <c r="BY15">
        <v>187</v>
      </c>
      <c r="BZ15">
        <f t="shared" si="0"/>
        <v>569</v>
      </c>
      <c r="CA15">
        <f>SUMPRODUCT(AH15:BA15,Labour!$B$3:$U$3)</f>
        <v>348210.91000000003</v>
      </c>
      <c r="CB15">
        <f>SUMPRODUCT(BC15:BV15,'Component $'!$B$10:$U$10)</f>
        <v>105465.81380000002</v>
      </c>
      <c r="CC15">
        <f>SUMPRODUCT(BC15:BV15,'Component $'!$B$9:$U$9)</f>
        <v>15049.963800000001</v>
      </c>
      <c r="CD15">
        <f>SUMPRODUCT(BC15:BV15,'Component $'!$B$6:$U$6)</f>
        <v>16568.849999999999</v>
      </c>
      <c r="CE15">
        <f>SUMPRODUCT(BC15:BV15,'Component $'!$B$8:$U$8)</f>
        <v>73847</v>
      </c>
      <c r="CF15">
        <f t="shared" si="1"/>
        <v>453676.72380000004</v>
      </c>
    </row>
    <row r="16" spans="1:84" x14ac:dyDescent="0.2">
      <c r="A16">
        <v>837</v>
      </c>
      <c r="B16">
        <v>1</v>
      </c>
      <c r="C16">
        <v>0</v>
      </c>
      <c r="D16">
        <v>2</v>
      </c>
      <c r="E16">
        <v>2</v>
      </c>
      <c r="F16">
        <v>1</v>
      </c>
      <c r="G16">
        <v>0.6</v>
      </c>
      <c r="H16">
        <v>0.67829457364341084</v>
      </c>
      <c r="I16">
        <v>0.40697674418604651</v>
      </c>
      <c r="J16">
        <v>3500</v>
      </c>
      <c r="K16">
        <v>1.6071016666666667</v>
      </c>
      <c r="L16">
        <v>1.6071016666666667</v>
      </c>
      <c r="M16">
        <v>0.76423444444444444</v>
      </c>
      <c r="N16">
        <v>0.76423444444444444</v>
      </c>
      <c r="O16">
        <v>0.32863142857142857</v>
      </c>
      <c r="P16">
        <v>0.41026816666666666</v>
      </c>
      <c r="Q16">
        <v>1.028302</v>
      </c>
      <c r="R16">
        <v>0.24324375000000001</v>
      </c>
      <c r="S16">
        <v>2.1662500000000001E-2</v>
      </c>
      <c r="T16">
        <v>0.29506300000000002</v>
      </c>
      <c r="U16">
        <v>0.29506300000000002</v>
      </c>
      <c r="V16">
        <v>0.80597944444444447</v>
      </c>
      <c r="W16">
        <v>0.20572222222222222</v>
      </c>
      <c r="X16">
        <v>0.68759000000000003</v>
      </c>
      <c r="Y16">
        <v>0.13994999999999999</v>
      </c>
      <c r="Z16">
        <v>0.52698111111111112</v>
      </c>
      <c r="AA16">
        <v>1.028302</v>
      </c>
      <c r="AB16">
        <v>1.028302</v>
      </c>
      <c r="AC16">
        <v>0.39587299999999997</v>
      </c>
      <c r="AD16">
        <v>0.4929257142857143</v>
      </c>
      <c r="AE16">
        <v>0.14704999999999999</v>
      </c>
      <c r="AF16">
        <v>0.35835714285714287</v>
      </c>
      <c r="AG16">
        <v>0.41026816666666666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f>IF('Rules &amp; Rate'!$B$2&lt;=K16,1,0)</f>
        <v>1</v>
      </c>
      <c r="BD16">
        <f>IF('Rules &amp; Rate'!$B$2&lt;=L16,1,0)</f>
        <v>1</v>
      </c>
      <c r="BE16">
        <f>IF('Rules &amp; Rate'!$B$2&lt;=M16,1,0)</f>
        <v>1</v>
      </c>
      <c r="BF16">
        <f>IF('Rules &amp; Rate'!$B$2&lt;=N16,1,0)</f>
        <v>1</v>
      </c>
      <c r="BG16">
        <f>IF('Rules &amp; Rate'!$B$3&lt;=O16,1,0)</f>
        <v>0</v>
      </c>
      <c r="BH16">
        <f>IF('Rules &amp; Rate'!$B$3&lt;=P16,1,0)</f>
        <v>0</v>
      </c>
      <c r="BI16">
        <f>IF('Rules &amp; Rate'!$B$2&lt;=R16,1,0)</f>
        <v>0</v>
      </c>
      <c r="BJ16">
        <f>IF('Rules &amp; Rate'!$B$2&lt;=S16,1,0)</f>
        <v>0</v>
      </c>
      <c r="BK16">
        <f>IF('Rules &amp; Rate'!$B$2&lt;=T16,1,0)</f>
        <v>0</v>
      </c>
      <c r="BL16">
        <f>IF('Rules &amp; Rate'!$B$2&lt;=U16,1,0)</f>
        <v>0</v>
      </c>
      <c r="BM16">
        <f>IF('Rules &amp; Rate'!$B$4&lt;=V16,1,0)</f>
        <v>1</v>
      </c>
      <c r="BN16">
        <f>IF('Rules &amp; Rate'!$B$4&lt;=W16,1,0)</f>
        <v>0</v>
      </c>
      <c r="BO16">
        <f>IF('Rules &amp; Rate'!$B$5&lt;=X16,1,0)</f>
        <v>0</v>
      </c>
      <c r="BP16">
        <f>IF('Rules &amp; Rate'!$B$3&lt;=Y16,1,0)</f>
        <v>0</v>
      </c>
      <c r="BQ16">
        <f>IF('Rules &amp; Rate'!$B$3&lt;=Z16,1,0)</f>
        <v>1</v>
      </c>
      <c r="BR16">
        <f>IF('Rules &amp; Rate'!$B$2&lt;=AC16,1,0)</f>
        <v>1</v>
      </c>
      <c r="BS16">
        <f>IF('Rules &amp; Rate'!$B$2&lt;=AD16,1,0)</f>
        <v>1</v>
      </c>
      <c r="BT16">
        <f>IF('Rules &amp; Rate'!$B$2&lt;=AE16,1,0)</f>
        <v>0</v>
      </c>
      <c r="BU16">
        <f>IF('Rules &amp; Rate'!$B$2&lt;=AF16,1,0)</f>
        <v>1</v>
      </c>
      <c r="BV16">
        <f>IF('Rules &amp; Rate'!$B$6&lt;=AG16,1,0)</f>
        <v>0</v>
      </c>
      <c r="BW16">
        <v>61612.92</v>
      </c>
      <c r="BX16">
        <f>SUMPRODUCT(AH16:BA16,Labour!$B$2:$U$2)</f>
        <v>382</v>
      </c>
      <c r="BY16">
        <v>105</v>
      </c>
      <c r="BZ16">
        <f t="shared" si="0"/>
        <v>487</v>
      </c>
      <c r="CA16">
        <f>SUMPRODUCT(AH16:BA16,Labour!$B$3:$U$3)</f>
        <v>348210.91000000003</v>
      </c>
      <c r="CB16">
        <f>SUMPRODUCT(BC16:BV16,'Component $'!$B$10:$U$10)</f>
        <v>246476.69919999994</v>
      </c>
      <c r="CC16">
        <f>SUMPRODUCT(BC16:BV16,'Component $'!$B$9:$U$9)</f>
        <v>25641.799200000001</v>
      </c>
      <c r="CD16">
        <f>SUMPRODUCT(BC16:BV16,'Component $'!$B$6:$U$6)</f>
        <v>148964.9</v>
      </c>
      <c r="CE16">
        <f>SUMPRODUCT(BC16:BV16,'Component $'!$B$8:$U$8)</f>
        <v>71870</v>
      </c>
      <c r="CF16">
        <f t="shared" si="1"/>
        <v>594687.60919999995</v>
      </c>
    </row>
    <row r="17" spans="1:84" x14ac:dyDescent="0.2">
      <c r="A17">
        <v>838</v>
      </c>
      <c r="B17">
        <v>1</v>
      </c>
      <c r="C17">
        <v>0</v>
      </c>
      <c r="D17">
        <v>1</v>
      </c>
      <c r="E17">
        <v>1</v>
      </c>
      <c r="F17">
        <v>1</v>
      </c>
      <c r="G17">
        <v>0.4</v>
      </c>
      <c r="H17">
        <v>6.9767441860465115E-2</v>
      </c>
      <c r="I17">
        <v>2.7906976744186046E-2</v>
      </c>
      <c r="J17">
        <v>360</v>
      </c>
      <c r="K17">
        <v>1.6641645833333334</v>
      </c>
      <c r="L17">
        <v>1.6641645833333334</v>
      </c>
      <c r="M17">
        <v>0.35920249999999998</v>
      </c>
      <c r="N17">
        <v>0.78033722222222224</v>
      </c>
      <c r="O17">
        <v>1.7957142857142856E-2</v>
      </c>
      <c r="P17">
        <v>0.42449416666666667</v>
      </c>
      <c r="Q17">
        <v>1.058343</v>
      </c>
      <c r="R17">
        <v>0.65155624999999995</v>
      </c>
      <c r="S17">
        <v>0.29656250000000001</v>
      </c>
      <c r="T17">
        <v>0.46473999999999999</v>
      </c>
      <c r="U17">
        <v>1.4915195000000001</v>
      </c>
      <c r="V17">
        <v>1.4149805555555555</v>
      </c>
      <c r="W17">
        <v>1.4149805555555555</v>
      </c>
      <c r="X17">
        <v>0.44260952380952379</v>
      </c>
      <c r="Y17">
        <v>1.4149805555555555</v>
      </c>
      <c r="Z17">
        <v>1.3937533333333334</v>
      </c>
      <c r="AA17">
        <v>1.058343</v>
      </c>
      <c r="AB17">
        <v>1.058343</v>
      </c>
      <c r="AC17">
        <v>0.26087500000000002</v>
      </c>
      <c r="AD17">
        <v>0.12330714285714285</v>
      </c>
      <c r="AE17">
        <v>0.172515</v>
      </c>
      <c r="AF17">
        <v>0.12330714285714285</v>
      </c>
      <c r="AG17">
        <v>0.42449416666666667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2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f>IF('Rules &amp; Rate'!$B$2&lt;=K17,1,0)</f>
        <v>1</v>
      </c>
      <c r="BD17">
        <f>IF('Rules &amp; Rate'!$B$2&lt;=L17,1,0)</f>
        <v>1</v>
      </c>
      <c r="BE17">
        <f>IF('Rules &amp; Rate'!$B$2&lt;=M17,1,0)</f>
        <v>1</v>
      </c>
      <c r="BF17">
        <f>IF('Rules &amp; Rate'!$B$2&lt;=N17,1,0)</f>
        <v>1</v>
      </c>
      <c r="BG17">
        <f>IF('Rules &amp; Rate'!$B$3&lt;=O17,1,0)</f>
        <v>0</v>
      </c>
      <c r="BH17">
        <f>IF('Rules &amp; Rate'!$B$3&lt;=P17,1,0)</f>
        <v>0</v>
      </c>
      <c r="BI17">
        <f>IF('Rules &amp; Rate'!$B$2&lt;=R17,1,0)</f>
        <v>1</v>
      </c>
      <c r="BJ17">
        <f>IF('Rules &amp; Rate'!$B$2&lt;=S17,1,0)</f>
        <v>0</v>
      </c>
      <c r="BK17">
        <f>IF('Rules &amp; Rate'!$B$2&lt;=T17,1,0)</f>
        <v>1</v>
      </c>
      <c r="BL17">
        <f>IF('Rules &amp; Rate'!$B$2&lt;=U17,1,0)</f>
        <v>1</v>
      </c>
      <c r="BM17">
        <f>IF('Rules &amp; Rate'!$B$4&lt;=V17,1,0)</f>
        <v>1</v>
      </c>
      <c r="BN17">
        <f>IF('Rules &amp; Rate'!$B$4&lt;=W17,1,0)</f>
        <v>1</v>
      </c>
      <c r="BO17">
        <f>IF('Rules &amp; Rate'!$B$5&lt;=X17,1,0)</f>
        <v>0</v>
      </c>
      <c r="BP17">
        <f>IF('Rules &amp; Rate'!$B$3&lt;=Y17,1,0)</f>
        <v>1</v>
      </c>
      <c r="BQ17">
        <f>IF('Rules &amp; Rate'!$B$3&lt;=Z17,1,0)</f>
        <v>1</v>
      </c>
      <c r="BR17">
        <f>IF('Rules &amp; Rate'!$B$2&lt;=AC17,1,0)</f>
        <v>0</v>
      </c>
      <c r="BS17">
        <f>IF('Rules &amp; Rate'!$B$2&lt;=AD17,1,0)</f>
        <v>0</v>
      </c>
      <c r="BT17">
        <f>IF('Rules &amp; Rate'!$B$2&lt;=AE17,1,0)</f>
        <v>0</v>
      </c>
      <c r="BU17">
        <f>IF('Rules &amp; Rate'!$B$2&lt;=AF17,1,0)</f>
        <v>0</v>
      </c>
      <c r="BV17">
        <f>IF('Rules &amp; Rate'!$B$6&lt;=AG17,1,0)</f>
        <v>0</v>
      </c>
      <c r="BW17">
        <v>63478.48</v>
      </c>
      <c r="BX17">
        <f>SUMPRODUCT(AH17:BA17,Labour!$B$2:$U$2)</f>
        <v>322</v>
      </c>
      <c r="BY17">
        <v>99</v>
      </c>
      <c r="BZ17">
        <f t="shared" si="0"/>
        <v>421</v>
      </c>
      <c r="CA17">
        <f>SUMPRODUCT(AH17:BA17,Labour!$B$3:$U$3)</f>
        <v>311755.91000000003</v>
      </c>
      <c r="CB17">
        <f>SUMPRODUCT(BC17:BV17,'Component $'!$B$10:$U$10)</f>
        <v>428327.00800000003</v>
      </c>
      <c r="CC17">
        <f>SUMPRODUCT(BC17:BV17,'Component $'!$B$9:$U$9)</f>
        <v>39653.207999999999</v>
      </c>
      <c r="CD17">
        <f>SUMPRODUCT(BC17:BV17,'Component $'!$B$6:$U$6)</f>
        <v>276284.79999999999</v>
      </c>
      <c r="CE17">
        <f>SUMPRODUCT(BC17:BV17,'Component $'!$B$8:$U$8)</f>
        <v>112389</v>
      </c>
      <c r="CF17">
        <f t="shared" si="1"/>
        <v>740082.91800000006</v>
      </c>
    </row>
    <row r="18" spans="1:84" x14ac:dyDescent="0.2">
      <c r="A18">
        <v>839</v>
      </c>
      <c r="B18">
        <v>2</v>
      </c>
      <c r="C18">
        <v>1</v>
      </c>
      <c r="D18">
        <v>2</v>
      </c>
      <c r="E18">
        <v>2</v>
      </c>
      <c r="F18">
        <v>2</v>
      </c>
      <c r="G18">
        <v>0.9</v>
      </c>
      <c r="H18">
        <v>0.76550387596899228</v>
      </c>
      <c r="I18">
        <v>0.68895348837209303</v>
      </c>
      <c r="J18">
        <v>3950</v>
      </c>
      <c r="K18">
        <v>1.5707912500000001</v>
      </c>
      <c r="L18">
        <v>1.5707912500000001</v>
      </c>
      <c r="M18">
        <v>0.29126999999999997</v>
      </c>
      <c r="N18">
        <v>0.29126999999999997</v>
      </c>
      <c r="O18">
        <v>0.4590009523809524</v>
      </c>
      <c r="P18">
        <v>0.26532516666666667</v>
      </c>
      <c r="Q18">
        <v>1.0351723333333334</v>
      </c>
      <c r="R18">
        <v>0.55203875000000002</v>
      </c>
      <c r="S18">
        <v>6.9662500000000002E-2</v>
      </c>
      <c r="T18">
        <v>1.3036395000000001</v>
      </c>
      <c r="U18">
        <v>0.79597549999999995</v>
      </c>
      <c r="V18">
        <v>0.36094555555555558</v>
      </c>
      <c r="W18">
        <v>0.35133444444444445</v>
      </c>
      <c r="X18">
        <v>0.54414380952380947</v>
      </c>
      <c r="Y18">
        <v>0.14074999999999999</v>
      </c>
      <c r="Z18">
        <v>0.5793233333333333</v>
      </c>
      <c r="AA18">
        <v>1.0351723333333334</v>
      </c>
      <c r="AB18">
        <v>1.0351723333333334</v>
      </c>
      <c r="AC18">
        <v>0.306836</v>
      </c>
      <c r="AD18">
        <v>0.24573571428571428</v>
      </c>
      <c r="AE18">
        <v>0.57943100000000003</v>
      </c>
      <c r="AF18">
        <v>7.9614285714285721E-2</v>
      </c>
      <c r="AG18">
        <v>0.14721033333333333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2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f>IF('Rules &amp; Rate'!$B$2&lt;=K18,1,0)</f>
        <v>1</v>
      </c>
      <c r="BD18">
        <f>IF('Rules &amp; Rate'!$B$2&lt;=L18,1,0)</f>
        <v>1</v>
      </c>
      <c r="BE18">
        <f>IF('Rules &amp; Rate'!$B$2&lt;=M18,1,0)</f>
        <v>0</v>
      </c>
      <c r="BF18">
        <f>IF('Rules &amp; Rate'!$B$2&lt;=N18,1,0)</f>
        <v>0</v>
      </c>
      <c r="BG18">
        <f>IF('Rules &amp; Rate'!$B$3&lt;=O18,1,0)</f>
        <v>0</v>
      </c>
      <c r="BH18">
        <f>IF('Rules &amp; Rate'!$B$3&lt;=P18,1,0)</f>
        <v>0</v>
      </c>
      <c r="BI18">
        <f>IF('Rules &amp; Rate'!$B$2&lt;=R18,1,0)</f>
        <v>1</v>
      </c>
      <c r="BJ18">
        <f>IF('Rules &amp; Rate'!$B$2&lt;=S18,1,0)</f>
        <v>0</v>
      </c>
      <c r="BK18">
        <f>IF('Rules &amp; Rate'!$B$2&lt;=T18,1,0)</f>
        <v>1</v>
      </c>
      <c r="BL18">
        <f>IF('Rules &amp; Rate'!$B$2&lt;=U18,1,0)</f>
        <v>1</v>
      </c>
      <c r="BM18">
        <f>IF('Rules &amp; Rate'!$B$4&lt;=V18,1,0)</f>
        <v>0</v>
      </c>
      <c r="BN18">
        <f>IF('Rules &amp; Rate'!$B$4&lt;=W18,1,0)</f>
        <v>0</v>
      </c>
      <c r="BO18">
        <f>IF('Rules &amp; Rate'!$B$5&lt;=X18,1,0)</f>
        <v>0</v>
      </c>
      <c r="BP18">
        <f>IF('Rules &amp; Rate'!$B$3&lt;=Y18,1,0)</f>
        <v>0</v>
      </c>
      <c r="BQ18">
        <f>IF('Rules &amp; Rate'!$B$3&lt;=Z18,1,0)</f>
        <v>1</v>
      </c>
      <c r="BR18">
        <f>IF('Rules &amp; Rate'!$B$2&lt;=AC18,1,0)</f>
        <v>1</v>
      </c>
      <c r="BS18">
        <f>IF('Rules &amp; Rate'!$B$2&lt;=AD18,1,0)</f>
        <v>0</v>
      </c>
      <c r="BT18">
        <f>IF('Rules &amp; Rate'!$B$2&lt;=AE18,1,0)</f>
        <v>1</v>
      </c>
      <c r="BU18">
        <f>IF('Rules &amp; Rate'!$B$2&lt;=AF18,1,0)</f>
        <v>0</v>
      </c>
      <c r="BV18">
        <f>IF('Rules &amp; Rate'!$B$6&lt;=AG18,1,0)</f>
        <v>0</v>
      </c>
      <c r="BW18">
        <v>62036.54</v>
      </c>
      <c r="BX18">
        <f>SUMPRODUCT(AH18:BA18,Labour!$B$2:$U$2)</f>
        <v>382</v>
      </c>
      <c r="BY18">
        <v>170</v>
      </c>
      <c r="BZ18">
        <f t="shared" si="0"/>
        <v>552</v>
      </c>
      <c r="CA18">
        <f>SUMPRODUCT(AH18:BA18,Labour!$B$3:$U$3)</f>
        <v>348210.91000000003</v>
      </c>
      <c r="CB18">
        <f>SUMPRODUCT(BC18:BV18,'Component $'!$B$10:$U$10)</f>
        <v>102539.4308</v>
      </c>
      <c r="CC18">
        <f>SUMPRODUCT(BC18:BV18,'Component $'!$B$9:$U$9)</f>
        <v>21476.5308</v>
      </c>
      <c r="CD18">
        <f>SUMPRODUCT(BC18:BV18,'Component $'!$B$6:$U$6)</f>
        <v>31663.9</v>
      </c>
      <c r="CE18">
        <f>SUMPRODUCT(BC18:BV18,'Component $'!$B$8:$U$8)</f>
        <v>49399</v>
      </c>
      <c r="CF18">
        <f t="shared" si="1"/>
        <v>450750.34080000001</v>
      </c>
    </row>
    <row r="19" spans="1:84" x14ac:dyDescent="0.2">
      <c r="A19">
        <v>840</v>
      </c>
      <c r="B19">
        <v>1</v>
      </c>
      <c r="C19">
        <v>1</v>
      </c>
      <c r="D19">
        <v>2</v>
      </c>
      <c r="E19">
        <v>1</v>
      </c>
      <c r="F19">
        <v>1</v>
      </c>
      <c r="G19">
        <v>0.6</v>
      </c>
      <c r="H19">
        <v>0.19379844961240311</v>
      </c>
      <c r="I19">
        <v>0.11627906976744186</v>
      </c>
      <c r="J19">
        <v>1000</v>
      </c>
      <c r="L19">
        <v>0.78785416666666663</v>
      </c>
      <c r="M19">
        <v>0.68427166666666661</v>
      </c>
      <c r="N19">
        <v>0.68427166666666661</v>
      </c>
      <c r="O19">
        <v>0.2497304761904762</v>
      </c>
      <c r="P19">
        <v>0.31514166666666665</v>
      </c>
      <c r="Q19">
        <v>0.99860533333333334</v>
      </c>
      <c r="R19">
        <v>0.16122500000000001</v>
      </c>
      <c r="S19">
        <v>0.27956874999999998</v>
      </c>
      <c r="T19">
        <v>1.3053794999999999</v>
      </c>
      <c r="U19">
        <v>0.74488949999999998</v>
      </c>
      <c r="V19">
        <v>0.20477222222222222</v>
      </c>
      <c r="W19">
        <v>7.3355555555555549E-2</v>
      </c>
      <c r="X19">
        <v>0.76897809523809524</v>
      </c>
      <c r="Y19">
        <v>0.20477222222222222</v>
      </c>
      <c r="Z19">
        <v>7.3355555555555549E-2</v>
      </c>
      <c r="AA19">
        <v>0.99860533333333334</v>
      </c>
      <c r="AB19">
        <v>0.99860533333333334</v>
      </c>
      <c r="AC19">
        <v>8.2059999999999994E-2</v>
      </c>
      <c r="AD19">
        <v>0.15488571428571429</v>
      </c>
      <c r="AE19">
        <v>0.57965699999999998</v>
      </c>
      <c r="AF19">
        <v>0.32053571428571431</v>
      </c>
      <c r="AG19">
        <v>0.49489716666666667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f>IF('Rules &amp; Rate'!$B$2&lt;=K19,1,0)</f>
        <v>0</v>
      </c>
      <c r="BD19">
        <f>IF('Rules &amp; Rate'!$B$2&lt;=L19,1,0)</f>
        <v>1</v>
      </c>
      <c r="BE19">
        <f>IF('Rules &amp; Rate'!$B$2&lt;=M19,1,0)</f>
        <v>1</v>
      </c>
      <c r="BF19">
        <f>IF('Rules &amp; Rate'!$B$2&lt;=N19,1,0)</f>
        <v>1</v>
      </c>
      <c r="BG19">
        <f>IF('Rules &amp; Rate'!$B$3&lt;=O19,1,0)</f>
        <v>0</v>
      </c>
      <c r="BH19">
        <f>IF('Rules &amp; Rate'!$B$3&lt;=P19,1,0)</f>
        <v>0</v>
      </c>
      <c r="BI19">
        <f>IF('Rules &amp; Rate'!$B$2&lt;=R19,1,0)</f>
        <v>0</v>
      </c>
      <c r="BJ19">
        <f>IF('Rules &amp; Rate'!$B$2&lt;=S19,1,0)</f>
        <v>0</v>
      </c>
      <c r="BK19">
        <f>IF('Rules &amp; Rate'!$B$2&lt;=T19,1,0)</f>
        <v>1</v>
      </c>
      <c r="BL19">
        <f>IF('Rules &amp; Rate'!$B$2&lt;=U19,1,0)</f>
        <v>1</v>
      </c>
      <c r="BM19">
        <f>IF('Rules &amp; Rate'!$B$4&lt;=V19,1,0)</f>
        <v>0</v>
      </c>
      <c r="BN19">
        <f>IF('Rules &amp; Rate'!$B$4&lt;=W19,1,0)</f>
        <v>0</v>
      </c>
      <c r="BO19">
        <f>IF('Rules &amp; Rate'!$B$5&lt;=X19,1,0)</f>
        <v>1</v>
      </c>
      <c r="BP19">
        <f>IF('Rules &amp; Rate'!$B$3&lt;=Y19,1,0)</f>
        <v>0</v>
      </c>
      <c r="BQ19">
        <f>IF('Rules &amp; Rate'!$B$3&lt;=Z19,1,0)</f>
        <v>0</v>
      </c>
      <c r="BR19">
        <f>IF('Rules &amp; Rate'!$B$2&lt;=AC19,1,0)</f>
        <v>0</v>
      </c>
      <c r="BS19">
        <f>IF('Rules &amp; Rate'!$B$2&lt;=AD19,1,0)</f>
        <v>0</v>
      </c>
      <c r="BT19">
        <f>IF('Rules &amp; Rate'!$B$2&lt;=AE19,1,0)</f>
        <v>1</v>
      </c>
      <c r="BU19">
        <f>IF('Rules &amp; Rate'!$B$2&lt;=AF19,1,0)</f>
        <v>1</v>
      </c>
      <c r="BV19">
        <f>IF('Rules &amp; Rate'!$B$6&lt;=AG19,1,0)</f>
        <v>0</v>
      </c>
      <c r="BW19">
        <v>59839.02</v>
      </c>
      <c r="BX19">
        <f>SUMPRODUCT(AH19:BA19,Labour!$B$2:$U$2)</f>
        <v>382</v>
      </c>
      <c r="BY19">
        <v>146</v>
      </c>
      <c r="BZ19">
        <f t="shared" si="0"/>
        <v>528</v>
      </c>
      <c r="CA19">
        <f>SUMPRODUCT(AH19:BA19,Labour!$B$3:$U$3)</f>
        <v>348210.91000000003</v>
      </c>
      <c r="CB19">
        <f>SUMPRODUCT(BC19:BV19,'Component $'!$B$10:$U$10)</f>
        <v>92470.687800000014</v>
      </c>
      <c r="CC19">
        <f>SUMPRODUCT(BC19:BV19,'Component $'!$B$9:$U$9)</f>
        <v>9059.8878000000004</v>
      </c>
      <c r="CD19">
        <f>SUMPRODUCT(BC19:BV19,'Component $'!$B$6:$U$6)</f>
        <v>47308.800000000003</v>
      </c>
      <c r="CE19">
        <f>SUMPRODUCT(BC19:BV19,'Component $'!$B$8:$U$8)</f>
        <v>36102</v>
      </c>
      <c r="CF19">
        <f t="shared" si="1"/>
        <v>440681.59780000005</v>
      </c>
    </row>
    <row r="20" spans="1:84" x14ac:dyDescent="0.2">
      <c r="A20">
        <v>841</v>
      </c>
      <c r="B20">
        <v>1</v>
      </c>
      <c r="C20">
        <v>0</v>
      </c>
      <c r="D20">
        <v>1</v>
      </c>
      <c r="E20">
        <v>1</v>
      </c>
      <c r="F20">
        <v>1</v>
      </c>
      <c r="G20">
        <v>0.4</v>
      </c>
      <c r="H20">
        <v>0</v>
      </c>
      <c r="I20">
        <v>0</v>
      </c>
      <c r="J20">
        <v>0</v>
      </c>
      <c r="K20">
        <v>0.53639124999999999</v>
      </c>
      <c r="L20">
        <v>0.53639124999999999</v>
      </c>
      <c r="M20">
        <v>0.6628466666666667</v>
      </c>
      <c r="N20">
        <v>0.6628466666666667</v>
      </c>
      <c r="O20">
        <v>0.61301857142857141</v>
      </c>
      <c r="P20">
        <v>0.21455650000000001</v>
      </c>
      <c r="Q20">
        <v>0.21455650000000001</v>
      </c>
      <c r="R20">
        <v>9.2206250000000003E-2</v>
      </c>
      <c r="S20">
        <v>0.12142500000000001</v>
      </c>
      <c r="T20">
        <v>0.3725445</v>
      </c>
      <c r="U20">
        <v>0.44682949999999999</v>
      </c>
      <c r="V20">
        <v>0.97462000000000004</v>
      </c>
      <c r="W20">
        <v>1.135815</v>
      </c>
      <c r="X20">
        <v>0.61301857142857141</v>
      </c>
      <c r="Y20">
        <v>0.71518833333333331</v>
      </c>
      <c r="Z20">
        <v>0.71518833333333331</v>
      </c>
      <c r="AA20">
        <v>0.96809999999999996</v>
      </c>
      <c r="AB20">
        <v>0.96809999999999996</v>
      </c>
      <c r="AC20">
        <v>9.7140000000000004E-2</v>
      </c>
      <c r="AD20">
        <v>0.27532857142857142</v>
      </c>
      <c r="AE20">
        <v>0.27913450000000001</v>
      </c>
      <c r="AF20">
        <v>0.27532857142857142</v>
      </c>
      <c r="AG20">
        <v>0.21455650000000001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3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f>IF('Rules &amp; Rate'!$B$2&lt;=K20,1,0)</f>
        <v>1</v>
      </c>
      <c r="BD20">
        <f>IF('Rules &amp; Rate'!$B$2&lt;=L20,1,0)</f>
        <v>1</v>
      </c>
      <c r="BE20">
        <f>IF('Rules &amp; Rate'!$B$2&lt;=M20,1,0)</f>
        <v>1</v>
      </c>
      <c r="BF20">
        <f>IF('Rules &amp; Rate'!$B$2&lt;=N20,1,0)</f>
        <v>1</v>
      </c>
      <c r="BG20">
        <f>IF('Rules &amp; Rate'!$B$3&lt;=O20,1,0)</f>
        <v>1</v>
      </c>
      <c r="BH20">
        <f>IF('Rules &amp; Rate'!$B$3&lt;=P20,1,0)</f>
        <v>0</v>
      </c>
      <c r="BI20">
        <f>IF('Rules &amp; Rate'!$B$2&lt;=R20,1,0)</f>
        <v>0</v>
      </c>
      <c r="BJ20">
        <f>IF('Rules &amp; Rate'!$B$2&lt;=S20,1,0)</f>
        <v>0</v>
      </c>
      <c r="BK20">
        <f>IF('Rules &amp; Rate'!$B$2&lt;=T20,1,0)</f>
        <v>1</v>
      </c>
      <c r="BL20">
        <f>IF('Rules &amp; Rate'!$B$2&lt;=U20,1,0)</f>
        <v>1</v>
      </c>
      <c r="BM20">
        <f>IF('Rules &amp; Rate'!$B$4&lt;=V20,1,0)</f>
        <v>1</v>
      </c>
      <c r="BN20">
        <f>IF('Rules &amp; Rate'!$B$4&lt;=W20,1,0)</f>
        <v>1</v>
      </c>
      <c r="BO20">
        <f>IF('Rules &amp; Rate'!$B$5&lt;=X20,1,0)</f>
        <v>0</v>
      </c>
      <c r="BP20">
        <f>IF('Rules &amp; Rate'!$B$3&lt;=Y20,1,0)</f>
        <v>1</v>
      </c>
      <c r="BQ20">
        <f>IF('Rules &amp; Rate'!$B$3&lt;=Z20,1,0)</f>
        <v>1</v>
      </c>
      <c r="BR20">
        <f>IF('Rules &amp; Rate'!$B$2&lt;=AC20,1,0)</f>
        <v>0</v>
      </c>
      <c r="BS20">
        <f>IF('Rules &amp; Rate'!$B$2&lt;=AD20,1,0)</f>
        <v>0</v>
      </c>
      <c r="BT20">
        <f>IF('Rules &amp; Rate'!$B$2&lt;=AE20,1,0)</f>
        <v>0</v>
      </c>
      <c r="BU20">
        <f>IF('Rules &amp; Rate'!$B$2&lt;=AF20,1,0)</f>
        <v>0</v>
      </c>
      <c r="BV20">
        <f>IF('Rules &amp; Rate'!$B$6&lt;=AG20,1,0)</f>
        <v>0</v>
      </c>
      <c r="BW20">
        <v>58086.01</v>
      </c>
      <c r="BX20">
        <f>SUMPRODUCT(AH20:BA20,Labour!$B$2:$U$2)</f>
        <v>328</v>
      </c>
      <c r="BY20">
        <v>122</v>
      </c>
      <c r="BZ20">
        <f t="shared" si="0"/>
        <v>450</v>
      </c>
      <c r="CA20">
        <f>SUMPRODUCT(AH20:BA20,Labour!$B$3:$U$3)</f>
        <v>337244.22</v>
      </c>
      <c r="CB20">
        <f>SUMPRODUCT(BC20:BV20,'Component $'!$B$10:$U$10)</f>
        <v>431606.27</v>
      </c>
      <c r="CC20">
        <f>SUMPRODUCT(BC20:BV20,'Component $'!$B$9:$U$9)</f>
        <v>46825.47</v>
      </c>
      <c r="CD20">
        <f>SUMPRODUCT(BC20:BV20,'Component $'!$B$6:$U$6)</f>
        <v>292292.8</v>
      </c>
      <c r="CE20">
        <f>SUMPRODUCT(BC20:BV20,'Component $'!$B$8:$U$8)</f>
        <v>92488</v>
      </c>
      <c r="CF20">
        <f t="shared" si="1"/>
        <v>768850.49</v>
      </c>
    </row>
    <row r="21" spans="1:84" x14ac:dyDescent="0.2">
      <c r="A21">
        <v>842</v>
      </c>
      <c r="B21">
        <v>1</v>
      </c>
      <c r="C21">
        <v>0</v>
      </c>
      <c r="D21">
        <v>1</v>
      </c>
      <c r="E21">
        <v>1</v>
      </c>
      <c r="F21">
        <v>1</v>
      </c>
      <c r="G21">
        <v>0.4</v>
      </c>
      <c r="H21">
        <v>0</v>
      </c>
      <c r="I21">
        <v>0</v>
      </c>
      <c r="J21">
        <v>0</v>
      </c>
      <c r="K21">
        <v>0.43228541666666664</v>
      </c>
      <c r="L21">
        <v>0.43228541666666664</v>
      </c>
      <c r="M21">
        <v>0.59740027777777782</v>
      </c>
      <c r="N21">
        <v>0.59740027777777782</v>
      </c>
      <c r="O21">
        <v>0.2196595238095238</v>
      </c>
      <c r="P21">
        <v>0.89830866666666664</v>
      </c>
      <c r="Q21">
        <v>0.17291416666666667</v>
      </c>
      <c r="R21">
        <v>0.14578125</v>
      </c>
      <c r="S21">
        <v>0.14578125</v>
      </c>
      <c r="T21">
        <v>9.9100000000000004E-3</v>
      </c>
      <c r="U21">
        <v>0.90441700000000003</v>
      </c>
      <c r="V21">
        <v>5.7344444444444448E-2</v>
      </c>
      <c r="W21">
        <v>0.57638055555555556</v>
      </c>
      <c r="X21">
        <v>0.4940404761904762</v>
      </c>
      <c r="Y21">
        <v>0.57638055555555556</v>
      </c>
      <c r="Z21">
        <v>0.57638055555555556</v>
      </c>
      <c r="AA21">
        <v>0.89830866666666664</v>
      </c>
      <c r="AB21">
        <v>0.89830866666666664</v>
      </c>
      <c r="AC21">
        <v>8.4720000000000004E-2</v>
      </c>
      <c r="AD21">
        <v>0.16660714285714287</v>
      </c>
      <c r="AE21">
        <v>8.4720000000000004E-2</v>
      </c>
      <c r="AF21">
        <v>0.74106071428571429</v>
      </c>
      <c r="AG21">
        <v>0.89830866666666664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4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f>IF('Rules &amp; Rate'!$B$2&lt;=K21,1,0)</f>
        <v>1</v>
      </c>
      <c r="BD21">
        <f>IF('Rules &amp; Rate'!$B$2&lt;=L21,1,0)</f>
        <v>1</v>
      </c>
      <c r="BE21">
        <f>IF('Rules &amp; Rate'!$B$2&lt;=M21,1,0)</f>
        <v>1</v>
      </c>
      <c r="BF21">
        <f>IF('Rules &amp; Rate'!$B$2&lt;=N21,1,0)</f>
        <v>1</v>
      </c>
      <c r="BG21">
        <f>IF('Rules &amp; Rate'!$B$3&lt;=O21,1,0)</f>
        <v>0</v>
      </c>
      <c r="BH21">
        <f>IF('Rules &amp; Rate'!$B$3&lt;=P21,1,0)</f>
        <v>1</v>
      </c>
      <c r="BI21">
        <f>IF('Rules &amp; Rate'!$B$2&lt;=R21,1,0)</f>
        <v>0</v>
      </c>
      <c r="BJ21">
        <f>IF('Rules &amp; Rate'!$B$2&lt;=S21,1,0)</f>
        <v>0</v>
      </c>
      <c r="BK21">
        <f>IF('Rules &amp; Rate'!$B$2&lt;=T21,1,0)</f>
        <v>0</v>
      </c>
      <c r="BL21">
        <f>IF('Rules &amp; Rate'!$B$2&lt;=U21,1,0)</f>
        <v>1</v>
      </c>
      <c r="BM21">
        <f>IF('Rules &amp; Rate'!$B$4&lt;=V21,1,0)</f>
        <v>0</v>
      </c>
      <c r="BN21">
        <f>IF('Rules &amp; Rate'!$B$4&lt;=W21,1,0)</f>
        <v>0</v>
      </c>
      <c r="BO21">
        <f>IF('Rules &amp; Rate'!$B$5&lt;=X21,1,0)</f>
        <v>0</v>
      </c>
      <c r="BP21">
        <f>IF('Rules &amp; Rate'!$B$3&lt;=Y21,1,0)</f>
        <v>1</v>
      </c>
      <c r="BQ21">
        <f>IF('Rules &amp; Rate'!$B$3&lt;=Z21,1,0)</f>
        <v>1</v>
      </c>
      <c r="BR21">
        <f>IF('Rules &amp; Rate'!$B$2&lt;=AC21,1,0)</f>
        <v>0</v>
      </c>
      <c r="BS21">
        <f>IF('Rules &amp; Rate'!$B$2&lt;=AD21,1,0)</f>
        <v>0</v>
      </c>
      <c r="BT21">
        <f>IF('Rules &amp; Rate'!$B$2&lt;=AE21,1,0)</f>
        <v>0</v>
      </c>
      <c r="BU21">
        <f>IF('Rules &amp; Rate'!$B$2&lt;=AF21,1,0)</f>
        <v>1</v>
      </c>
      <c r="BV21">
        <f>IF('Rules &amp; Rate'!$B$6&lt;=AG21,1,0)</f>
        <v>1</v>
      </c>
      <c r="BW21">
        <v>53901.38</v>
      </c>
      <c r="BX21">
        <f>SUMPRODUCT(AH21:BA21,Labour!$B$2:$U$2)</f>
        <v>346</v>
      </c>
      <c r="BY21">
        <v>178</v>
      </c>
      <c r="BZ21">
        <f t="shared" si="0"/>
        <v>524</v>
      </c>
      <c r="CA21">
        <f>SUMPRODUCT(AH21:BA21,Labour!$B$3:$U$3)</f>
        <v>378144.53</v>
      </c>
      <c r="CB21">
        <f>SUMPRODUCT(BC21:BV21,'Component $'!$B$10:$U$10)</f>
        <v>139977.95140000002</v>
      </c>
      <c r="CC21">
        <f>SUMPRODUCT(BC21:BV21,'Component $'!$B$9:$U$9)</f>
        <v>37434.1014</v>
      </c>
      <c r="CD21">
        <f>SUMPRODUCT(BC21:BV21,'Component $'!$B$6:$U$6)</f>
        <v>66890.850000000006</v>
      </c>
      <c r="CE21">
        <f>SUMPRODUCT(BC21:BV21,'Component $'!$B$8:$U$8)</f>
        <v>35653</v>
      </c>
      <c r="CF21">
        <f t="shared" si="1"/>
        <v>518122.48140000005</v>
      </c>
    </row>
    <row r="22" spans="1:84" x14ac:dyDescent="0.2">
      <c r="A22">
        <v>843</v>
      </c>
      <c r="B22">
        <v>1</v>
      </c>
      <c r="C22">
        <v>0</v>
      </c>
      <c r="D22">
        <v>1</v>
      </c>
      <c r="E22">
        <v>2</v>
      </c>
      <c r="F22">
        <v>0</v>
      </c>
      <c r="G22">
        <v>0.4</v>
      </c>
      <c r="H22">
        <v>0.13953488372093023</v>
      </c>
      <c r="I22">
        <v>5.5813953488372092E-2</v>
      </c>
      <c r="J22">
        <v>720</v>
      </c>
      <c r="K22">
        <v>0.73590875</v>
      </c>
      <c r="L22">
        <v>0.73590875</v>
      </c>
      <c r="M22">
        <v>0.47830944444444445</v>
      </c>
      <c r="N22">
        <v>0.36636249999999998</v>
      </c>
      <c r="O22">
        <v>0.78167857142857144</v>
      </c>
      <c r="P22">
        <v>0.29311616666666668</v>
      </c>
      <c r="Q22">
        <v>0.95532550000000005</v>
      </c>
      <c r="R22">
        <v>0.73158437499999995</v>
      </c>
      <c r="S22">
        <v>0.60630937500000004</v>
      </c>
      <c r="T22">
        <v>0.75812400000000002</v>
      </c>
      <c r="U22">
        <v>0.5383675</v>
      </c>
      <c r="V22">
        <v>0.31763611111111112</v>
      </c>
      <c r="W22">
        <v>1.2400994444444444</v>
      </c>
      <c r="X22">
        <v>0.78167857142857144</v>
      </c>
      <c r="Y22">
        <v>0.31653611111111113</v>
      </c>
      <c r="AA22">
        <v>0.95532550000000005</v>
      </c>
      <c r="AB22">
        <v>0.95532550000000005</v>
      </c>
      <c r="AC22">
        <v>9.418E-2</v>
      </c>
      <c r="AD22">
        <v>9.9607142857142852E-2</v>
      </c>
      <c r="AE22">
        <v>9.418E-2</v>
      </c>
      <c r="AF22">
        <v>0.20407142857142857</v>
      </c>
      <c r="AG22">
        <v>0.95532550000000005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4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f>IF('Rules &amp; Rate'!$B$2&lt;=K22,1,0)</f>
        <v>1</v>
      </c>
      <c r="BD22">
        <f>IF('Rules &amp; Rate'!$B$2&lt;=L22,1,0)</f>
        <v>1</v>
      </c>
      <c r="BE22">
        <f>IF('Rules &amp; Rate'!$B$2&lt;=M22,1,0)</f>
        <v>1</v>
      </c>
      <c r="BF22">
        <f>IF('Rules &amp; Rate'!$B$2&lt;=N22,1,0)</f>
        <v>1</v>
      </c>
      <c r="BG22">
        <f>IF('Rules &amp; Rate'!$B$3&lt;=O22,1,0)</f>
        <v>1</v>
      </c>
      <c r="BH22">
        <f>IF('Rules &amp; Rate'!$B$3&lt;=P22,1,0)</f>
        <v>0</v>
      </c>
      <c r="BI22">
        <f>IF('Rules &amp; Rate'!$B$2&lt;=R22,1,0)</f>
        <v>1</v>
      </c>
      <c r="BJ22">
        <f>IF('Rules &amp; Rate'!$B$2&lt;=S22,1,0)</f>
        <v>1</v>
      </c>
      <c r="BK22">
        <f>IF('Rules &amp; Rate'!$B$2&lt;=T22,1,0)</f>
        <v>1</v>
      </c>
      <c r="BL22">
        <f>IF('Rules &amp; Rate'!$B$2&lt;=U22,1,0)</f>
        <v>1</v>
      </c>
      <c r="BM22">
        <f>IF('Rules &amp; Rate'!$B$4&lt;=V22,1,0)</f>
        <v>0</v>
      </c>
      <c r="BN22">
        <f>IF('Rules &amp; Rate'!$B$4&lt;=W22,1,0)</f>
        <v>1</v>
      </c>
      <c r="BO22">
        <f>IF('Rules &amp; Rate'!$B$5&lt;=X22,1,0)</f>
        <v>1</v>
      </c>
      <c r="BP22">
        <f>IF('Rules &amp; Rate'!$B$3&lt;=Y22,1,0)</f>
        <v>0</v>
      </c>
      <c r="BQ22">
        <f>IF('Rules &amp; Rate'!$B$3&lt;=Z22,1,0)</f>
        <v>0</v>
      </c>
      <c r="BR22">
        <f>IF('Rules &amp; Rate'!$B$2&lt;=AC22,1,0)</f>
        <v>0</v>
      </c>
      <c r="BS22">
        <f>IF('Rules &amp; Rate'!$B$2&lt;=AD22,1,0)</f>
        <v>0</v>
      </c>
      <c r="BT22">
        <f>IF('Rules &amp; Rate'!$B$2&lt;=AE22,1,0)</f>
        <v>0</v>
      </c>
      <c r="BU22">
        <f>IF('Rules &amp; Rate'!$B$2&lt;=AF22,1,0)</f>
        <v>0</v>
      </c>
      <c r="BV22">
        <f>IF('Rules &amp; Rate'!$B$6&lt;=AG22,1,0)</f>
        <v>1</v>
      </c>
      <c r="BW22">
        <v>57319.53</v>
      </c>
      <c r="BX22">
        <f>SUMPRODUCT(AH22:BA22,Labour!$B$2:$U$2)</f>
        <v>298</v>
      </c>
      <c r="BY22">
        <v>185</v>
      </c>
      <c r="BZ22">
        <f t="shared" si="0"/>
        <v>483</v>
      </c>
      <c r="CA22">
        <f>SUMPRODUCT(AH22:BA22,Labour!$B$3:$U$3)</f>
        <v>359598.53</v>
      </c>
      <c r="CB22">
        <f>SUMPRODUCT(BC22:BV22,'Component $'!$B$10:$U$10)</f>
        <v>332254.14600000001</v>
      </c>
      <c r="CC22">
        <f>SUMPRODUCT(BC22:BV22,'Component $'!$B$9:$U$9)</f>
        <v>34115.345999999998</v>
      </c>
      <c r="CD22">
        <f>SUMPRODUCT(BC22:BV22,'Component $'!$B$6:$U$6)</f>
        <v>192448.8</v>
      </c>
      <c r="CE22">
        <f>SUMPRODUCT(BC22:BV22,'Component $'!$B$8:$U$8)</f>
        <v>105690</v>
      </c>
      <c r="CF22">
        <f t="shared" si="1"/>
        <v>691852.67599999998</v>
      </c>
    </row>
    <row r="23" spans="1:84" x14ac:dyDescent="0.2">
      <c r="A23">
        <v>844</v>
      </c>
      <c r="B23">
        <v>1</v>
      </c>
      <c r="C23">
        <v>1</v>
      </c>
      <c r="D23">
        <v>2</v>
      </c>
      <c r="E23">
        <v>1</v>
      </c>
      <c r="F23">
        <v>0</v>
      </c>
      <c r="G23">
        <v>0.5</v>
      </c>
      <c r="H23">
        <v>0.18023255813953487</v>
      </c>
      <c r="I23">
        <v>9.0116279069767435E-2</v>
      </c>
      <c r="J23">
        <v>930</v>
      </c>
      <c r="K23">
        <v>0.50611041666666667</v>
      </c>
      <c r="L23">
        <v>0.50611041666666667</v>
      </c>
      <c r="M23">
        <v>0.75047111111111109</v>
      </c>
      <c r="N23">
        <v>0.75047111111111109</v>
      </c>
      <c r="O23">
        <v>0.35014523809523812</v>
      </c>
      <c r="P23">
        <v>0.98781066666666661</v>
      </c>
      <c r="Q23">
        <v>0.20244416666666668</v>
      </c>
      <c r="R23">
        <v>0.93364374999999999</v>
      </c>
      <c r="S23">
        <v>0.13405624999999999</v>
      </c>
      <c r="T23">
        <v>0.107345</v>
      </c>
      <c r="U23">
        <v>0.107345</v>
      </c>
      <c r="V23">
        <v>0.22408888888888889</v>
      </c>
      <c r="W23">
        <v>3.2444444444444442E-2</v>
      </c>
      <c r="X23">
        <v>0.57841190476190474</v>
      </c>
      <c r="Y23">
        <v>0.67481388888888894</v>
      </c>
      <c r="Z23">
        <v>0.67476388888888894</v>
      </c>
      <c r="AA23">
        <v>0.98781066666666661</v>
      </c>
      <c r="AB23">
        <v>0.98781066666666661</v>
      </c>
      <c r="AC23">
        <v>0.37188749999999998</v>
      </c>
      <c r="AD23">
        <v>0.33708571428571427</v>
      </c>
      <c r="AE23">
        <v>0.60733250000000005</v>
      </c>
      <c r="AF23">
        <v>0.2992642857142857</v>
      </c>
      <c r="AG23">
        <v>0.98781066666666661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2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f>IF('Rules &amp; Rate'!$B$2&lt;=K23,1,0)</f>
        <v>1</v>
      </c>
      <c r="BD23">
        <f>IF('Rules &amp; Rate'!$B$2&lt;=L23,1,0)</f>
        <v>1</v>
      </c>
      <c r="BE23">
        <f>IF('Rules &amp; Rate'!$B$2&lt;=M23,1,0)</f>
        <v>1</v>
      </c>
      <c r="BF23">
        <f>IF('Rules &amp; Rate'!$B$2&lt;=N23,1,0)</f>
        <v>1</v>
      </c>
      <c r="BG23">
        <f>IF('Rules &amp; Rate'!$B$3&lt;=O23,1,0)</f>
        <v>0</v>
      </c>
      <c r="BH23">
        <f>IF('Rules &amp; Rate'!$B$3&lt;=P23,1,0)</f>
        <v>1</v>
      </c>
      <c r="BI23">
        <f>IF('Rules &amp; Rate'!$B$2&lt;=R23,1,0)</f>
        <v>1</v>
      </c>
      <c r="BJ23">
        <f>IF('Rules &amp; Rate'!$B$2&lt;=S23,1,0)</f>
        <v>0</v>
      </c>
      <c r="BK23">
        <f>IF('Rules &amp; Rate'!$B$2&lt;=T23,1,0)</f>
        <v>0</v>
      </c>
      <c r="BL23">
        <f>IF('Rules &amp; Rate'!$B$2&lt;=U23,1,0)</f>
        <v>0</v>
      </c>
      <c r="BM23">
        <f>IF('Rules &amp; Rate'!$B$4&lt;=V23,1,0)</f>
        <v>0</v>
      </c>
      <c r="BN23">
        <f>IF('Rules &amp; Rate'!$B$4&lt;=W23,1,0)</f>
        <v>0</v>
      </c>
      <c r="BO23">
        <f>IF('Rules &amp; Rate'!$B$5&lt;=X23,1,0)</f>
        <v>0</v>
      </c>
      <c r="BP23">
        <f>IF('Rules &amp; Rate'!$B$3&lt;=Y23,1,0)</f>
        <v>1</v>
      </c>
      <c r="BQ23">
        <f>IF('Rules &amp; Rate'!$B$3&lt;=Z23,1,0)</f>
        <v>1</v>
      </c>
      <c r="BR23">
        <f>IF('Rules &amp; Rate'!$B$2&lt;=AC23,1,0)</f>
        <v>1</v>
      </c>
      <c r="BS23">
        <f>IF('Rules &amp; Rate'!$B$2&lt;=AD23,1,0)</f>
        <v>1</v>
      </c>
      <c r="BT23">
        <f>IF('Rules &amp; Rate'!$B$2&lt;=AE23,1,0)</f>
        <v>1</v>
      </c>
      <c r="BU23">
        <f>IF('Rules &amp; Rate'!$B$2&lt;=AF23,1,0)</f>
        <v>0</v>
      </c>
      <c r="BV23">
        <f>IF('Rules &amp; Rate'!$B$6&lt;=AG23,1,0)</f>
        <v>1</v>
      </c>
      <c r="BW23">
        <v>59163.34</v>
      </c>
      <c r="BX23">
        <f>SUMPRODUCT(AH23:BA23,Labour!$B$2:$U$2)</f>
        <v>322</v>
      </c>
      <c r="BY23">
        <v>192</v>
      </c>
      <c r="BZ23">
        <f t="shared" si="0"/>
        <v>514</v>
      </c>
      <c r="CA23">
        <f>SUMPRODUCT(AH23:BA23,Labour!$B$3:$U$3)</f>
        <v>314252.91000000003</v>
      </c>
      <c r="CB23">
        <f>SUMPRODUCT(BC23:BV23,'Component $'!$B$10:$U$10)</f>
        <v>185696.15719999996</v>
      </c>
      <c r="CC23">
        <f>SUMPRODUCT(BC23:BV23,'Component $'!$B$9:$U$9)</f>
        <v>44606.257199999993</v>
      </c>
      <c r="CD23">
        <f>SUMPRODUCT(BC23:BV23,'Component $'!$B$6:$U$6)</f>
        <v>77178.899999999994</v>
      </c>
      <c r="CE23">
        <f>SUMPRODUCT(BC23:BV23,'Component $'!$B$8:$U$8)</f>
        <v>63911</v>
      </c>
      <c r="CF23">
        <f t="shared" si="1"/>
        <v>499949.06719999999</v>
      </c>
    </row>
    <row r="24" spans="1:84" x14ac:dyDescent="0.2">
      <c r="A24">
        <v>845</v>
      </c>
      <c r="B24">
        <v>1</v>
      </c>
      <c r="C24">
        <v>1</v>
      </c>
      <c r="D24">
        <v>1</v>
      </c>
      <c r="E24">
        <v>2</v>
      </c>
      <c r="F24">
        <v>1</v>
      </c>
      <c r="G24">
        <v>0.6</v>
      </c>
      <c r="H24">
        <v>0.46124031007751937</v>
      </c>
      <c r="I24">
        <v>0.27674418604651163</v>
      </c>
      <c r="J24">
        <v>2380</v>
      </c>
      <c r="K24">
        <v>0.45362708333333335</v>
      </c>
      <c r="L24">
        <v>0.45362708333333335</v>
      </c>
      <c r="M24">
        <v>0.30638472222222224</v>
      </c>
      <c r="N24">
        <v>0.30638472222222224</v>
      </c>
      <c r="O24">
        <v>0.51843095238095238</v>
      </c>
      <c r="P24">
        <v>0.96481249999999996</v>
      </c>
      <c r="Q24">
        <v>0.18145083333333334</v>
      </c>
      <c r="R24">
        <v>0.26169999999999999</v>
      </c>
      <c r="S24">
        <v>0.17585000000000001</v>
      </c>
      <c r="T24">
        <v>1.1537379999999999</v>
      </c>
      <c r="U24">
        <v>6.2710000000000002E-2</v>
      </c>
      <c r="V24">
        <v>0.60483611111111113</v>
      </c>
      <c r="W24">
        <v>0.15631111111111112</v>
      </c>
      <c r="X24">
        <v>0.51843095238095238</v>
      </c>
      <c r="Y24">
        <v>0.47502499999999998</v>
      </c>
      <c r="Z24">
        <v>0.15631111111111112</v>
      </c>
      <c r="AA24">
        <v>0.96481249999999996</v>
      </c>
      <c r="AB24">
        <v>0.96481249999999996</v>
      </c>
      <c r="AC24">
        <v>0.54435250000000002</v>
      </c>
      <c r="AD24">
        <v>1.9785714285714285E-2</v>
      </c>
      <c r="AE24">
        <v>9.0054999999999996E-2</v>
      </c>
      <c r="AF24">
        <v>1.9785714285714285E-2</v>
      </c>
      <c r="AG24">
        <v>0.96481249999999996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2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f>IF('Rules &amp; Rate'!$B$2&lt;=K24,1,0)</f>
        <v>1</v>
      </c>
      <c r="BD24">
        <f>IF('Rules &amp; Rate'!$B$2&lt;=L24,1,0)</f>
        <v>1</v>
      </c>
      <c r="BE24">
        <f>IF('Rules &amp; Rate'!$B$2&lt;=M24,1,0)</f>
        <v>1</v>
      </c>
      <c r="BF24">
        <f>IF('Rules &amp; Rate'!$B$2&lt;=N24,1,0)</f>
        <v>1</v>
      </c>
      <c r="BG24">
        <f>IF('Rules &amp; Rate'!$B$3&lt;=O24,1,0)</f>
        <v>1</v>
      </c>
      <c r="BH24">
        <f>IF('Rules &amp; Rate'!$B$3&lt;=P24,1,0)</f>
        <v>1</v>
      </c>
      <c r="BI24">
        <f>IF('Rules &amp; Rate'!$B$2&lt;=R24,1,0)</f>
        <v>0</v>
      </c>
      <c r="BJ24">
        <f>IF('Rules &amp; Rate'!$B$2&lt;=S24,1,0)</f>
        <v>0</v>
      </c>
      <c r="BK24">
        <f>IF('Rules &amp; Rate'!$B$2&lt;=T24,1,0)</f>
        <v>1</v>
      </c>
      <c r="BL24">
        <f>IF('Rules &amp; Rate'!$B$2&lt;=U24,1,0)</f>
        <v>0</v>
      </c>
      <c r="BM24">
        <f>IF('Rules &amp; Rate'!$B$4&lt;=V24,1,0)</f>
        <v>0</v>
      </c>
      <c r="BN24">
        <f>IF('Rules &amp; Rate'!$B$4&lt;=W24,1,0)</f>
        <v>0</v>
      </c>
      <c r="BO24">
        <f>IF('Rules &amp; Rate'!$B$5&lt;=X24,1,0)</f>
        <v>0</v>
      </c>
      <c r="BP24">
        <f>IF('Rules &amp; Rate'!$B$3&lt;=Y24,1,0)</f>
        <v>0</v>
      </c>
      <c r="BQ24">
        <f>IF('Rules &amp; Rate'!$B$3&lt;=Z24,1,0)</f>
        <v>0</v>
      </c>
      <c r="BR24">
        <f>IF('Rules &amp; Rate'!$B$2&lt;=AC24,1,0)</f>
        <v>1</v>
      </c>
      <c r="BS24">
        <f>IF('Rules &amp; Rate'!$B$2&lt;=AD24,1,0)</f>
        <v>0</v>
      </c>
      <c r="BT24">
        <f>IF('Rules &amp; Rate'!$B$2&lt;=AE24,1,0)</f>
        <v>0</v>
      </c>
      <c r="BU24">
        <f>IF('Rules &amp; Rate'!$B$2&lt;=AF24,1,0)</f>
        <v>0</v>
      </c>
      <c r="BV24">
        <f>IF('Rules &amp; Rate'!$B$6&lt;=AG24,1,0)</f>
        <v>1</v>
      </c>
      <c r="BW24">
        <v>57888.75</v>
      </c>
      <c r="BX24">
        <f>SUMPRODUCT(AH24:BA24,Labour!$B$2:$U$2)</f>
        <v>382</v>
      </c>
      <c r="BY24">
        <v>174</v>
      </c>
      <c r="BZ24">
        <f t="shared" si="0"/>
        <v>556</v>
      </c>
      <c r="CA24">
        <f>SUMPRODUCT(AH24:BA24,Labour!$B$3:$U$3)</f>
        <v>348210.91000000003</v>
      </c>
      <c r="CB24">
        <f>SUMPRODUCT(BC24:BV24,'Component $'!$B$10:$U$10)</f>
        <v>107593.05140000001</v>
      </c>
      <c r="CC24">
        <f>SUMPRODUCT(BC24:BV24,'Component $'!$B$9:$U$9)</f>
        <v>26858.201400000002</v>
      </c>
      <c r="CD24">
        <f>SUMPRODUCT(BC24:BV24,'Component $'!$B$6:$U$6)</f>
        <v>46341.85</v>
      </c>
      <c r="CE24">
        <f>SUMPRODUCT(BC24:BV24,'Component $'!$B$8:$U$8)</f>
        <v>34393</v>
      </c>
      <c r="CF24">
        <f t="shared" si="1"/>
        <v>455803.96140000003</v>
      </c>
    </row>
    <row r="25" spans="1:84" x14ac:dyDescent="0.2">
      <c r="A25">
        <v>846</v>
      </c>
      <c r="B25">
        <v>1</v>
      </c>
      <c r="C25">
        <v>0</v>
      </c>
      <c r="D25">
        <v>1</v>
      </c>
      <c r="E25">
        <v>1</v>
      </c>
      <c r="F25">
        <v>1</v>
      </c>
      <c r="G25">
        <v>0.4</v>
      </c>
      <c r="H25">
        <v>9.6899224806201556E-2</v>
      </c>
      <c r="I25">
        <v>3.8759689922480627E-2</v>
      </c>
      <c r="J25">
        <v>500</v>
      </c>
      <c r="K25">
        <v>0.7601633333333333</v>
      </c>
      <c r="L25">
        <v>0.7601633333333333</v>
      </c>
      <c r="M25">
        <v>0.76737444444444447</v>
      </c>
      <c r="N25">
        <v>0.76737444444444447</v>
      </c>
      <c r="O25">
        <v>0.86875809523809522</v>
      </c>
      <c r="P25">
        <v>0.30406533333333335</v>
      </c>
      <c r="Q25">
        <v>0.97001800000000005</v>
      </c>
      <c r="R25">
        <v>0.31133</v>
      </c>
      <c r="S25">
        <v>0.19045624999999999</v>
      </c>
      <c r="T25">
        <v>0</v>
      </c>
      <c r="U25">
        <v>0.69552499999999995</v>
      </c>
      <c r="V25">
        <v>8.7838888888888883E-2</v>
      </c>
      <c r="W25">
        <v>0.47514333333333331</v>
      </c>
      <c r="X25">
        <v>0.86875809523809522</v>
      </c>
      <c r="Y25">
        <v>8.7838888888888883E-2</v>
      </c>
      <c r="Z25">
        <v>1.0135511111111111</v>
      </c>
      <c r="AA25">
        <v>0.97001800000000005</v>
      </c>
      <c r="AB25">
        <v>0.97001800000000005</v>
      </c>
      <c r="AC25">
        <v>0.80135599999999996</v>
      </c>
      <c r="AD25">
        <v>8.8528571428571429E-2</v>
      </c>
      <c r="AE25">
        <v>0.46496900000000002</v>
      </c>
      <c r="AF25">
        <v>0.18425714285714287</v>
      </c>
      <c r="AG25">
        <v>0.30406533333333335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f>IF('Rules &amp; Rate'!$B$2&lt;=K25,1,0)</f>
        <v>1</v>
      </c>
      <c r="BD25">
        <f>IF('Rules &amp; Rate'!$B$2&lt;=L25,1,0)</f>
        <v>1</v>
      </c>
      <c r="BE25">
        <f>IF('Rules &amp; Rate'!$B$2&lt;=M25,1,0)</f>
        <v>1</v>
      </c>
      <c r="BF25">
        <f>IF('Rules &amp; Rate'!$B$2&lt;=N25,1,0)</f>
        <v>1</v>
      </c>
      <c r="BG25">
        <f>IF('Rules &amp; Rate'!$B$3&lt;=O25,1,0)</f>
        <v>1</v>
      </c>
      <c r="BH25">
        <f>IF('Rules &amp; Rate'!$B$3&lt;=P25,1,0)</f>
        <v>0</v>
      </c>
      <c r="BI25">
        <f>IF('Rules &amp; Rate'!$B$2&lt;=R25,1,0)</f>
        <v>1</v>
      </c>
      <c r="BJ25">
        <f>IF('Rules &amp; Rate'!$B$2&lt;=S25,1,0)</f>
        <v>0</v>
      </c>
      <c r="BK25">
        <f>IF('Rules &amp; Rate'!$B$2&lt;=T25,1,0)</f>
        <v>0</v>
      </c>
      <c r="BL25">
        <f>IF('Rules &amp; Rate'!$B$2&lt;=U25,1,0)</f>
        <v>1</v>
      </c>
      <c r="BM25">
        <f>IF('Rules &amp; Rate'!$B$4&lt;=V25,1,0)</f>
        <v>0</v>
      </c>
      <c r="BN25">
        <f>IF('Rules &amp; Rate'!$B$4&lt;=W25,1,0)</f>
        <v>0</v>
      </c>
      <c r="BO25">
        <f>IF('Rules &amp; Rate'!$B$5&lt;=X25,1,0)</f>
        <v>1</v>
      </c>
      <c r="BP25">
        <f>IF('Rules &amp; Rate'!$B$3&lt;=Y25,1,0)</f>
        <v>0</v>
      </c>
      <c r="BQ25">
        <f>IF('Rules &amp; Rate'!$B$3&lt;=Z25,1,0)</f>
        <v>1</v>
      </c>
      <c r="BR25">
        <f>IF('Rules &amp; Rate'!$B$2&lt;=AC25,1,0)</f>
        <v>1</v>
      </c>
      <c r="BS25">
        <f>IF('Rules &amp; Rate'!$B$2&lt;=AD25,1,0)</f>
        <v>0</v>
      </c>
      <c r="BT25">
        <f>IF('Rules &amp; Rate'!$B$2&lt;=AE25,1,0)</f>
        <v>1</v>
      </c>
      <c r="BU25">
        <f>IF('Rules &amp; Rate'!$B$2&lt;=AF25,1,0)</f>
        <v>0</v>
      </c>
      <c r="BV25">
        <f>IF('Rules &amp; Rate'!$B$6&lt;=AG25,1,0)</f>
        <v>0</v>
      </c>
      <c r="BW25">
        <v>58168.480000000003</v>
      </c>
      <c r="BX25">
        <f>SUMPRODUCT(AH25:BA25,Labour!$B$2:$U$2)</f>
        <v>340</v>
      </c>
      <c r="BY25">
        <v>182</v>
      </c>
      <c r="BZ25">
        <f t="shared" si="0"/>
        <v>522</v>
      </c>
      <c r="CA25">
        <f>SUMPRODUCT(AH25:BA25,Labour!$B$3:$U$3)</f>
        <v>352656.22</v>
      </c>
      <c r="CB25">
        <f>SUMPRODUCT(BC25:BV25,'Component $'!$B$10:$U$10)</f>
        <v>177506.17579999997</v>
      </c>
      <c r="CC25">
        <f>SUMPRODUCT(BC25:BV25,'Component $'!$B$9:$U$9)</f>
        <v>33615.325799999999</v>
      </c>
      <c r="CD25">
        <f>SUMPRODUCT(BC25:BV25,'Component $'!$B$6:$U$6)</f>
        <v>89944.85</v>
      </c>
      <c r="CE25">
        <f>SUMPRODUCT(BC25:BV25,'Component $'!$B$8:$U$8)</f>
        <v>53946</v>
      </c>
      <c r="CF25">
        <f t="shared" si="1"/>
        <v>530162.39579999994</v>
      </c>
    </row>
    <row r="26" spans="1:84" x14ac:dyDescent="0.2">
      <c r="A26">
        <v>847</v>
      </c>
      <c r="B26">
        <v>1</v>
      </c>
      <c r="C26">
        <v>1</v>
      </c>
      <c r="D26">
        <v>2</v>
      </c>
      <c r="E26">
        <v>2</v>
      </c>
      <c r="F26">
        <v>2</v>
      </c>
      <c r="G26">
        <v>0.8</v>
      </c>
      <c r="H26">
        <v>1</v>
      </c>
      <c r="I26">
        <v>0.8</v>
      </c>
      <c r="J26">
        <v>5160</v>
      </c>
      <c r="K26">
        <v>0.66457999999999995</v>
      </c>
      <c r="L26">
        <v>0.66457999999999995</v>
      </c>
      <c r="M26">
        <v>0.6685672222222222</v>
      </c>
      <c r="N26">
        <v>0.6685672222222222</v>
      </c>
      <c r="O26">
        <v>0.12678095238095238</v>
      </c>
      <c r="P26">
        <v>0.26583200000000001</v>
      </c>
      <c r="Q26">
        <v>0.93504966666666667</v>
      </c>
      <c r="R26">
        <v>0.99687000000000003</v>
      </c>
      <c r="S26">
        <v>0.99687000000000003</v>
      </c>
      <c r="T26">
        <v>0.98610249999999999</v>
      </c>
      <c r="U26">
        <v>0.98610249999999999</v>
      </c>
      <c r="V26">
        <v>0.14891111111111111</v>
      </c>
      <c r="W26">
        <v>0.14891111111111111</v>
      </c>
      <c r="X26">
        <v>0.12678095238095238</v>
      </c>
      <c r="Y26">
        <v>1.3619644444444445</v>
      </c>
      <c r="Z26">
        <v>0.29001222222222223</v>
      </c>
      <c r="AA26">
        <v>0.93504966666666667</v>
      </c>
      <c r="AB26">
        <v>0.93504966666666667</v>
      </c>
      <c r="AC26">
        <v>0.56938599999999995</v>
      </c>
      <c r="AD26">
        <v>0.28374285714285713</v>
      </c>
      <c r="AE26">
        <v>0.18017</v>
      </c>
      <c r="AF26">
        <v>0.24990714285714286</v>
      </c>
      <c r="AG26">
        <v>0.93504966666666667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2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f>IF('Rules &amp; Rate'!$B$2&lt;=K26,1,0)</f>
        <v>1</v>
      </c>
      <c r="BD26">
        <f>IF('Rules &amp; Rate'!$B$2&lt;=L26,1,0)</f>
        <v>1</v>
      </c>
      <c r="BE26">
        <f>IF('Rules &amp; Rate'!$B$2&lt;=M26,1,0)</f>
        <v>1</v>
      </c>
      <c r="BF26">
        <f>IF('Rules &amp; Rate'!$B$2&lt;=N26,1,0)</f>
        <v>1</v>
      </c>
      <c r="BG26">
        <f>IF('Rules &amp; Rate'!$B$3&lt;=O26,1,0)</f>
        <v>0</v>
      </c>
      <c r="BH26">
        <f>IF('Rules &amp; Rate'!$B$3&lt;=P26,1,0)</f>
        <v>0</v>
      </c>
      <c r="BI26">
        <f>IF('Rules &amp; Rate'!$B$2&lt;=R26,1,0)</f>
        <v>1</v>
      </c>
      <c r="BJ26">
        <f>IF('Rules &amp; Rate'!$B$2&lt;=S26,1,0)</f>
        <v>1</v>
      </c>
      <c r="BK26">
        <f>IF('Rules &amp; Rate'!$B$2&lt;=T26,1,0)</f>
        <v>1</v>
      </c>
      <c r="BL26">
        <f>IF('Rules &amp; Rate'!$B$2&lt;=U26,1,0)</f>
        <v>1</v>
      </c>
      <c r="BM26">
        <f>IF('Rules &amp; Rate'!$B$4&lt;=V26,1,0)</f>
        <v>0</v>
      </c>
      <c r="BN26">
        <f>IF('Rules &amp; Rate'!$B$4&lt;=W26,1,0)</f>
        <v>0</v>
      </c>
      <c r="BO26">
        <f>IF('Rules &amp; Rate'!$B$5&lt;=X26,1,0)</f>
        <v>0</v>
      </c>
      <c r="BP26">
        <f>IF('Rules &amp; Rate'!$B$3&lt;=Y26,1,0)</f>
        <v>1</v>
      </c>
      <c r="BQ26">
        <f>IF('Rules &amp; Rate'!$B$3&lt;=Z26,1,0)</f>
        <v>0</v>
      </c>
      <c r="BR26">
        <f>IF('Rules &amp; Rate'!$B$2&lt;=AC26,1,0)</f>
        <v>1</v>
      </c>
      <c r="BS26">
        <f>IF('Rules &amp; Rate'!$B$2&lt;=AD26,1,0)</f>
        <v>0</v>
      </c>
      <c r="BT26">
        <f>IF('Rules &amp; Rate'!$B$2&lt;=AE26,1,0)</f>
        <v>0</v>
      </c>
      <c r="BU26">
        <f>IF('Rules &amp; Rate'!$B$2&lt;=AF26,1,0)</f>
        <v>0</v>
      </c>
      <c r="BV26">
        <f>IF('Rules &amp; Rate'!$B$6&lt;=AG26,1,0)</f>
        <v>1</v>
      </c>
      <c r="BW26">
        <v>55992.98</v>
      </c>
      <c r="BX26">
        <f>SUMPRODUCT(AH26:BA26,Labour!$B$2:$U$2)</f>
        <v>382</v>
      </c>
      <c r="BY26">
        <v>180</v>
      </c>
      <c r="BZ26">
        <f t="shared" si="0"/>
        <v>562</v>
      </c>
      <c r="CA26">
        <f>SUMPRODUCT(AH26:BA26,Labour!$B$3:$U$3)</f>
        <v>348210.91000000003</v>
      </c>
      <c r="CB26">
        <f>SUMPRODUCT(BC26:BV26,'Component $'!$B$10:$U$10)</f>
        <v>150983.2524</v>
      </c>
      <c r="CC26">
        <f>SUMPRODUCT(BC26:BV26,'Component $'!$B$9:$U$9)</f>
        <v>30243.452399999998</v>
      </c>
      <c r="CD26">
        <f>SUMPRODUCT(BC26:BV26,'Component $'!$B$6:$U$6)</f>
        <v>41997.8</v>
      </c>
      <c r="CE26">
        <f>SUMPRODUCT(BC26:BV26,'Component $'!$B$8:$U$8)</f>
        <v>78742</v>
      </c>
      <c r="CF26">
        <f t="shared" si="1"/>
        <v>499194.16240000003</v>
      </c>
    </row>
    <row r="27" spans="1:84" x14ac:dyDescent="0.2">
      <c r="A27">
        <v>848</v>
      </c>
      <c r="B27">
        <v>2</v>
      </c>
      <c r="C27">
        <v>0</v>
      </c>
      <c r="D27">
        <v>1</v>
      </c>
      <c r="E27">
        <v>2</v>
      </c>
      <c r="F27">
        <v>1</v>
      </c>
      <c r="G27">
        <v>0.6</v>
      </c>
      <c r="H27">
        <v>0.15503875968992248</v>
      </c>
      <c r="I27">
        <v>9.3023255813953487E-2</v>
      </c>
      <c r="J27">
        <v>800</v>
      </c>
      <c r="K27">
        <v>0.42574125000000002</v>
      </c>
      <c r="L27">
        <v>0.42574125000000002</v>
      </c>
      <c r="M27">
        <v>0.68668305555555553</v>
      </c>
      <c r="N27">
        <v>0.68668305555555553</v>
      </c>
      <c r="O27">
        <v>0.48844238095238096</v>
      </c>
      <c r="P27">
        <v>0.95747533333333334</v>
      </c>
      <c r="Q27">
        <v>0.17029649999999999</v>
      </c>
      <c r="R27">
        <v>0.55072437500000004</v>
      </c>
      <c r="S27">
        <v>0.64108062499999996</v>
      </c>
      <c r="T27">
        <v>2.0885000000000001E-2</v>
      </c>
      <c r="U27">
        <v>0.51282450000000002</v>
      </c>
      <c r="V27">
        <v>0.56765500000000002</v>
      </c>
      <c r="W27">
        <v>0.56765500000000002</v>
      </c>
      <c r="X27">
        <v>0.48844238095238096</v>
      </c>
      <c r="Y27">
        <v>0.56765500000000002</v>
      </c>
      <c r="Z27">
        <v>0.44719388888888889</v>
      </c>
      <c r="AA27">
        <v>0.95747533333333334</v>
      </c>
      <c r="AB27">
        <v>0.95747533333333334</v>
      </c>
      <c r="AC27">
        <v>0.44289450000000002</v>
      </c>
      <c r="AD27">
        <v>0.42058499999999999</v>
      </c>
      <c r="AE27">
        <v>0.5108895</v>
      </c>
      <c r="AF27">
        <v>0.3520214285714286</v>
      </c>
      <c r="AG27">
        <v>0.95747533333333334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f>IF('Rules &amp; Rate'!$B$2&lt;=K27,1,0)</f>
        <v>1</v>
      </c>
      <c r="BD27">
        <f>IF('Rules &amp; Rate'!$B$2&lt;=L27,1,0)</f>
        <v>1</v>
      </c>
      <c r="BE27">
        <f>IF('Rules &amp; Rate'!$B$2&lt;=M27,1,0)</f>
        <v>1</v>
      </c>
      <c r="BF27">
        <f>IF('Rules &amp; Rate'!$B$2&lt;=N27,1,0)</f>
        <v>1</v>
      </c>
      <c r="BG27">
        <f>IF('Rules &amp; Rate'!$B$3&lt;=O27,1,0)</f>
        <v>0</v>
      </c>
      <c r="BH27">
        <f>IF('Rules &amp; Rate'!$B$3&lt;=P27,1,0)</f>
        <v>1</v>
      </c>
      <c r="BI27">
        <f>IF('Rules &amp; Rate'!$B$2&lt;=R27,1,0)</f>
        <v>1</v>
      </c>
      <c r="BJ27">
        <f>IF('Rules &amp; Rate'!$B$2&lt;=S27,1,0)</f>
        <v>1</v>
      </c>
      <c r="BK27">
        <f>IF('Rules &amp; Rate'!$B$2&lt;=T27,1,0)</f>
        <v>0</v>
      </c>
      <c r="BL27">
        <f>IF('Rules &amp; Rate'!$B$2&lt;=U27,1,0)</f>
        <v>1</v>
      </c>
      <c r="BM27">
        <f>IF('Rules &amp; Rate'!$B$4&lt;=V27,1,0)</f>
        <v>0</v>
      </c>
      <c r="BN27">
        <f>IF('Rules &amp; Rate'!$B$4&lt;=W27,1,0)</f>
        <v>0</v>
      </c>
      <c r="BO27">
        <f>IF('Rules &amp; Rate'!$B$5&lt;=X27,1,0)</f>
        <v>0</v>
      </c>
      <c r="BP27">
        <f>IF('Rules &amp; Rate'!$B$3&lt;=Y27,1,0)</f>
        <v>1</v>
      </c>
      <c r="BQ27">
        <f>IF('Rules &amp; Rate'!$B$3&lt;=Z27,1,0)</f>
        <v>0</v>
      </c>
      <c r="BR27">
        <f>IF('Rules &amp; Rate'!$B$2&lt;=AC27,1,0)</f>
        <v>1</v>
      </c>
      <c r="BS27">
        <f>IF('Rules &amp; Rate'!$B$2&lt;=AD27,1,0)</f>
        <v>1</v>
      </c>
      <c r="BT27">
        <f>IF('Rules &amp; Rate'!$B$2&lt;=AE27,1,0)</f>
        <v>1</v>
      </c>
      <c r="BU27">
        <f>IF('Rules &amp; Rate'!$B$2&lt;=AF27,1,0)</f>
        <v>1</v>
      </c>
      <c r="BV27">
        <f>IF('Rules &amp; Rate'!$B$6&lt;=AG27,1,0)</f>
        <v>1</v>
      </c>
      <c r="BW27">
        <v>57381.52</v>
      </c>
      <c r="BX27">
        <f>SUMPRODUCT(AH27:BA27,Labour!$B$2:$U$2)</f>
        <v>340</v>
      </c>
      <c r="BY27">
        <v>197</v>
      </c>
      <c r="BZ27">
        <f t="shared" si="0"/>
        <v>537</v>
      </c>
      <c r="CA27">
        <f>SUMPRODUCT(AH27:BA27,Labour!$B$3:$U$3)</f>
        <v>352656.22</v>
      </c>
      <c r="CB27">
        <f>SUMPRODUCT(BC27:BV27,'Component $'!$B$10:$U$10)</f>
        <v>203274.64659999998</v>
      </c>
      <c r="CC27">
        <f>SUMPRODUCT(BC27:BV27,'Component $'!$B$9:$U$9)</f>
        <v>40436.796600000001</v>
      </c>
      <c r="CD27">
        <f>SUMPRODUCT(BC27:BV27,'Component $'!$B$6:$U$6)</f>
        <v>66766.850000000006</v>
      </c>
      <c r="CE27">
        <f>SUMPRODUCT(BC27:BV27,'Component $'!$B$8:$U$8)</f>
        <v>96071</v>
      </c>
      <c r="CF27">
        <f t="shared" si="1"/>
        <v>555930.86659999995</v>
      </c>
    </row>
    <row r="28" spans="1:84" x14ac:dyDescent="0.2">
      <c r="A28">
        <v>849</v>
      </c>
      <c r="B28">
        <v>1</v>
      </c>
      <c r="C28">
        <v>0</v>
      </c>
      <c r="D28">
        <v>2</v>
      </c>
      <c r="E28">
        <v>2</v>
      </c>
      <c r="F28">
        <v>0</v>
      </c>
      <c r="G28">
        <v>0.5</v>
      </c>
      <c r="H28">
        <v>0.58139534883720934</v>
      </c>
      <c r="I28">
        <v>0.29069767441860467</v>
      </c>
      <c r="J28">
        <v>3000</v>
      </c>
      <c r="K28">
        <v>1.4743920833333333</v>
      </c>
      <c r="L28">
        <v>1.1795136666666666</v>
      </c>
      <c r="M28">
        <v>0.58472666666666662</v>
      </c>
      <c r="N28">
        <v>0.58611500000000005</v>
      </c>
      <c r="O28">
        <v>0.42998666666666668</v>
      </c>
      <c r="P28">
        <v>0.58975683333333329</v>
      </c>
      <c r="Q28">
        <v>0.58975683333333329</v>
      </c>
      <c r="R28">
        <v>0.15562500000000001</v>
      </c>
      <c r="S28">
        <v>0.79022625000000002</v>
      </c>
      <c r="T28">
        <v>0.8204245</v>
      </c>
      <c r="U28">
        <v>0.90252949999999998</v>
      </c>
      <c r="V28">
        <v>6.7216666666666661E-2</v>
      </c>
      <c r="W28">
        <v>0.23485</v>
      </c>
      <c r="X28">
        <v>0.42998666666666668</v>
      </c>
      <c r="Y28">
        <v>0.57174000000000003</v>
      </c>
      <c r="Z28">
        <v>0.49307333333333331</v>
      </c>
      <c r="AA28">
        <v>0.58975683333333329</v>
      </c>
      <c r="AB28">
        <v>0.58975683333333329</v>
      </c>
      <c r="AC28">
        <v>0.488346</v>
      </c>
      <c r="AD28">
        <v>6.4964285714285711E-2</v>
      </c>
      <c r="AE28">
        <v>0.14910499999999999</v>
      </c>
      <c r="AF28">
        <v>0.24755714285714286</v>
      </c>
      <c r="AG28">
        <v>0.58975683333333329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f>IF('Rules &amp; Rate'!$B$2&lt;=K28,1,0)</f>
        <v>1</v>
      </c>
      <c r="BD28">
        <f>IF('Rules &amp; Rate'!$B$2&lt;=L28,1,0)</f>
        <v>1</v>
      </c>
      <c r="BE28">
        <f>IF('Rules &amp; Rate'!$B$2&lt;=M28,1,0)</f>
        <v>1</v>
      </c>
      <c r="BF28">
        <f>IF('Rules &amp; Rate'!$B$2&lt;=N28,1,0)</f>
        <v>1</v>
      </c>
      <c r="BG28">
        <f>IF('Rules &amp; Rate'!$B$3&lt;=O28,1,0)</f>
        <v>0</v>
      </c>
      <c r="BH28">
        <f>IF('Rules &amp; Rate'!$B$3&lt;=P28,1,0)</f>
        <v>1</v>
      </c>
      <c r="BI28">
        <f>IF('Rules &amp; Rate'!$B$2&lt;=R28,1,0)</f>
        <v>0</v>
      </c>
      <c r="BJ28">
        <f>IF('Rules &amp; Rate'!$B$2&lt;=S28,1,0)</f>
        <v>1</v>
      </c>
      <c r="BK28">
        <f>IF('Rules &amp; Rate'!$B$2&lt;=T28,1,0)</f>
        <v>1</v>
      </c>
      <c r="BL28">
        <f>IF('Rules &amp; Rate'!$B$2&lt;=U28,1,0)</f>
        <v>1</v>
      </c>
      <c r="BM28">
        <f>IF('Rules &amp; Rate'!$B$4&lt;=V28,1,0)</f>
        <v>0</v>
      </c>
      <c r="BN28">
        <f>IF('Rules &amp; Rate'!$B$4&lt;=W28,1,0)</f>
        <v>0</v>
      </c>
      <c r="BO28">
        <f>IF('Rules &amp; Rate'!$B$5&lt;=X28,1,0)</f>
        <v>0</v>
      </c>
      <c r="BP28">
        <f>IF('Rules &amp; Rate'!$B$3&lt;=Y28,1,0)</f>
        <v>1</v>
      </c>
      <c r="BQ28">
        <f>IF('Rules &amp; Rate'!$B$3&lt;=Z28,1,0)</f>
        <v>0</v>
      </c>
      <c r="BR28">
        <f>IF('Rules &amp; Rate'!$B$2&lt;=AC28,1,0)</f>
        <v>1</v>
      </c>
      <c r="BS28">
        <f>IF('Rules &amp; Rate'!$B$2&lt;=AD28,1,0)</f>
        <v>0</v>
      </c>
      <c r="BT28">
        <f>IF('Rules &amp; Rate'!$B$2&lt;=AE28,1,0)</f>
        <v>0</v>
      </c>
      <c r="BU28">
        <f>IF('Rules &amp; Rate'!$B$2&lt;=AF28,1,0)</f>
        <v>0</v>
      </c>
      <c r="BV28">
        <f>IF('Rules &amp; Rate'!$B$6&lt;=AG28,1,0)</f>
        <v>0</v>
      </c>
      <c r="BW28">
        <v>35281.410000000003</v>
      </c>
      <c r="BX28">
        <f>SUMPRODUCT(AH28:BA28,Labour!$B$2:$U$2)</f>
        <v>382</v>
      </c>
      <c r="BY28">
        <v>196</v>
      </c>
      <c r="BZ28">
        <f t="shared" si="0"/>
        <v>578</v>
      </c>
      <c r="CA28">
        <f>SUMPRODUCT(AH28:BA28,Labour!$B$3:$U$3)</f>
        <v>348210.91000000003</v>
      </c>
      <c r="CB28">
        <f>SUMPRODUCT(BC28:BV28,'Component $'!$B$10:$U$10)</f>
        <v>118585.33440000001</v>
      </c>
      <c r="CC28">
        <f>SUMPRODUCT(BC28:BV28,'Component $'!$B$9:$U$9)</f>
        <v>24878.5344</v>
      </c>
      <c r="CD28">
        <f>SUMPRODUCT(BC28:BV28,'Component $'!$B$6:$U$6)</f>
        <v>41665.800000000003</v>
      </c>
      <c r="CE28">
        <f>SUMPRODUCT(BC28:BV28,'Component $'!$B$8:$U$8)</f>
        <v>52041</v>
      </c>
      <c r="CF28">
        <f t="shared" si="1"/>
        <v>466796.24440000003</v>
      </c>
    </row>
    <row r="29" spans="1:84" x14ac:dyDescent="0.2">
      <c r="A29">
        <v>850</v>
      </c>
      <c r="B29">
        <v>1</v>
      </c>
      <c r="C29">
        <v>0</v>
      </c>
      <c r="D29">
        <v>1</v>
      </c>
      <c r="E29">
        <v>1</v>
      </c>
      <c r="F29">
        <v>0</v>
      </c>
      <c r="G29">
        <v>0.3</v>
      </c>
      <c r="H29">
        <v>0.1744186046511628</v>
      </c>
      <c r="I29">
        <v>5.232558139534884E-2</v>
      </c>
      <c r="J29">
        <v>900</v>
      </c>
      <c r="K29">
        <v>0.35949916666666665</v>
      </c>
      <c r="L29">
        <v>0.28759933333333332</v>
      </c>
      <c r="M29">
        <v>0.98156500000000002</v>
      </c>
      <c r="N29">
        <v>0.98156500000000002</v>
      </c>
      <c r="O29">
        <v>1.7785714285714287E-2</v>
      </c>
      <c r="P29">
        <v>0.58893899999999999</v>
      </c>
      <c r="Q29">
        <v>0.58893899999999999</v>
      </c>
      <c r="R29">
        <v>0.1149625</v>
      </c>
      <c r="S29">
        <v>0.72479249999999995</v>
      </c>
      <c r="T29">
        <v>7.1399999999999996E-3</v>
      </c>
      <c r="U29">
        <v>7.1399999999999996E-3</v>
      </c>
      <c r="V29">
        <v>0</v>
      </c>
      <c r="W29">
        <v>0.66574333333333335</v>
      </c>
      <c r="X29">
        <v>0.54950380952380951</v>
      </c>
      <c r="Y29">
        <v>0.66574333333333335</v>
      </c>
      <c r="Z29">
        <v>0.66574333333333335</v>
      </c>
      <c r="AA29">
        <v>0.58893899999999999</v>
      </c>
      <c r="AB29">
        <v>0.58893899999999999</v>
      </c>
      <c r="AC29">
        <v>0.30371399999999998</v>
      </c>
      <c r="AD29">
        <v>8.201428571428572E-2</v>
      </c>
      <c r="AE29">
        <v>0.38139400000000001</v>
      </c>
      <c r="AF29">
        <v>0.44153428571428571</v>
      </c>
      <c r="AG29">
        <v>0.58893899999999999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2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f>IF('Rules &amp; Rate'!$B$2&lt;=K29,1,0)</f>
        <v>1</v>
      </c>
      <c r="BD29">
        <f>IF('Rules &amp; Rate'!$B$2&lt;=L29,1,0)</f>
        <v>0</v>
      </c>
      <c r="BE29">
        <f>IF('Rules &amp; Rate'!$B$2&lt;=M29,1,0)</f>
        <v>1</v>
      </c>
      <c r="BF29">
        <f>IF('Rules &amp; Rate'!$B$2&lt;=N29,1,0)</f>
        <v>1</v>
      </c>
      <c r="BG29">
        <f>IF('Rules &amp; Rate'!$B$3&lt;=O29,1,0)</f>
        <v>0</v>
      </c>
      <c r="BH29">
        <f>IF('Rules &amp; Rate'!$B$3&lt;=P29,1,0)</f>
        <v>1</v>
      </c>
      <c r="BI29">
        <f>IF('Rules &amp; Rate'!$B$2&lt;=R29,1,0)</f>
        <v>0</v>
      </c>
      <c r="BJ29">
        <f>IF('Rules &amp; Rate'!$B$2&lt;=S29,1,0)</f>
        <v>1</v>
      </c>
      <c r="BK29">
        <f>IF('Rules &amp; Rate'!$B$2&lt;=T29,1,0)</f>
        <v>0</v>
      </c>
      <c r="BL29">
        <f>IF('Rules &amp; Rate'!$B$2&lt;=U29,1,0)</f>
        <v>0</v>
      </c>
      <c r="BM29">
        <f>IF('Rules &amp; Rate'!$B$4&lt;=V29,1,0)</f>
        <v>0</v>
      </c>
      <c r="BN29">
        <f>IF('Rules &amp; Rate'!$B$4&lt;=W29,1,0)</f>
        <v>0</v>
      </c>
      <c r="BO29">
        <f>IF('Rules &amp; Rate'!$B$5&lt;=X29,1,0)</f>
        <v>0</v>
      </c>
      <c r="BP29">
        <f>IF('Rules &amp; Rate'!$B$3&lt;=Y29,1,0)</f>
        <v>1</v>
      </c>
      <c r="BQ29">
        <f>IF('Rules &amp; Rate'!$B$3&lt;=Z29,1,0)</f>
        <v>1</v>
      </c>
      <c r="BR29">
        <f>IF('Rules &amp; Rate'!$B$2&lt;=AC29,1,0)</f>
        <v>1</v>
      </c>
      <c r="BS29">
        <f>IF('Rules &amp; Rate'!$B$2&lt;=AD29,1,0)</f>
        <v>0</v>
      </c>
      <c r="BT29">
        <f>IF('Rules &amp; Rate'!$B$2&lt;=AE29,1,0)</f>
        <v>1</v>
      </c>
      <c r="BU29">
        <f>IF('Rules &amp; Rate'!$B$2&lt;=AF29,1,0)</f>
        <v>1</v>
      </c>
      <c r="BV29">
        <f>IF('Rules &amp; Rate'!$B$6&lt;=AG29,1,0)</f>
        <v>0</v>
      </c>
      <c r="BW29">
        <v>35336.339999999997</v>
      </c>
      <c r="BX29">
        <f>SUMPRODUCT(AH29:BA29,Labour!$B$2:$U$2)</f>
        <v>274</v>
      </c>
      <c r="BY29">
        <v>208</v>
      </c>
      <c r="BZ29">
        <f t="shared" si="0"/>
        <v>482</v>
      </c>
      <c r="CA29">
        <f>SUMPRODUCT(AH29:BA29,Labour!$B$3:$U$3)</f>
        <v>293209.91000000003</v>
      </c>
      <c r="CB29">
        <f>SUMPRODUCT(BC29:BV29,'Component $'!$B$10:$U$10)</f>
        <v>159259.46219999998</v>
      </c>
      <c r="CC29">
        <f>SUMPRODUCT(BC29:BV29,'Component $'!$B$9:$U$9)</f>
        <v>37731.562199999993</v>
      </c>
      <c r="CD29">
        <f>SUMPRODUCT(BC29:BV29,'Component $'!$B$6:$U$6)</f>
        <v>68166.899999999994</v>
      </c>
      <c r="CE29">
        <f>SUMPRODUCT(BC29:BV29,'Component $'!$B$8:$U$8)</f>
        <v>53361</v>
      </c>
      <c r="CF29">
        <f t="shared" si="1"/>
        <v>452469.37219999998</v>
      </c>
    </row>
    <row r="30" spans="1:84" x14ac:dyDescent="0.2">
      <c r="A30">
        <v>851</v>
      </c>
      <c r="B30">
        <v>0</v>
      </c>
      <c r="C30">
        <v>0</v>
      </c>
      <c r="D30">
        <v>1</v>
      </c>
      <c r="E30">
        <v>1</v>
      </c>
      <c r="F30">
        <v>0</v>
      </c>
      <c r="G30">
        <v>0.2</v>
      </c>
      <c r="H30">
        <v>9.1085271317829453E-2</v>
      </c>
      <c r="I30">
        <v>1.8217054263565891E-2</v>
      </c>
      <c r="J30">
        <v>470</v>
      </c>
      <c r="K30">
        <v>1.4557724999999999</v>
      </c>
      <c r="L30">
        <v>1.1646179999999999</v>
      </c>
      <c r="M30">
        <v>0.97051500000000002</v>
      </c>
      <c r="N30">
        <v>0.97051500000000002</v>
      </c>
      <c r="O30">
        <v>0.35298714285714283</v>
      </c>
      <c r="P30">
        <v>0.58230899999999997</v>
      </c>
      <c r="Q30">
        <v>0.58230899999999997</v>
      </c>
      <c r="R30">
        <v>0.12668750000000001</v>
      </c>
      <c r="S30">
        <v>0.47138312500000001</v>
      </c>
      <c r="T30">
        <v>1.2277149999999999</v>
      </c>
      <c r="U30">
        <v>0.46387149999999999</v>
      </c>
      <c r="V30">
        <v>0.22395555555555555</v>
      </c>
      <c r="W30">
        <v>0.66874055555555556</v>
      </c>
      <c r="X30">
        <v>0.35298714285714283</v>
      </c>
      <c r="Y30">
        <v>0.326735</v>
      </c>
      <c r="Z30">
        <v>0.326735</v>
      </c>
      <c r="AA30">
        <v>0.58230899999999997</v>
      </c>
      <c r="AB30">
        <v>0.58230899999999997</v>
      </c>
      <c r="AC30">
        <v>0.10135</v>
      </c>
      <c r="AD30">
        <v>0.60568071428571424</v>
      </c>
      <c r="AE30">
        <v>7.7499999999999999E-2</v>
      </c>
      <c r="AF30">
        <v>0.1447857142857143</v>
      </c>
      <c r="AG30">
        <v>0.58230899999999997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3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f>IF('Rules &amp; Rate'!$B$2&lt;=K30,1,0)</f>
        <v>1</v>
      </c>
      <c r="BD30">
        <f>IF('Rules &amp; Rate'!$B$2&lt;=L30,1,0)</f>
        <v>1</v>
      </c>
      <c r="BE30">
        <f>IF('Rules &amp; Rate'!$B$2&lt;=M30,1,0)</f>
        <v>1</v>
      </c>
      <c r="BF30">
        <f>IF('Rules &amp; Rate'!$B$2&lt;=N30,1,0)</f>
        <v>1</v>
      </c>
      <c r="BG30">
        <f>IF('Rules &amp; Rate'!$B$3&lt;=O30,1,0)</f>
        <v>0</v>
      </c>
      <c r="BH30">
        <f>IF('Rules &amp; Rate'!$B$3&lt;=P30,1,0)</f>
        <v>1</v>
      </c>
      <c r="BI30">
        <f>IF('Rules &amp; Rate'!$B$2&lt;=R30,1,0)</f>
        <v>0</v>
      </c>
      <c r="BJ30">
        <f>IF('Rules &amp; Rate'!$B$2&lt;=S30,1,0)</f>
        <v>1</v>
      </c>
      <c r="BK30">
        <f>IF('Rules &amp; Rate'!$B$2&lt;=T30,1,0)</f>
        <v>1</v>
      </c>
      <c r="BL30">
        <f>IF('Rules &amp; Rate'!$B$2&lt;=U30,1,0)</f>
        <v>1</v>
      </c>
      <c r="BM30">
        <f>IF('Rules &amp; Rate'!$B$4&lt;=V30,1,0)</f>
        <v>0</v>
      </c>
      <c r="BN30">
        <f>IF('Rules &amp; Rate'!$B$4&lt;=W30,1,0)</f>
        <v>0</v>
      </c>
      <c r="BO30">
        <f>IF('Rules &amp; Rate'!$B$5&lt;=X30,1,0)</f>
        <v>0</v>
      </c>
      <c r="BP30">
        <f>IF('Rules &amp; Rate'!$B$3&lt;=Y30,1,0)</f>
        <v>0</v>
      </c>
      <c r="BQ30">
        <f>IF('Rules &amp; Rate'!$B$3&lt;=Z30,1,0)</f>
        <v>0</v>
      </c>
      <c r="BR30">
        <f>IF('Rules &amp; Rate'!$B$2&lt;=AC30,1,0)</f>
        <v>0</v>
      </c>
      <c r="BS30">
        <f>IF('Rules &amp; Rate'!$B$2&lt;=AD30,1,0)</f>
        <v>1</v>
      </c>
      <c r="BT30">
        <f>IF('Rules &amp; Rate'!$B$2&lt;=AE30,1,0)</f>
        <v>0</v>
      </c>
      <c r="BU30">
        <f>IF('Rules &amp; Rate'!$B$2&lt;=AF30,1,0)</f>
        <v>0</v>
      </c>
      <c r="BV30">
        <f>IF('Rules &amp; Rate'!$B$6&lt;=AG30,1,0)</f>
        <v>0</v>
      </c>
      <c r="BW30">
        <v>34938.54</v>
      </c>
      <c r="BX30">
        <f>SUMPRODUCT(AH30:BA30,Labour!$B$2:$U$2)</f>
        <v>292</v>
      </c>
      <c r="BY30">
        <v>182</v>
      </c>
      <c r="BZ30">
        <f t="shared" si="0"/>
        <v>474</v>
      </c>
      <c r="CA30">
        <f>SUMPRODUCT(AH30:BA30,Labour!$B$3:$U$3)</f>
        <v>334110.21999999997</v>
      </c>
      <c r="CB30">
        <f>SUMPRODUCT(BC30:BV30,'Component $'!$B$10:$U$10)</f>
        <v>91102.434400000013</v>
      </c>
      <c r="CC30">
        <f>SUMPRODUCT(BC30:BV30,'Component $'!$B$9:$U$9)</f>
        <v>14302.634399999999</v>
      </c>
      <c r="CD30">
        <f>SUMPRODUCT(BC30:BV30,'Component $'!$B$6:$U$6)</f>
        <v>23498.800000000003</v>
      </c>
      <c r="CE30">
        <f>SUMPRODUCT(BC30:BV30,'Component $'!$B$8:$U$8)</f>
        <v>53301</v>
      </c>
      <c r="CF30">
        <f t="shared" si="1"/>
        <v>425212.6544</v>
      </c>
    </row>
    <row r="31" spans="1:84" x14ac:dyDescent="0.2">
      <c r="A31">
        <v>852</v>
      </c>
      <c r="B31">
        <v>1</v>
      </c>
      <c r="C31">
        <v>0</v>
      </c>
      <c r="D31">
        <v>0</v>
      </c>
      <c r="E31">
        <v>2</v>
      </c>
      <c r="F31">
        <v>1</v>
      </c>
      <c r="G31">
        <v>0.4</v>
      </c>
      <c r="H31">
        <v>0.80426356589147285</v>
      </c>
      <c r="I31">
        <v>0.32170542635658916</v>
      </c>
      <c r="J31">
        <v>4150</v>
      </c>
      <c r="K31">
        <v>1.4061870833333334</v>
      </c>
      <c r="L31">
        <v>1.1249496666666667</v>
      </c>
      <c r="M31">
        <v>0.9374580555555555</v>
      </c>
      <c r="N31">
        <v>0.9374580555555555</v>
      </c>
      <c r="O31">
        <v>0.40643380952380953</v>
      </c>
      <c r="P31">
        <v>0.56247483333333337</v>
      </c>
      <c r="Q31">
        <v>0.56247483333333337</v>
      </c>
      <c r="R31">
        <v>0.357531875</v>
      </c>
      <c r="S31">
        <v>0.357531875</v>
      </c>
      <c r="T31">
        <v>0.94135400000000002</v>
      </c>
      <c r="U31">
        <v>1.1975E-2</v>
      </c>
      <c r="V31">
        <v>0.10303888888888889</v>
      </c>
      <c r="W31">
        <v>0.90208555555555558</v>
      </c>
      <c r="X31">
        <v>0.4683195238095238</v>
      </c>
      <c r="Y31">
        <v>0.21588888888888888</v>
      </c>
      <c r="Z31">
        <v>0.58836166666666667</v>
      </c>
      <c r="AA31">
        <v>0.56247483333333337</v>
      </c>
      <c r="AB31">
        <v>0.56247483333333337</v>
      </c>
      <c r="AC31">
        <v>0.13558999999999999</v>
      </c>
      <c r="AD31">
        <v>0.38911499999999999</v>
      </c>
      <c r="AE31">
        <v>0.28602549999999999</v>
      </c>
      <c r="AF31">
        <v>0.38940785714285714</v>
      </c>
      <c r="AG31">
        <v>0.56247483333333337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f>IF('Rules &amp; Rate'!$B$2&lt;=K31,1,0)</f>
        <v>1</v>
      </c>
      <c r="BD31">
        <f>IF('Rules &amp; Rate'!$B$2&lt;=L31,1,0)</f>
        <v>1</v>
      </c>
      <c r="BE31">
        <f>IF('Rules &amp; Rate'!$B$2&lt;=M31,1,0)</f>
        <v>1</v>
      </c>
      <c r="BF31">
        <f>IF('Rules &amp; Rate'!$B$2&lt;=N31,1,0)</f>
        <v>1</v>
      </c>
      <c r="BG31">
        <f>IF('Rules &amp; Rate'!$B$3&lt;=O31,1,0)</f>
        <v>0</v>
      </c>
      <c r="BH31">
        <f>IF('Rules &amp; Rate'!$B$3&lt;=P31,1,0)</f>
        <v>1</v>
      </c>
      <c r="BI31">
        <f>IF('Rules &amp; Rate'!$B$2&lt;=R31,1,0)</f>
        <v>1</v>
      </c>
      <c r="BJ31">
        <f>IF('Rules &amp; Rate'!$B$2&lt;=S31,1,0)</f>
        <v>1</v>
      </c>
      <c r="BK31">
        <f>IF('Rules &amp; Rate'!$B$2&lt;=T31,1,0)</f>
        <v>1</v>
      </c>
      <c r="BL31">
        <f>IF('Rules &amp; Rate'!$B$2&lt;=U31,1,0)</f>
        <v>0</v>
      </c>
      <c r="BM31">
        <f>IF('Rules &amp; Rate'!$B$4&lt;=V31,1,0)</f>
        <v>0</v>
      </c>
      <c r="BN31">
        <f>IF('Rules &amp; Rate'!$B$4&lt;=W31,1,0)</f>
        <v>1</v>
      </c>
      <c r="BO31">
        <f>IF('Rules &amp; Rate'!$B$5&lt;=X31,1,0)</f>
        <v>0</v>
      </c>
      <c r="BP31">
        <f>IF('Rules &amp; Rate'!$B$3&lt;=Y31,1,0)</f>
        <v>0</v>
      </c>
      <c r="BQ31">
        <f>IF('Rules &amp; Rate'!$B$3&lt;=Z31,1,0)</f>
        <v>1</v>
      </c>
      <c r="BR31">
        <f>IF('Rules &amp; Rate'!$B$2&lt;=AC31,1,0)</f>
        <v>0</v>
      </c>
      <c r="BS31">
        <f>IF('Rules &amp; Rate'!$B$2&lt;=AD31,1,0)</f>
        <v>1</v>
      </c>
      <c r="BT31">
        <f>IF('Rules &amp; Rate'!$B$2&lt;=AE31,1,0)</f>
        <v>0</v>
      </c>
      <c r="BU31">
        <f>IF('Rules &amp; Rate'!$B$2&lt;=AF31,1,0)</f>
        <v>1</v>
      </c>
      <c r="BV31">
        <f>IF('Rules &amp; Rate'!$B$6&lt;=AG31,1,0)</f>
        <v>0</v>
      </c>
      <c r="BW31">
        <v>33653.79</v>
      </c>
      <c r="BX31">
        <f>SUMPRODUCT(AH31:BA31,Labour!$B$2:$U$2)</f>
        <v>382</v>
      </c>
      <c r="BY31">
        <v>207</v>
      </c>
      <c r="BZ31">
        <f t="shared" si="0"/>
        <v>589</v>
      </c>
      <c r="CA31">
        <f>SUMPRODUCT(AH31:BA31,Labour!$B$3:$U$3)</f>
        <v>348210.91000000003</v>
      </c>
      <c r="CB31">
        <f>SUMPRODUCT(BC31:BV31,'Component $'!$B$10:$U$10)</f>
        <v>311938.23379999999</v>
      </c>
      <c r="CC31">
        <f>SUMPRODUCT(BC31:BV31,'Component $'!$B$9:$U$9)</f>
        <v>35105.383799999989</v>
      </c>
      <c r="CD31">
        <f>SUMPRODUCT(BC31:BV31,'Component $'!$B$6:$U$6)</f>
        <v>167065.85</v>
      </c>
      <c r="CE31">
        <f>SUMPRODUCT(BC31:BV31,'Component $'!$B$8:$U$8)</f>
        <v>109767</v>
      </c>
      <c r="CF31">
        <f t="shared" si="1"/>
        <v>660149.14379999996</v>
      </c>
    </row>
  </sheetData>
  <autoFilter ref="A1:CA31" xr:uid="{C445C176-4667-4A3F-8E10-E81FC21F1C01}">
    <sortState xmlns:xlrd2="http://schemas.microsoft.com/office/spreadsheetml/2017/richdata2" ref="A2:CA31">
      <sortCondition ref="A1:A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F2B-0522-420C-91F5-66594F775C0A}">
  <dimension ref="A1:D6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4" x14ac:dyDescent="0.2">
      <c r="A1" t="s">
        <v>365</v>
      </c>
      <c r="B1" t="s">
        <v>373</v>
      </c>
      <c r="C1" t="s">
        <v>369</v>
      </c>
      <c r="D1" t="s">
        <v>361</v>
      </c>
    </row>
    <row r="2" spans="1:4" x14ac:dyDescent="0.2">
      <c r="A2" t="s">
        <v>366</v>
      </c>
      <c r="B2">
        <v>0.3</v>
      </c>
      <c r="C2" t="s">
        <v>370</v>
      </c>
      <c r="D2">
        <v>40.86</v>
      </c>
    </row>
    <row r="3" spans="1:4" x14ac:dyDescent="0.2">
      <c r="A3" t="s">
        <v>367</v>
      </c>
      <c r="B3">
        <v>0.5</v>
      </c>
      <c r="C3" t="s">
        <v>371</v>
      </c>
      <c r="D3">
        <v>40.86</v>
      </c>
    </row>
    <row r="4" spans="1:4" x14ac:dyDescent="0.2">
      <c r="A4" t="s">
        <v>368</v>
      </c>
      <c r="B4">
        <v>0.7</v>
      </c>
      <c r="C4" t="s">
        <v>372</v>
      </c>
      <c r="D4">
        <v>40.86</v>
      </c>
    </row>
    <row r="5" spans="1:4" x14ac:dyDescent="0.2">
      <c r="A5" t="s">
        <v>23</v>
      </c>
      <c r="B5">
        <v>0.7</v>
      </c>
    </row>
    <row r="6" spans="1:4" x14ac:dyDescent="0.2">
      <c r="A6" t="s">
        <v>32</v>
      </c>
      <c r="B6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FA9A-AE1A-4301-9CC2-E88FCF693C83}">
  <dimension ref="A1:V3"/>
  <sheetViews>
    <sheetView workbookViewId="0">
      <selection activeCell="V1" sqref="V1"/>
    </sheetView>
  </sheetViews>
  <sheetFormatPr baseColWidth="10" defaultColWidth="8.83203125" defaultRowHeight="15" x14ac:dyDescent="0.2"/>
  <cols>
    <col min="1" max="1" width="35.6640625" bestFit="1" customWidth="1"/>
  </cols>
  <sheetData>
    <row r="1" spans="1:22" ht="96" x14ac:dyDescent="0.2">
      <c r="A1" t="s">
        <v>362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391</v>
      </c>
    </row>
    <row r="2" spans="1:22" x14ac:dyDescent="0.2">
      <c r="A2" t="s">
        <v>348</v>
      </c>
      <c r="B2">
        <v>14</v>
      </c>
      <c r="C2">
        <v>4</v>
      </c>
      <c r="D2">
        <v>14</v>
      </c>
      <c r="E2">
        <v>8</v>
      </c>
      <c r="F2">
        <v>16</v>
      </c>
      <c r="G2">
        <v>16</v>
      </c>
      <c r="H2">
        <v>6</v>
      </c>
      <c r="I2">
        <v>12</v>
      </c>
      <c r="J2">
        <v>12</v>
      </c>
      <c r="K2">
        <v>8</v>
      </c>
      <c r="L2">
        <v>36</v>
      </c>
      <c r="M2">
        <v>48</v>
      </c>
      <c r="N2">
        <v>48</v>
      </c>
      <c r="O2">
        <v>36</v>
      </c>
      <c r="P2">
        <v>36</v>
      </c>
      <c r="Q2">
        <v>24</v>
      </c>
      <c r="R2">
        <v>8</v>
      </c>
      <c r="S2">
        <v>16</v>
      </c>
      <c r="T2">
        <v>8</v>
      </c>
      <c r="U2">
        <v>6</v>
      </c>
      <c r="V2">
        <v>6</v>
      </c>
    </row>
    <row r="3" spans="1:22" x14ac:dyDescent="0.2">
      <c r="A3" t="s">
        <v>361</v>
      </c>
      <c r="B3">
        <v>1190.82</v>
      </c>
      <c r="C3">
        <v>6435.69</v>
      </c>
      <c r="D3">
        <v>2028.34</v>
      </c>
      <c r="E3">
        <v>11516.37</v>
      </c>
      <c r="F3">
        <v>4756.95</v>
      </c>
      <c r="G3">
        <v>50976</v>
      </c>
      <c r="H3">
        <v>25488.31</v>
      </c>
      <c r="I3">
        <v>15412</v>
      </c>
      <c r="J3">
        <v>1062</v>
      </c>
      <c r="K3">
        <v>801</v>
      </c>
      <c r="L3">
        <v>36525</v>
      </c>
      <c r="M3">
        <v>21043</v>
      </c>
      <c r="N3">
        <v>18546</v>
      </c>
      <c r="O3">
        <v>3325</v>
      </c>
      <c r="P3">
        <v>3325</v>
      </c>
      <c r="Q3">
        <v>9582</v>
      </c>
      <c r="R3">
        <v>84863</v>
      </c>
      <c r="S3">
        <v>18717</v>
      </c>
      <c r="T3">
        <v>692.12</v>
      </c>
      <c r="U3">
        <v>6437</v>
      </c>
      <c r="V3">
        <v>4906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F33C-C8F7-4D7B-A5F4-35643ABC21CF}">
  <dimension ref="A1:U10"/>
  <sheetViews>
    <sheetView topLeftCell="E1" zoomScale="110" zoomScaleNormal="110" workbookViewId="0">
      <selection activeCell="M12" sqref="M12"/>
    </sheetView>
  </sheetViews>
  <sheetFormatPr baseColWidth="10" defaultColWidth="8.83203125" defaultRowHeight="15" x14ac:dyDescent="0.2"/>
  <cols>
    <col min="1" max="1" width="22.83203125" bestFit="1" customWidth="1"/>
    <col min="2" max="2" width="13.33203125" bestFit="1" customWidth="1"/>
    <col min="4" max="4" width="11.1640625" bestFit="1" customWidth="1"/>
  </cols>
  <sheetData>
    <row r="1" spans="1:21" x14ac:dyDescent="0.2">
      <c r="A1" t="s">
        <v>346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28</v>
      </c>
      <c r="R1" t="s">
        <v>29</v>
      </c>
      <c r="S1" t="s">
        <v>30</v>
      </c>
      <c r="T1" t="s">
        <v>376</v>
      </c>
      <c r="U1" t="s">
        <v>377</v>
      </c>
    </row>
    <row r="2" spans="1:21" x14ac:dyDescent="0.2">
      <c r="A2" t="s">
        <v>347</v>
      </c>
      <c r="H2" t="s">
        <v>356</v>
      </c>
      <c r="I2" t="s">
        <v>356</v>
      </c>
      <c r="L2" t="s">
        <v>357</v>
      </c>
      <c r="M2" t="s">
        <v>357</v>
      </c>
      <c r="Q2" t="s">
        <v>355</v>
      </c>
      <c r="R2" s="1" t="s">
        <v>345</v>
      </c>
      <c r="S2" t="s">
        <v>355</v>
      </c>
      <c r="T2" s="1" t="s">
        <v>345</v>
      </c>
    </row>
    <row r="3" spans="1:21" x14ac:dyDescent="0.2">
      <c r="A3" t="s">
        <v>350</v>
      </c>
      <c r="B3">
        <v>18.25</v>
      </c>
      <c r="C3">
        <v>18.25</v>
      </c>
      <c r="D3">
        <v>18.25</v>
      </c>
      <c r="E3">
        <v>18.25</v>
      </c>
      <c r="F3">
        <v>135</v>
      </c>
      <c r="G3">
        <v>102</v>
      </c>
      <c r="H3">
        <v>83.3</v>
      </c>
      <c r="I3">
        <v>83.3</v>
      </c>
      <c r="J3">
        <v>18.25</v>
      </c>
      <c r="K3">
        <v>18.25</v>
      </c>
      <c r="L3">
        <v>130</v>
      </c>
      <c r="M3">
        <v>130</v>
      </c>
      <c r="N3">
        <v>20</v>
      </c>
      <c r="O3">
        <v>135</v>
      </c>
      <c r="P3">
        <v>135</v>
      </c>
      <c r="Q3">
        <v>55.24</v>
      </c>
      <c r="R3">
        <v>55.24</v>
      </c>
      <c r="S3">
        <v>55.24</v>
      </c>
      <c r="T3">
        <v>55.24</v>
      </c>
      <c r="U3">
        <v>150</v>
      </c>
    </row>
    <row r="4" spans="1:21" x14ac:dyDescent="0.2">
      <c r="A4" t="s">
        <v>349</v>
      </c>
      <c r="B4">
        <v>40.86</v>
      </c>
      <c r="C4">
        <v>40.86</v>
      </c>
      <c r="D4">
        <v>40.86</v>
      </c>
      <c r="E4">
        <v>40.86</v>
      </c>
      <c r="F4">
        <v>78.34</v>
      </c>
      <c r="G4">
        <v>40.86</v>
      </c>
      <c r="H4">
        <v>40.86</v>
      </c>
      <c r="I4">
        <v>40.86</v>
      </c>
      <c r="J4">
        <v>40.86</v>
      </c>
      <c r="K4">
        <v>40.86</v>
      </c>
      <c r="L4">
        <v>40.86</v>
      </c>
      <c r="M4">
        <v>40.86</v>
      </c>
      <c r="N4">
        <v>40.86</v>
      </c>
      <c r="O4">
        <v>78.34</v>
      </c>
      <c r="P4">
        <v>78.34</v>
      </c>
      <c r="Q4">
        <v>40.86</v>
      </c>
      <c r="R4">
        <v>40.86</v>
      </c>
      <c r="S4">
        <v>40.86</v>
      </c>
      <c r="T4">
        <v>40.86</v>
      </c>
      <c r="U4">
        <v>40.86</v>
      </c>
    </row>
    <row r="5" spans="1:21" x14ac:dyDescent="0.2">
      <c r="A5" t="s">
        <v>351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2081</v>
      </c>
      <c r="I5">
        <v>2081</v>
      </c>
      <c r="J5">
        <v>0</v>
      </c>
      <c r="K5">
        <v>0</v>
      </c>
      <c r="L5">
        <v>33400</v>
      </c>
      <c r="M5">
        <v>33400</v>
      </c>
      <c r="N5">
        <v>0</v>
      </c>
      <c r="O5">
        <v>0</v>
      </c>
      <c r="P5">
        <v>0</v>
      </c>
      <c r="Q5">
        <v>2991</v>
      </c>
      <c r="R5">
        <v>3561</v>
      </c>
      <c r="S5">
        <v>2991</v>
      </c>
      <c r="T5">
        <v>3561</v>
      </c>
      <c r="U5">
        <v>6800</v>
      </c>
    </row>
    <row r="6" spans="1:21" x14ac:dyDescent="0.2">
      <c r="A6" t="s">
        <v>352</v>
      </c>
      <c r="B6">
        <v>362</v>
      </c>
      <c r="C6">
        <v>362</v>
      </c>
      <c r="D6">
        <v>334.95</v>
      </c>
      <c r="E6">
        <v>334.95</v>
      </c>
      <c r="F6">
        <v>20225</v>
      </c>
      <c r="G6">
        <v>12535</v>
      </c>
      <c r="H6">
        <v>4217</v>
      </c>
      <c r="I6">
        <v>4217</v>
      </c>
      <c r="J6">
        <v>334.95</v>
      </c>
      <c r="K6">
        <v>334.95</v>
      </c>
      <c r="L6">
        <v>115355</v>
      </c>
      <c r="M6">
        <v>115355</v>
      </c>
      <c r="N6">
        <v>37721</v>
      </c>
      <c r="O6">
        <v>19647</v>
      </c>
      <c r="P6">
        <v>19647</v>
      </c>
      <c r="Q6">
        <v>3203</v>
      </c>
      <c r="R6">
        <v>4683</v>
      </c>
      <c r="S6">
        <v>3203</v>
      </c>
      <c r="T6">
        <v>4683</v>
      </c>
      <c r="U6">
        <v>8650</v>
      </c>
    </row>
    <row r="7" spans="1:21" x14ac:dyDescent="0.2">
      <c r="A7" t="s">
        <v>353</v>
      </c>
      <c r="B7">
        <v>3750</v>
      </c>
      <c r="C7">
        <v>3750</v>
      </c>
      <c r="D7">
        <v>4547</v>
      </c>
      <c r="E7">
        <v>4547</v>
      </c>
      <c r="F7">
        <v>0</v>
      </c>
      <c r="G7">
        <v>0</v>
      </c>
      <c r="H7">
        <v>17820</v>
      </c>
      <c r="I7">
        <v>17820</v>
      </c>
      <c r="J7">
        <v>4547</v>
      </c>
      <c r="K7">
        <v>4547</v>
      </c>
      <c r="L7">
        <v>0</v>
      </c>
      <c r="M7">
        <v>0</v>
      </c>
      <c r="N7">
        <v>0</v>
      </c>
      <c r="O7">
        <v>0</v>
      </c>
      <c r="P7">
        <v>0</v>
      </c>
      <c r="Q7">
        <v>3461</v>
      </c>
      <c r="R7">
        <v>4151</v>
      </c>
      <c r="S7">
        <v>3461</v>
      </c>
      <c r="T7">
        <v>4151</v>
      </c>
      <c r="U7">
        <v>0</v>
      </c>
    </row>
    <row r="8" spans="1:21" x14ac:dyDescent="0.2">
      <c r="A8" t="s">
        <v>384</v>
      </c>
      <c r="B8">
        <f>+B5+B7</f>
        <v>3750</v>
      </c>
      <c r="C8">
        <f t="shared" ref="C8:U8" si="0">+C5+C7</f>
        <v>3750</v>
      </c>
      <c r="D8">
        <f t="shared" si="0"/>
        <v>4547</v>
      </c>
      <c r="E8">
        <f t="shared" si="0"/>
        <v>4547</v>
      </c>
      <c r="F8">
        <f t="shared" si="0"/>
        <v>0</v>
      </c>
      <c r="G8">
        <f t="shared" si="0"/>
        <v>0</v>
      </c>
      <c r="H8">
        <f t="shared" si="0"/>
        <v>19901</v>
      </c>
      <c r="I8">
        <f t="shared" si="0"/>
        <v>19901</v>
      </c>
      <c r="J8">
        <f t="shared" si="0"/>
        <v>4547</v>
      </c>
      <c r="K8">
        <f t="shared" si="0"/>
        <v>4547</v>
      </c>
      <c r="L8">
        <f t="shared" si="0"/>
        <v>33400</v>
      </c>
      <c r="M8">
        <f t="shared" si="0"/>
        <v>33400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6452</v>
      </c>
      <c r="R8">
        <f t="shared" si="0"/>
        <v>7712</v>
      </c>
      <c r="S8">
        <f t="shared" si="0"/>
        <v>6452</v>
      </c>
      <c r="T8">
        <f t="shared" si="0"/>
        <v>7712</v>
      </c>
      <c r="U8">
        <f t="shared" si="0"/>
        <v>6800</v>
      </c>
    </row>
    <row r="9" spans="1:21" x14ac:dyDescent="0.2">
      <c r="A9" t="s">
        <v>381</v>
      </c>
      <c r="B9">
        <f>+B3*B4</f>
        <v>745.69499999999994</v>
      </c>
      <c r="C9">
        <f t="shared" ref="C9:U9" si="1">+C3*C4</f>
        <v>745.69499999999994</v>
      </c>
      <c r="D9">
        <f t="shared" si="1"/>
        <v>745.69499999999994</v>
      </c>
      <c r="E9">
        <f t="shared" si="1"/>
        <v>745.69499999999994</v>
      </c>
      <c r="F9">
        <f t="shared" si="1"/>
        <v>10575.9</v>
      </c>
      <c r="G9">
        <f t="shared" si="1"/>
        <v>4167.72</v>
      </c>
      <c r="H9">
        <f t="shared" si="1"/>
        <v>3403.6379999999999</v>
      </c>
      <c r="I9">
        <f t="shared" si="1"/>
        <v>3403.6379999999999</v>
      </c>
      <c r="J9">
        <f t="shared" si="1"/>
        <v>745.69499999999994</v>
      </c>
      <c r="K9">
        <f t="shared" si="1"/>
        <v>745.69499999999994</v>
      </c>
      <c r="L9">
        <f t="shared" si="1"/>
        <v>5311.8</v>
      </c>
      <c r="M9">
        <f t="shared" si="1"/>
        <v>5311.8</v>
      </c>
      <c r="N9">
        <f t="shared" si="1"/>
        <v>817.2</v>
      </c>
      <c r="O9">
        <f t="shared" si="1"/>
        <v>10575.9</v>
      </c>
      <c r="P9">
        <f t="shared" si="1"/>
        <v>10575.9</v>
      </c>
      <c r="Q9">
        <f t="shared" si="1"/>
        <v>2257.1064000000001</v>
      </c>
      <c r="R9">
        <f t="shared" si="1"/>
        <v>2257.1064000000001</v>
      </c>
      <c r="S9">
        <f t="shared" si="1"/>
        <v>2257.1064000000001</v>
      </c>
      <c r="T9">
        <f t="shared" si="1"/>
        <v>2257.1064000000001</v>
      </c>
      <c r="U9">
        <f t="shared" si="1"/>
        <v>6129</v>
      </c>
    </row>
    <row r="10" spans="1:21" x14ac:dyDescent="0.2">
      <c r="A10" t="s">
        <v>354</v>
      </c>
      <c r="B10">
        <f t="shared" ref="B10:U10" si="2">(+B3*B4)+B5+B6+B7</f>
        <v>4857.6949999999997</v>
      </c>
      <c r="C10">
        <f t="shared" si="2"/>
        <v>4857.6949999999997</v>
      </c>
      <c r="D10">
        <f t="shared" si="2"/>
        <v>5627.6450000000004</v>
      </c>
      <c r="E10">
        <f t="shared" si="2"/>
        <v>5627.6450000000004</v>
      </c>
      <c r="F10">
        <f t="shared" si="2"/>
        <v>30800.9</v>
      </c>
      <c r="G10">
        <f t="shared" si="2"/>
        <v>16702.72</v>
      </c>
      <c r="H10">
        <f t="shared" si="2"/>
        <v>27521.637999999999</v>
      </c>
      <c r="I10">
        <f t="shared" si="2"/>
        <v>27521.637999999999</v>
      </c>
      <c r="J10">
        <f t="shared" si="2"/>
        <v>5627.6450000000004</v>
      </c>
      <c r="K10">
        <f t="shared" si="2"/>
        <v>5627.6450000000004</v>
      </c>
      <c r="L10">
        <f t="shared" si="2"/>
        <v>154066.79999999999</v>
      </c>
      <c r="M10">
        <f t="shared" si="2"/>
        <v>154066.79999999999</v>
      </c>
      <c r="N10">
        <f t="shared" si="2"/>
        <v>38538.199999999997</v>
      </c>
      <c r="O10">
        <f t="shared" si="2"/>
        <v>30222.9</v>
      </c>
      <c r="P10">
        <f t="shared" si="2"/>
        <v>30222.9</v>
      </c>
      <c r="Q10">
        <f t="shared" si="2"/>
        <v>11912.106400000001</v>
      </c>
      <c r="R10">
        <f t="shared" si="2"/>
        <v>14652.106400000001</v>
      </c>
      <c r="S10">
        <f t="shared" si="2"/>
        <v>11912.106400000001</v>
      </c>
      <c r="T10">
        <f t="shared" si="2"/>
        <v>14652.106400000001</v>
      </c>
      <c r="U10">
        <f t="shared" si="2"/>
        <v>21579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A363-0841-4AB8-971B-3393B54C14A0}">
  <dimension ref="A1:I202"/>
  <sheetViews>
    <sheetView topLeftCell="A136" zoomScale="86" zoomScaleNormal="107" workbookViewId="0">
      <selection activeCell="L156" sqref="L156"/>
    </sheetView>
  </sheetViews>
  <sheetFormatPr baseColWidth="10" defaultColWidth="8.83203125" defaultRowHeight="15" x14ac:dyDescent="0.2"/>
  <cols>
    <col min="1" max="1" width="37.5" bestFit="1" customWidth="1"/>
    <col min="2" max="2" width="35.6640625" customWidth="1"/>
    <col min="3" max="3" width="29.83203125" customWidth="1"/>
    <col min="4" max="4" width="12.6640625" bestFit="1" customWidth="1"/>
    <col min="5" max="5" width="27.5" hidden="1" customWidth="1"/>
    <col min="6" max="7" width="0" hidden="1" customWidth="1"/>
    <col min="8" max="8" width="18.83203125" hidden="1" customWidth="1"/>
    <col min="9" max="9" width="10.33203125" bestFit="1" customWidth="1"/>
  </cols>
  <sheetData>
    <row r="1" spans="1:9" x14ac:dyDescent="0.2"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">
      <c r="A2" t="s">
        <v>36</v>
      </c>
      <c r="B2">
        <v>3805</v>
      </c>
      <c r="C2" t="s">
        <v>131</v>
      </c>
      <c r="D2" t="s">
        <v>132</v>
      </c>
      <c r="E2" t="s">
        <v>133</v>
      </c>
      <c r="F2">
        <v>1</v>
      </c>
      <c r="G2">
        <v>1168.0257999999999</v>
      </c>
      <c r="H2">
        <v>12</v>
      </c>
      <c r="I2">
        <v>1168.0257999999999</v>
      </c>
    </row>
    <row r="3" spans="1:9" x14ac:dyDescent="0.2">
      <c r="A3" t="s">
        <v>41</v>
      </c>
      <c r="B3">
        <v>6310</v>
      </c>
      <c r="C3" t="s">
        <v>206</v>
      </c>
      <c r="D3" t="s">
        <v>209</v>
      </c>
      <c r="E3" t="s">
        <v>210</v>
      </c>
      <c r="F3">
        <v>2</v>
      </c>
      <c r="G3">
        <v>39.550761599999994</v>
      </c>
      <c r="H3">
        <v>6</v>
      </c>
      <c r="I3">
        <v>39.550761599999994</v>
      </c>
    </row>
    <row r="4" spans="1:9" x14ac:dyDescent="0.2">
      <c r="A4" t="s">
        <v>41</v>
      </c>
      <c r="B4">
        <v>6310</v>
      </c>
      <c r="C4" t="s">
        <v>206</v>
      </c>
      <c r="D4" t="s">
        <v>212</v>
      </c>
      <c r="E4" t="s">
        <v>213</v>
      </c>
      <c r="F4">
        <v>2</v>
      </c>
      <c r="G4">
        <v>272.92059999999998</v>
      </c>
      <c r="H4">
        <v>6</v>
      </c>
      <c r="I4">
        <v>272.92059999999998</v>
      </c>
    </row>
    <row r="5" spans="1:9" x14ac:dyDescent="0.2">
      <c r="A5" t="s">
        <v>36</v>
      </c>
      <c r="B5">
        <v>8010</v>
      </c>
      <c r="C5" t="s">
        <v>115</v>
      </c>
      <c r="D5" t="s">
        <v>125</v>
      </c>
      <c r="E5" t="s">
        <v>117</v>
      </c>
      <c r="F5">
        <v>6</v>
      </c>
      <c r="G5">
        <v>45.957099999999997</v>
      </c>
      <c r="H5">
        <v>12</v>
      </c>
      <c r="I5">
        <v>45.957099999999997</v>
      </c>
    </row>
    <row r="6" spans="1:9" x14ac:dyDescent="0.2">
      <c r="A6" t="s">
        <v>41</v>
      </c>
      <c r="B6">
        <v>6310</v>
      </c>
      <c r="C6" t="s">
        <v>206</v>
      </c>
      <c r="D6" t="s">
        <v>211</v>
      </c>
      <c r="E6" t="s">
        <v>203</v>
      </c>
      <c r="F6">
        <v>4</v>
      </c>
      <c r="G6">
        <v>25.754899999999999</v>
      </c>
      <c r="H6">
        <v>6</v>
      </c>
      <c r="I6">
        <v>25.754899999999999</v>
      </c>
    </row>
    <row r="7" spans="1:9" x14ac:dyDescent="0.2">
      <c r="A7" t="s">
        <v>36</v>
      </c>
      <c r="B7">
        <v>8010</v>
      </c>
      <c r="C7" t="s">
        <v>115</v>
      </c>
      <c r="D7" t="s">
        <v>126</v>
      </c>
      <c r="E7" t="s">
        <v>127</v>
      </c>
      <c r="F7">
        <v>6</v>
      </c>
      <c r="G7">
        <v>411.49739999999997</v>
      </c>
      <c r="H7">
        <v>12</v>
      </c>
      <c r="I7">
        <v>411.49739999999997</v>
      </c>
    </row>
    <row r="8" spans="1:9" x14ac:dyDescent="0.2">
      <c r="A8" t="s">
        <v>42</v>
      </c>
      <c r="B8">
        <v>5310</v>
      </c>
      <c r="C8" t="s">
        <v>214</v>
      </c>
      <c r="D8" t="s">
        <v>225</v>
      </c>
      <c r="E8" t="s">
        <v>226</v>
      </c>
      <c r="F8">
        <v>1</v>
      </c>
      <c r="G8">
        <v>10.221509759999998</v>
      </c>
      <c r="H8">
        <v>5</v>
      </c>
      <c r="I8">
        <v>10.221509759999998</v>
      </c>
    </row>
    <row r="9" spans="1:9" x14ac:dyDescent="0.2">
      <c r="A9" t="s">
        <v>36</v>
      </c>
      <c r="B9">
        <v>8010</v>
      </c>
      <c r="C9" t="s">
        <v>115</v>
      </c>
      <c r="D9" t="s">
        <v>121</v>
      </c>
      <c r="E9" t="s">
        <v>117</v>
      </c>
      <c r="F9">
        <v>1</v>
      </c>
      <c r="G9">
        <v>270.83729999999997</v>
      </c>
      <c r="H9">
        <v>12</v>
      </c>
      <c r="I9">
        <v>270.83729999999997</v>
      </c>
    </row>
    <row r="10" spans="1:9" x14ac:dyDescent="0.2">
      <c r="A10" t="s">
        <v>43</v>
      </c>
      <c r="B10">
        <v>6110</v>
      </c>
      <c r="C10" t="s">
        <v>235</v>
      </c>
      <c r="D10" t="s">
        <v>250</v>
      </c>
      <c r="E10" t="s">
        <v>251</v>
      </c>
      <c r="F10">
        <v>2</v>
      </c>
      <c r="G10">
        <v>564.54124607999995</v>
      </c>
      <c r="H10">
        <v>16</v>
      </c>
      <c r="I10">
        <v>564.54124607999995</v>
      </c>
    </row>
    <row r="11" spans="1:9" x14ac:dyDescent="0.2">
      <c r="A11" t="s">
        <v>43</v>
      </c>
      <c r="B11">
        <v>6110</v>
      </c>
      <c r="C11" t="s">
        <v>235</v>
      </c>
      <c r="D11" t="s">
        <v>248</v>
      </c>
      <c r="E11" t="s">
        <v>249</v>
      </c>
      <c r="F11">
        <v>1</v>
      </c>
      <c r="G11">
        <v>31064.984615384612</v>
      </c>
      <c r="H11">
        <v>16</v>
      </c>
      <c r="I11">
        <v>31064.984615384612</v>
      </c>
    </row>
    <row r="12" spans="1:9" x14ac:dyDescent="0.2">
      <c r="A12" t="s">
        <v>40</v>
      </c>
      <c r="B12">
        <v>9510</v>
      </c>
      <c r="C12" t="s">
        <v>148</v>
      </c>
      <c r="D12" t="s">
        <v>155</v>
      </c>
      <c r="E12" t="s">
        <v>156</v>
      </c>
      <c r="F12">
        <v>0.8</v>
      </c>
      <c r="G12">
        <v>28.551999999999996</v>
      </c>
      <c r="H12">
        <v>16</v>
      </c>
      <c r="I12">
        <v>28.551999999999996</v>
      </c>
    </row>
    <row r="13" spans="1:9" x14ac:dyDescent="0.2">
      <c r="A13" t="s">
        <v>40</v>
      </c>
      <c r="B13">
        <v>9510</v>
      </c>
      <c r="C13" t="s">
        <v>148</v>
      </c>
      <c r="D13" t="s">
        <v>157</v>
      </c>
      <c r="E13" t="s">
        <v>158</v>
      </c>
      <c r="F13">
        <v>0.8</v>
      </c>
      <c r="G13">
        <v>29.456700000000001</v>
      </c>
      <c r="H13">
        <v>16</v>
      </c>
      <c r="I13">
        <v>29.456700000000001</v>
      </c>
    </row>
    <row r="14" spans="1:9" x14ac:dyDescent="0.2">
      <c r="A14" t="s">
        <v>40</v>
      </c>
      <c r="B14">
        <v>9510</v>
      </c>
      <c r="C14" t="s">
        <v>148</v>
      </c>
      <c r="D14" t="s">
        <v>162</v>
      </c>
      <c r="E14" t="s">
        <v>163</v>
      </c>
      <c r="F14">
        <v>0.8</v>
      </c>
      <c r="G14">
        <v>62.822699999999998</v>
      </c>
      <c r="H14">
        <v>16</v>
      </c>
      <c r="I14">
        <v>62.822699999999998</v>
      </c>
    </row>
    <row r="15" spans="1:9" x14ac:dyDescent="0.2">
      <c r="A15" t="s">
        <v>36</v>
      </c>
      <c r="B15">
        <v>8010</v>
      </c>
      <c r="C15" t="s">
        <v>115</v>
      </c>
      <c r="D15" t="s">
        <v>124</v>
      </c>
      <c r="E15" t="s">
        <v>119</v>
      </c>
      <c r="F15">
        <v>4</v>
      </c>
      <c r="G15">
        <v>65.877099999999999</v>
      </c>
      <c r="H15">
        <v>12</v>
      </c>
      <c r="I15">
        <v>65.877099999999999</v>
      </c>
    </row>
    <row r="16" spans="1:9" x14ac:dyDescent="0.2">
      <c r="A16" t="s">
        <v>52</v>
      </c>
      <c r="B16">
        <v>2320</v>
      </c>
      <c r="C16" t="s">
        <v>322</v>
      </c>
      <c r="D16" t="s">
        <v>283</v>
      </c>
      <c r="E16" t="s">
        <v>278</v>
      </c>
      <c r="F16">
        <v>1</v>
      </c>
      <c r="G16">
        <v>101.76219647999997</v>
      </c>
      <c r="H16">
        <v>8</v>
      </c>
      <c r="I16">
        <v>101.76219647999997</v>
      </c>
    </row>
    <row r="17" spans="1:9" x14ac:dyDescent="0.2">
      <c r="A17" t="s">
        <v>50</v>
      </c>
      <c r="B17" t="s">
        <v>50</v>
      </c>
      <c r="C17" t="s">
        <v>269</v>
      </c>
      <c r="D17" t="s">
        <v>283</v>
      </c>
      <c r="E17" t="s">
        <v>278</v>
      </c>
      <c r="F17">
        <v>3</v>
      </c>
      <c r="G17">
        <v>101.76219647999997</v>
      </c>
      <c r="H17">
        <v>8</v>
      </c>
      <c r="I17">
        <v>101.76219647999997</v>
      </c>
    </row>
    <row r="18" spans="1:9" x14ac:dyDescent="0.2">
      <c r="A18" t="s">
        <v>50</v>
      </c>
      <c r="B18" t="s">
        <v>50</v>
      </c>
      <c r="C18" t="s">
        <v>269</v>
      </c>
      <c r="D18" t="s">
        <v>296</v>
      </c>
      <c r="E18" t="s">
        <v>297</v>
      </c>
      <c r="F18">
        <v>13</v>
      </c>
      <c r="G18">
        <v>5.5028999999999995</v>
      </c>
      <c r="H18">
        <v>8</v>
      </c>
      <c r="I18">
        <v>5.5028999999999995</v>
      </c>
    </row>
    <row r="19" spans="1:9" x14ac:dyDescent="0.2">
      <c r="A19" t="s">
        <v>50</v>
      </c>
      <c r="B19" t="s">
        <v>50</v>
      </c>
      <c r="C19" t="s">
        <v>269</v>
      </c>
      <c r="D19" t="s">
        <v>298</v>
      </c>
      <c r="E19" t="s">
        <v>297</v>
      </c>
      <c r="F19">
        <v>26</v>
      </c>
      <c r="G19">
        <v>5.9344999999999999</v>
      </c>
      <c r="H19">
        <v>8</v>
      </c>
      <c r="I19">
        <v>5.9344999999999999</v>
      </c>
    </row>
    <row r="20" spans="1:9" x14ac:dyDescent="0.2">
      <c r="A20" t="s">
        <v>50</v>
      </c>
      <c r="B20" t="s">
        <v>50</v>
      </c>
      <c r="C20" t="s">
        <v>269</v>
      </c>
      <c r="D20" t="s">
        <v>299</v>
      </c>
      <c r="E20" t="s">
        <v>297</v>
      </c>
      <c r="F20">
        <v>13</v>
      </c>
      <c r="G20">
        <v>4.3574999999999999</v>
      </c>
      <c r="H20">
        <v>8</v>
      </c>
      <c r="I20">
        <v>4.3574999999999999</v>
      </c>
    </row>
    <row r="21" spans="1:9" x14ac:dyDescent="0.2">
      <c r="A21" t="s">
        <v>36</v>
      </c>
      <c r="B21">
        <v>8010</v>
      </c>
      <c r="C21" t="s">
        <v>115</v>
      </c>
      <c r="D21" t="s">
        <v>123</v>
      </c>
      <c r="E21" t="s">
        <v>119</v>
      </c>
      <c r="F21">
        <v>2</v>
      </c>
      <c r="G21">
        <v>122.52459999999999</v>
      </c>
      <c r="H21">
        <v>12</v>
      </c>
      <c r="I21">
        <v>122.52459999999999</v>
      </c>
    </row>
    <row r="22" spans="1:9" x14ac:dyDescent="0.2">
      <c r="A22" t="s">
        <v>50</v>
      </c>
      <c r="B22" t="s">
        <v>50</v>
      </c>
      <c r="C22" t="s">
        <v>269</v>
      </c>
      <c r="D22" t="s">
        <v>292</v>
      </c>
      <c r="E22" t="s">
        <v>293</v>
      </c>
      <c r="F22">
        <v>2</v>
      </c>
      <c r="G22">
        <v>96.852699999999999</v>
      </c>
      <c r="H22">
        <v>8</v>
      </c>
      <c r="I22">
        <v>96.852699999999999</v>
      </c>
    </row>
    <row r="23" spans="1:9" x14ac:dyDescent="0.2">
      <c r="A23" t="s">
        <v>52</v>
      </c>
      <c r="B23">
        <v>2320</v>
      </c>
      <c r="C23" t="s">
        <v>322</v>
      </c>
      <c r="D23" t="s">
        <v>344</v>
      </c>
      <c r="E23" t="s">
        <v>282</v>
      </c>
      <c r="F23">
        <v>1</v>
      </c>
      <c r="G23">
        <v>12.767126399999999</v>
      </c>
      <c r="H23">
        <v>8</v>
      </c>
      <c r="I23">
        <v>12.767126399999999</v>
      </c>
    </row>
    <row r="24" spans="1:9" x14ac:dyDescent="0.2">
      <c r="A24" t="s">
        <v>52</v>
      </c>
      <c r="B24">
        <v>2320</v>
      </c>
      <c r="C24" t="s">
        <v>322</v>
      </c>
      <c r="D24" t="s">
        <v>343</v>
      </c>
      <c r="E24" t="s">
        <v>282</v>
      </c>
      <c r="F24">
        <v>1</v>
      </c>
      <c r="G24">
        <v>16.807499999999997</v>
      </c>
      <c r="H24">
        <v>8</v>
      </c>
      <c r="I24">
        <v>16.807499999999997</v>
      </c>
    </row>
    <row r="25" spans="1:9" x14ac:dyDescent="0.2">
      <c r="A25" t="s">
        <v>52</v>
      </c>
      <c r="B25">
        <v>2320</v>
      </c>
      <c r="C25" t="s">
        <v>322</v>
      </c>
      <c r="D25" t="s">
        <v>339</v>
      </c>
      <c r="E25" t="s">
        <v>297</v>
      </c>
      <c r="F25">
        <v>1</v>
      </c>
      <c r="G25">
        <v>20.279038079999996</v>
      </c>
      <c r="H25">
        <v>8</v>
      </c>
      <c r="I25">
        <v>20.279038079999996</v>
      </c>
    </row>
    <row r="26" spans="1:9" x14ac:dyDescent="0.2">
      <c r="A26" t="s">
        <v>52</v>
      </c>
      <c r="B26">
        <v>2320</v>
      </c>
      <c r="C26" t="s">
        <v>322</v>
      </c>
      <c r="D26" t="s">
        <v>338</v>
      </c>
      <c r="E26" t="s">
        <v>297</v>
      </c>
      <c r="F26">
        <v>1</v>
      </c>
      <c r="G26">
        <v>11.712959999999999</v>
      </c>
      <c r="H26">
        <v>8</v>
      </c>
      <c r="I26">
        <v>11.712959999999999</v>
      </c>
    </row>
    <row r="27" spans="1:9" x14ac:dyDescent="0.2">
      <c r="A27" t="s">
        <v>52</v>
      </c>
      <c r="B27">
        <v>2320</v>
      </c>
      <c r="C27" t="s">
        <v>322</v>
      </c>
      <c r="D27" t="s">
        <v>337</v>
      </c>
      <c r="E27" t="s">
        <v>297</v>
      </c>
      <c r="F27">
        <v>1</v>
      </c>
      <c r="G27">
        <v>11.761099999999999</v>
      </c>
      <c r="H27">
        <v>8</v>
      </c>
      <c r="I27">
        <v>11.761099999999999</v>
      </c>
    </row>
    <row r="28" spans="1:9" x14ac:dyDescent="0.2">
      <c r="A28" t="s">
        <v>42</v>
      </c>
      <c r="B28">
        <v>5610</v>
      </c>
      <c r="C28" t="s">
        <v>230</v>
      </c>
      <c r="D28" t="s">
        <v>233</v>
      </c>
      <c r="E28" t="s">
        <v>234</v>
      </c>
      <c r="F28">
        <v>0.1</v>
      </c>
      <c r="G28">
        <v>3989.2954</v>
      </c>
      <c r="H28">
        <v>2</v>
      </c>
      <c r="I28">
        <v>3989.2954</v>
      </c>
    </row>
    <row r="29" spans="1:9" x14ac:dyDescent="0.2">
      <c r="A29" t="s">
        <v>41</v>
      </c>
      <c r="B29">
        <v>5410</v>
      </c>
      <c r="C29" t="s">
        <v>196</v>
      </c>
      <c r="D29" t="s">
        <v>204</v>
      </c>
      <c r="E29" t="s">
        <v>205</v>
      </c>
      <c r="F29">
        <v>2</v>
      </c>
      <c r="G29">
        <v>103.72216512</v>
      </c>
      <c r="H29">
        <v>4</v>
      </c>
      <c r="I29">
        <v>103.72216512</v>
      </c>
    </row>
    <row r="30" spans="1:9" x14ac:dyDescent="0.2">
      <c r="A30" t="s">
        <v>33</v>
      </c>
      <c r="B30">
        <v>8705</v>
      </c>
      <c r="C30" t="s">
        <v>61</v>
      </c>
      <c r="D30" t="s">
        <v>64</v>
      </c>
      <c r="E30" t="s">
        <v>65</v>
      </c>
      <c r="F30">
        <v>1</v>
      </c>
      <c r="G30">
        <v>803.07692307692309</v>
      </c>
      <c r="H30">
        <v>12</v>
      </c>
      <c r="I30">
        <v>803.07692307692309</v>
      </c>
    </row>
    <row r="31" spans="1:9" x14ac:dyDescent="0.2">
      <c r="A31" t="s">
        <v>40</v>
      </c>
      <c r="B31">
        <v>9510</v>
      </c>
      <c r="C31" t="s">
        <v>148</v>
      </c>
      <c r="D31" t="s">
        <v>194</v>
      </c>
      <c r="E31" t="s">
        <v>193</v>
      </c>
      <c r="F31">
        <v>8</v>
      </c>
      <c r="G31">
        <v>868.20489999999995</v>
      </c>
      <c r="H31">
        <v>16</v>
      </c>
      <c r="I31">
        <v>868.20489999999995</v>
      </c>
    </row>
    <row r="32" spans="1:9" x14ac:dyDescent="0.2">
      <c r="A32" t="s">
        <v>40</v>
      </c>
      <c r="B32">
        <v>9510</v>
      </c>
      <c r="C32" t="s">
        <v>148</v>
      </c>
      <c r="D32" t="s">
        <v>192</v>
      </c>
      <c r="E32" t="s">
        <v>193</v>
      </c>
      <c r="F32">
        <v>2</v>
      </c>
      <c r="G32">
        <v>843.03639167999984</v>
      </c>
      <c r="H32">
        <v>16</v>
      </c>
      <c r="I32">
        <v>843.03639167999984</v>
      </c>
    </row>
    <row r="33" spans="1:9" x14ac:dyDescent="0.2">
      <c r="A33" t="s">
        <v>40</v>
      </c>
      <c r="B33">
        <v>9510</v>
      </c>
      <c r="C33" t="s">
        <v>148</v>
      </c>
      <c r="D33" t="s">
        <v>182</v>
      </c>
      <c r="E33" t="s">
        <v>158</v>
      </c>
      <c r="F33">
        <v>6</v>
      </c>
      <c r="G33">
        <v>80.788189439999996</v>
      </c>
      <c r="H33">
        <v>16</v>
      </c>
      <c r="I33">
        <v>80.788189439999996</v>
      </c>
    </row>
    <row r="34" spans="1:9" x14ac:dyDescent="0.2">
      <c r="A34" t="s">
        <v>40</v>
      </c>
      <c r="B34">
        <v>9510</v>
      </c>
      <c r="C34" t="s">
        <v>148</v>
      </c>
      <c r="D34" t="s">
        <v>189</v>
      </c>
      <c r="E34" t="s">
        <v>163</v>
      </c>
      <c r="F34">
        <v>6</v>
      </c>
      <c r="G34">
        <v>154.25968320000001</v>
      </c>
      <c r="H34">
        <v>16</v>
      </c>
      <c r="I34">
        <v>154.25968320000001</v>
      </c>
    </row>
    <row r="35" spans="1:9" x14ac:dyDescent="0.2">
      <c r="A35" t="s">
        <v>40</v>
      </c>
      <c r="B35">
        <v>9510</v>
      </c>
      <c r="C35" t="s">
        <v>148</v>
      </c>
      <c r="D35" t="s">
        <v>180</v>
      </c>
      <c r="E35" t="s">
        <v>181</v>
      </c>
      <c r="F35">
        <v>8</v>
      </c>
      <c r="G35">
        <v>64.117499999999993</v>
      </c>
      <c r="H35">
        <v>16</v>
      </c>
      <c r="I35">
        <v>64.117499999999993</v>
      </c>
    </row>
    <row r="36" spans="1:9" x14ac:dyDescent="0.2">
      <c r="A36" t="s">
        <v>40</v>
      </c>
      <c r="B36">
        <v>9510</v>
      </c>
      <c r="C36" t="s">
        <v>148</v>
      </c>
      <c r="D36" t="s">
        <v>187</v>
      </c>
      <c r="E36" t="s">
        <v>188</v>
      </c>
      <c r="F36">
        <v>8</v>
      </c>
      <c r="G36">
        <v>105.03649999999999</v>
      </c>
      <c r="H36">
        <v>16</v>
      </c>
      <c r="I36">
        <v>105.03649999999999</v>
      </c>
    </row>
    <row r="37" spans="1:9" x14ac:dyDescent="0.2">
      <c r="A37" t="s">
        <v>33</v>
      </c>
      <c r="B37">
        <v>8725</v>
      </c>
      <c r="C37" t="s">
        <v>91</v>
      </c>
      <c r="D37" t="s">
        <v>92</v>
      </c>
      <c r="E37" t="s">
        <v>93</v>
      </c>
      <c r="F37">
        <v>5</v>
      </c>
      <c r="G37">
        <v>19.297499999999999</v>
      </c>
      <c r="H37">
        <v>12</v>
      </c>
      <c r="I37">
        <v>19.297499999999999</v>
      </c>
    </row>
    <row r="38" spans="1:9" x14ac:dyDescent="0.2">
      <c r="A38" t="s">
        <v>42</v>
      </c>
      <c r="B38">
        <v>5310</v>
      </c>
      <c r="C38" t="s">
        <v>214</v>
      </c>
      <c r="D38" t="s">
        <v>228</v>
      </c>
      <c r="E38" t="s">
        <v>229</v>
      </c>
      <c r="F38">
        <v>1</v>
      </c>
      <c r="G38">
        <v>306.94982975999994</v>
      </c>
      <c r="H38">
        <v>5</v>
      </c>
      <c r="I38">
        <v>306.94982975999994</v>
      </c>
    </row>
    <row r="39" spans="1:9" x14ac:dyDescent="0.2">
      <c r="A39" t="s">
        <v>33</v>
      </c>
      <c r="B39">
        <v>8726</v>
      </c>
      <c r="C39" t="s">
        <v>91</v>
      </c>
      <c r="D39" t="s">
        <v>94</v>
      </c>
      <c r="E39" t="s">
        <v>95</v>
      </c>
      <c r="F39">
        <v>1</v>
      </c>
      <c r="G39">
        <v>644.46267648000003</v>
      </c>
      <c r="H39">
        <v>12</v>
      </c>
      <c r="I39">
        <v>644.46267648000003</v>
      </c>
    </row>
    <row r="40" spans="1:9" x14ac:dyDescent="0.2">
      <c r="A40" t="s">
        <v>33</v>
      </c>
      <c r="B40">
        <v>8715</v>
      </c>
      <c r="C40" t="s">
        <v>69</v>
      </c>
      <c r="D40" t="s">
        <v>70</v>
      </c>
      <c r="E40" t="s">
        <v>71</v>
      </c>
      <c r="F40">
        <v>2</v>
      </c>
      <c r="G40">
        <v>407.98649999999998</v>
      </c>
      <c r="H40">
        <v>12</v>
      </c>
      <c r="I40">
        <v>407.98649999999998</v>
      </c>
    </row>
    <row r="41" spans="1:9" x14ac:dyDescent="0.2">
      <c r="A41" t="s">
        <v>40</v>
      </c>
      <c r="B41">
        <v>9510</v>
      </c>
      <c r="C41" t="s">
        <v>148</v>
      </c>
      <c r="D41" t="s">
        <v>175</v>
      </c>
      <c r="E41" t="s">
        <v>176</v>
      </c>
      <c r="F41">
        <v>0.8</v>
      </c>
      <c r="G41">
        <v>194.7595</v>
      </c>
      <c r="H41">
        <v>16</v>
      </c>
      <c r="I41">
        <v>194.7595</v>
      </c>
    </row>
    <row r="42" spans="1:9" x14ac:dyDescent="0.2">
      <c r="A42" t="s">
        <v>50</v>
      </c>
      <c r="B42" t="s">
        <v>50</v>
      </c>
      <c r="C42" t="s">
        <v>269</v>
      </c>
      <c r="D42" t="s">
        <v>301</v>
      </c>
      <c r="E42" t="s">
        <v>302</v>
      </c>
      <c r="F42">
        <v>2</v>
      </c>
      <c r="G42">
        <v>104.88565247999999</v>
      </c>
      <c r="H42">
        <v>8</v>
      </c>
      <c r="I42">
        <v>104.88565247999999</v>
      </c>
    </row>
    <row r="43" spans="1:9" x14ac:dyDescent="0.2">
      <c r="A43" t="s">
        <v>50</v>
      </c>
      <c r="B43" t="s">
        <v>50</v>
      </c>
      <c r="C43" t="s">
        <v>269</v>
      </c>
      <c r="D43" t="s">
        <v>303</v>
      </c>
      <c r="E43" t="s">
        <v>304</v>
      </c>
      <c r="F43">
        <v>2</v>
      </c>
      <c r="G43">
        <v>683.94489999999996</v>
      </c>
      <c r="H43">
        <v>8</v>
      </c>
      <c r="I43">
        <v>683.94489999999996</v>
      </c>
    </row>
    <row r="44" spans="1:9" x14ac:dyDescent="0.2">
      <c r="A44" t="s">
        <v>33</v>
      </c>
      <c r="B44">
        <v>8720</v>
      </c>
      <c r="C44" t="s">
        <v>72</v>
      </c>
      <c r="D44" t="s">
        <v>82</v>
      </c>
      <c r="E44" t="s">
        <v>83</v>
      </c>
      <c r="F44">
        <v>5</v>
      </c>
      <c r="G44">
        <v>20.351599999999998</v>
      </c>
      <c r="H44">
        <v>12</v>
      </c>
      <c r="I44">
        <v>20.351599999999998</v>
      </c>
    </row>
    <row r="45" spans="1:9" x14ac:dyDescent="0.2">
      <c r="A45" t="s">
        <v>52</v>
      </c>
      <c r="B45">
        <v>2320</v>
      </c>
      <c r="C45" t="s">
        <v>322</v>
      </c>
      <c r="D45" t="s">
        <v>279</v>
      </c>
      <c r="E45" t="s">
        <v>280</v>
      </c>
      <c r="F45">
        <v>1</v>
      </c>
      <c r="G45">
        <v>36.786503039999999</v>
      </c>
      <c r="H45">
        <v>8</v>
      </c>
      <c r="I45">
        <v>36.786503039999999</v>
      </c>
    </row>
    <row r="46" spans="1:9" x14ac:dyDescent="0.2">
      <c r="A46" t="s">
        <v>50</v>
      </c>
      <c r="B46" t="s">
        <v>50</v>
      </c>
      <c r="C46" t="s">
        <v>269</v>
      </c>
      <c r="D46" t="s">
        <v>279</v>
      </c>
      <c r="E46" t="s">
        <v>280</v>
      </c>
      <c r="F46">
        <v>1</v>
      </c>
      <c r="G46">
        <v>36.786503039999999</v>
      </c>
      <c r="H46">
        <v>8</v>
      </c>
      <c r="I46">
        <v>36.786503039999999</v>
      </c>
    </row>
    <row r="47" spans="1:9" x14ac:dyDescent="0.2">
      <c r="A47" t="s">
        <v>40</v>
      </c>
      <c r="B47">
        <v>9510</v>
      </c>
      <c r="C47" t="s">
        <v>148</v>
      </c>
      <c r="D47" t="s">
        <v>164</v>
      </c>
      <c r="E47" t="s">
        <v>165</v>
      </c>
      <c r="F47">
        <v>2.4</v>
      </c>
      <c r="G47">
        <v>29.381999999999998</v>
      </c>
      <c r="H47">
        <v>16</v>
      </c>
      <c r="I47">
        <v>29.381999999999998</v>
      </c>
    </row>
    <row r="48" spans="1:9" x14ac:dyDescent="0.2">
      <c r="A48" t="s">
        <v>33</v>
      </c>
      <c r="B48">
        <v>8720</v>
      </c>
      <c r="C48" t="s">
        <v>72</v>
      </c>
      <c r="D48" t="s">
        <v>89</v>
      </c>
      <c r="E48" t="s">
        <v>85</v>
      </c>
      <c r="F48">
        <v>5</v>
      </c>
      <c r="G48">
        <v>211.01287872</v>
      </c>
      <c r="H48">
        <v>12</v>
      </c>
      <c r="I48">
        <v>211.01287872</v>
      </c>
    </row>
    <row r="49" spans="1:9" x14ac:dyDescent="0.2">
      <c r="A49" t="s">
        <v>33</v>
      </c>
      <c r="B49">
        <v>8720</v>
      </c>
      <c r="C49" t="s">
        <v>72</v>
      </c>
      <c r="D49" t="s">
        <v>84</v>
      </c>
      <c r="E49" t="s">
        <v>85</v>
      </c>
      <c r="F49">
        <v>5</v>
      </c>
      <c r="G49">
        <v>102.33222719999999</v>
      </c>
      <c r="H49">
        <v>12</v>
      </c>
      <c r="I49">
        <v>102.33222719999999</v>
      </c>
    </row>
    <row r="50" spans="1:9" x14ac:dyDescent="0.2">
      <c r="A50" t="s">
        <v>33</v>
      </c>
      <c r="B50">
        <v>8720</v>
      </c>
      <c r="C50" t="s">
        <v>72</v>
      </c>
      <c r="D50" t="s">
        <v>86</v>
      </c>
      <c r="E50" t="s">
        <v>85</v>
      </c>
      <c r="F50">
        <v>5</v>
      </c>
      <c r="G50">
        <v>144.26462399999997</v>
      </c>
      <c r="H50">
        <v>12</v>
      </c>
      <c r="I50">
        <v>144.26462399999997</v>
      </c>
    </row>
    <row r="51" spans="1:9" x14ac:dyDescent="0.2">
      <c r="A51" t="s">
        <v>40</v>
      </c>
      <c r="B51">
        <v>9510</v>
      </c>
      <c r="C51" t="s">
        <v>148</v>
      </c>
      <c r="D51" t="s">
        <v>183</v>
      </c>
      <c r="E51" t="s">
        <v>184</v>
      </c>
      <c r="F51">
        <v>1</v>
      </c>
      <c r="G51">
        <v>548.61538461538476</v>
      </c>
      <c r="H51">
        <v>16</v>
      </c>
      <c r="I51">
        <v>548.61538461538476</v>
      </c>
    </row>
    <row r="52" spans="1:9" x14ac:dyDescent="0.2">
      <c r="A52" t="s">
        <v>141</v>
      </c>
      <c r="B52">
        <v>4010</v>
      </c>
      <c r="C52" t="s">
        <v>134</v>
      </c>
      <c r="D52" t="s">
        <v>146</v>
      </c>
      <c r="E52" t="s">
        <v>147</v>
      </c>
      <c r="F52">
        <v>1</v>
      </c>
      <c r="G52">
        <v>8021.5764999999992</v>
      </c>
      <c r="H52">
        <v>8</v>
      </c>
      <c r="I52">
        <v>8021.5764999999992</v>
      </c>
    </row>
    <row r="53" spans="1:9" x14ac:dyDescent="0.2">
      <c r="A53" t="s">
        <v>51</v>
      </c>
      <c r="B53">
        <v>8210</v>
      </c>
      <c r="C53" t="s">
        <v>307</v>
      </c>
      <c r="D53" t="s">
        <v>318</v>
      </c>
      <c r="E53" t="s">
        <v>319</v>
      </c>
      <c r="F53">
        <v>2</v>
      </c>
      <c r="G53">
        <v>85.453846153846172</v>
      </c>
      <c r="H53">
        <v>4</v>
      </c>
      <c r="I53">
        <v>85.453846153846172</v>
      </c>
    </row>
    <row r="54" spans="1:9" x14ac:dyDescent="0.2">
      <c r="A54" t="s">
        <v>52</v>
      </c>
      <c r="B54">
        <v>2320</v>
      </c>
      <c r="C54" t="s">
        <v>322</v>
      </c>
      <c r="D54" t="s">
        <v>291</v>
      </c>
      <c r="E54" t="s">
        <v>278</v>
      </c>
      <c r="F54">
        <v>1</v>
      </c>
      <c r="G54">
        <v>24.136399999999998</v>
      </c>
      <c r="H54">
        <v>8</v>
      </c>
      <c r="I54">
        <v>24.136399999999998</v>
      </c>
    </row>
    <row r="55" spans="1:9" x14ac:dyDescent="0.2">
      <c r="A55" t="s">
        <v>50</v>
      </c>
      <c r="B55" t="s">
        <v>50</v>
      </c>
      <c r="C55" t="s">
        <v>269</v>
      </c>
      <c r="D55" t="s">
        <v>291</v>
      </c>
      <c r="E55" t="s">
        <v>278</v>
      </c>
      <c r="F55">
        <v>5</v>
      </c>
      <c r="G55">
        <v>24.136399999999998</v>
      </c>
      <c r="H55">
        <v>8</v>
      </c>
      <c r="I55">
        <v>24.136399999999998</v>
      </c>
    </row>
    <row r="56" spans="1:9" x14ac:dyDescent="0.2">
      <c r="A56" t="s">
        <v>52</v>
      </c>
      <c r="B56">
        <v>2320</v>
      </c>
      <c r="C56" t="s">
        <v>322</v>
      </c>
      <c r="D56" t="s">
        <v>277</v>
      </c>
      <c r="E56" t="s">
        <v>278</v>
      </c>
      <c r="F56">
        <v>1</v>
      </c>
      <c r="G56">
        <v>41.026594559999999</v>
      </c>
      <c r="H56">
        <v>8</v>
      </c>
      <c r="I56">
        <v>41.026594559999999</v>
      </c>
    </row>
    <row r="57" spans="1:9" x14ac:dyDescent="0.2">
      <c r="A57" t="s">
        <v>50</v>
      </c>
      <c r="B57" t="s">
        <v>50</v>
      </c>
      <c r="C57" t="s">
        <v>269</v>
      </c>
      <c r="D57" t="s">
        <v>277</v>
      </c>
      <c r="E57" t="s">
        <v>278</v>
      </c>
      <c r="F57">
        <v>5</v>
      </c>
      <c r="G57">
        <v>41.026594559999999</v>
      </c>
      <c r="H57">
        <v>8</v>
      </c>
      <c r="I57">
        <v>41.026594559999999</v>
      </c>
    </row>
    <row r="58" spans="1:9" x14ac:dyDescent="0.2">
      <c r="A58" t="s">
        <v>50</v>
      </c>
      <c r="B58" t="s">
        <v>50</v>
      </c>
      <c r="C58" t="s">
        <v>269</v>
      </c>
      <c r="D58" t="s">
        <v>277</v>
      </c>
      <c r="E58" t="s">
        <v>278</v>
      </c>
      <c r="F58">
        <v>5</v>
      </c>
      <c r="G58">
        <v>41.026594559999999</v>
      </c>
      <c r="H58">
        <v>8</v>
      </c>
      <c r="I58">
        <v>41.026594559999999</v>
      </c>
    </row>
    <row r="59" spans="1:9" x14ac:dyDescent="0.2">
      <c r="A59" t="s">
        <v>52</v>
      </c>
      <c r="B59">
        <v>2320</v>
      </c>
      <c r="C59" t="s">
        <v>322</v>
      </c>
      <c r="D59" t="s">
        <v>341</v>
      </c>
      <c r="E59" t="s">
        <v>342</v>
      </c>
      <c r="F59">
        <v>1</v>
      </c>
      <c r="G59">
        <v>307.22449999999998</v>
      </c>
      <c r="H59">
        <v>8</v>
      </c>
      <c r="I59">
        <v>307.22449999999998</v>
      </c>
    </row>
    <row r="60" spans="1:9" x14ac:dyDescent="0.2">
      <c r="A60" t="s">
        <v>40</v>
      </c>
      <c r="B60">
        <v>9510</v>
      </c>
      <c r="C60" t="s">
        <v>148</v>
      </c>
      <c r="D60" t="s">
        <v>190</v>
      </c>
      <c r="E60" t="s">
        <v>191</v>
      </c>
      <c r="F60">
        <v>0.8</v>
      </c>
      <c r="G60">
        <v>1397.886</v>
      </c>
      <c r="H60">
        <v>16</v>
      </c>
      <c r="I60">
        <v>1397.886</v>
      </c>
    </row>
    <row r="61" spans="1:9" x14ac:dyDescent="0.2">
      <c r="A61" t="s">
        <v>52</v>
      </c>
      <c r="B61">
        <v>2320</v>
      </c>
      <c r="C61" t="s">
        <v>322</v>
      </c>
      <c r="D61" t="s">
        <v>281</v>
      </c>
      <c r="E61" t="s">
        <v>282</v>
      </c>
      <c r="F61">
        <v>1</v>
      </c>
      <c r="G61">
        <v>43.369186559999996</v>
      </c>
      <c r="H61">
        <v>8</v>
      </c>
      <c r="I61">
        <v>43.369186559999996</v>
      </c>
    </row>
    <row r="62" spans="1:9" x14ac:dyDescent="0.2">
      <c r="A62" t="s">
        <v>50</v>
      </c>
      <c r="B62" t="s">
        <v>50</v>
      </c>
      <c r="C62" t="s">
        <v>269</v>
      </c>
      <c r="D62" t="s">
        <v>281</v>
      </c>
      <c r="E62" t="s">
        <v>282</v>
      </c>
      <c r="F62">
        <v>1</v>
      </c>
      <c r="G62">
        <v>43.369186559999996</v>
      </c>
      <c r="H62">
        <v>8</v>
      </c>
      <c r="I62">
        <v>43.369186559999996</v>
      </c>
    </row>
    <row r="63" spans="1:9" x14ac:dyDescent="0.2">
      <c r="A63" t="s">
        <v>52</v>
      </c>
      <c r="B63">
        <v>2320</v>
      </c>
      <c r="C63" t="s">
        <v>322</v>
      </c>
      <c r="D63" t="s">
        <v>285</v>
      </c>
      <c r="E63" t="s">
        <v>286</v>
      </c>
      <c r="F63">
        <v>1</v>
      </c>
      <c r="G63">
        <v>58.189985279999981</v>
      </c>
      <c r="H63">
        <v>8</v>
      </c>
      <c r="I63">
        <v>58.189985279999981</v>
      </c>
    </row>
    <row r="64" spans="1:9" x14ac:dyDescent="0.2">
      <c r="A64" t="s">
        <v>50</v>
      </c>
      <c r="B64" t="s">
        <v>50</v>
      </c>
      <c r="C64" t="s">
        <v>269</v>
      </c>
      <c r="D64" t="s">
        <v>285</v>
      </c>
      <c r="E64" t="s">
        <v>286</v>
      </c>
      <c r="F64">
        <v>2</v>
      </c>
      <c r="G64">
        <v>58.189985279999981</v>
      </c>
      <c r="H64">
        <v>8</v>
      </c>
      <c r="I64">
        <v>58.189985279999981</v>
      </c>
    </row>
    <row r="65" spans="1:9" x14ac:dyDescent="0.2">
      <c r="A65" t="s">
        <v>52</v>
      </c>
      <c r="B65">
        <v>2320</v>
      </c>
      <c r="C65" t="s">
        <v>322</v>
      </c>
      <c r="D65" t="s">
        <v>327</v>
      </c>
      <c r="E65" t="s">
        <v>309</v>
      </c>
      <c r="F65">
        <v>1</v>
      </c>
      <c r="G65">
        <v>1532.5236863999999</v>
      </c>
      <c r="H65">
        <v>8</v>
      </c>
      <c r="I65">
        <v>1532.5236863999999</v>
      </c>
    </row>
    <row r="66" spans="1:9" x14ac:dyDescent="0.2">
      <c r="A66" t="s">
        <v>52</v>
      </c>
      <c r="B66">
        <v>2320</v>
      </c>
      <c r="C66" t="s">
        <v>322</v>
      </c>
      <c r="D66" t="s">
        <v>340</v>
      </c>
      <c r="E66" t="s">
        <v>309</v>
      </c>
      <c r="F66">
        <v>1</v>
      </c>
      <c r="G66">
        <v>1536.3343027199999</v>
      </c>
      <c r="H66">
        <v>8</v>
      </c>
      <c r="I66">
        <v>1536.3343027199999</v>
      </c>
    </row>
    <row r="67" spans="1:9" x14ac:dyDescent="0.2">
      <c r="A67" t="s">
        <v>52</v>
      </c>
      <c r="B67">
        <v>2320</v>
      </c>
      <c r="C67" t="s">
        <v>322</v>
      </c>
      <c r="D67" t="s">
        <v>290</v>
      </c>
      <c r="E67" t="s">
        <v>278</v>
      </c>
      <c r="F67">
        <v>1</v>
      </c>
      <c r="G67">
        <v>43.751809919999999</v>
      </c>
      <c r="H67">
        <v>8</v>
      </c>
      <c r="I67">
        <v>43.751809919999999</v>
      </c>
    </row>
    <row r="68" spans="1:9" x14ac:dyDescent="0.2">
      <c r="A68" t="s">
        <v>50</v>
      </c>
      <c r="B68" t="s">
        <v>50</v>
      </c>
      <c r="C68" t="s">
        <v>269</v>
      </c>
      <c r="D68" t="s">
        <v>290</v>
      </c>
      <c r="E68" t="s">
        <v>278</v>
      </c>
      <c r="F68">
        <v>4</v>
      </c>
      <c r="G68">
        <v>43.751809919999999</v>
      </c>
      <c r="H68">
        <v>8</v>
      </c>
      <c r="I68">
        <v>43.751809919999999</v>
      </c>
    </row>
    <row r="69" spans="1:9" x14ac:dyDescent="0.2">
      <c r="A69" t="s">
        <v>34</v>
      </c>
      <c r="B69">
        <v>9315</v>
      </c>
      <c r="C69" t="s">
        <v>96</v>
      </c>
      <c r="D69" t="s">
        <v>99</v>
      </c>
      <c r="E69" t="s">
        <v>100</v>
      </c>
      <c r="F69">
        <v>5</v>
      </c>
      <c r="G69">
        <v>1287.1384615384613</v>
      </c>
      <c r="I69">
        <v>1287.1384615384613</v>
      </c>
    </row>
    <row r="70" spans="1:9" x14ac:dyDescent="0.2">
      <c r="A70" t="s">
        <v>52</v>
      </c>
      <c r="B70">
        <v>2320</v>
      </c>
      <c r="C70" t="s">
        <v>322</v>
      </c>
      <c r="D70" t="s">
        <v>335</v>
      </c>
      <c r="E70" t="s">
        <v>331</v>
      </c>
      <c r="F70">
        <v>1</v>
      </c>
      <c r="G70">
        <v>703.1</v>
      </c>
      <c r="H70">
        <v>8</v>
      </c>
      <c r="I70">
        <v>703.1</v>
      </c>
    </row>
    <row r="71" spans="1:9" x14ac:dyDescent="0.2">
      <c r="A71" t="s">
        <v>52</v>
      </c>
      <c r="B71">
        <v>2320</v>
      </c>
      <c r="C71" t="s">
        <v>322</v>
      </c>
      <c r="D71" t="s">
        <v>330</v>
      </c>
      <c r="E71" t="s">
        <v>331</v>
      </c>
      <c r="F71">
        <v>1</v>
      </c>
      <c r="G71">
        <v>710.44615384615395</v>
      </c>
      <c r="H71">
        <v>8</v>
      </c>
      <c r="I71">
        <v>710.44615384615395</v>
      </c>
    </row>
    <row r="72" spans="1:9" x14ac:dyDescent="0.2">
      <c r="A72" t="s">
        <v>52</v>
      </c>
      <c r="B72">
        <v>2320</v>
      </c>
      <c r="C72" t="s">
        <v>322</v>
      </c>
      <c r="D72" t="s">
        <v>336</v>
      </c>
      <c r="E72" t="s">
        <v>333</v>
      </c>
      <c r="F72">
        <v>1</v>
      </c>
      <c r="G72">
        <v>288.42307692307691</v>
      </c>
      <c r="H72">
        <v>8</v>
      </c>
      <c r="I72">
        <v>288.42307692307691</v>
      </c>
    </row>
    <row r="73" spans="1:9" x14ac:dyDescent="0.2">
      <c r="A73" t="s">
        <v>52</v>
      </c>
      <c r="B73">
        <v>2320</v>
      </c>
      <c r="C73" t="s">
        <v>322</v>
      </c>
      <c r="D73" t="s">
        <v>332</v>
      </c>
      <c r="E73" t="s">
        <v>333</v>
      </c>
      <c r="F73">
        <v>1</v>
      </c>
      <c r="G73">
        <v>167.55384615384617</v>
      </c>
      <c r="H73">
        <v>8</v>
      </c>
      <c r="I73">
        <v>167.55384615384617</v>
      </c>
    </row>
    <row r="74" spans="1:9" x14ac:dyDescent="0.2">
      <c r="A74" t="s">
        <v>52</v>
      </c>
      <c r="B74">
        <v>2320</v>
      </c>
      <c r="C74" t="s">
        <v>322</v>
      </c>
      <c r="D74" t="s">
        <v>334</v>
      </c>
      <c r="E74" t="s">
        <v>329</v>
      </c>
      <c r="F74">
        <v>1</v>
      </c>
      <c r="G74">
        <v>149.03076923076924</v>
      </c>
      <c r="H74">
        <v>8</v>
      </c>
      <c r="I74">
        <v>149.03076923076924</v>
      </c>
    </row>
    <row r="75" spans="1:9" x14ac:dyDescent="0.2">
      <c r="A75" t="s">
        <v>52</v>
      </c>
      <c r="B75">
        <v>2320</v>
      </c>
      <c r="C75" t="s">
        <v>322</v>
      </c>
      <c r="D75" t="s">
        <v>328</v>
      </c>
      <c r="E75" t="s">
        <v>329</v>
      </c>
      <c r="F75">
        <v>1</v>
      </c>
      <c r="G75">
        <v>155.62307692307695</v>
      </c>
      <c r="H75">
        <v>8</v>
      </c>
      <c r="I75">
        <v>155.62307692307695</v>
      </c>
    </row>
    <row r="76" spans="1:9" x14ac:dyDescent="0.2">
      <c r="A76" t="s">
        <v>33</v>
      </c>
      <c r="B76">
        <v>8720</v>
      </c>
      <c r="C76" t="s">
        <v>72</v>
      </c>
      <c r="D76" t="s">
        <v>87</v>
      </c>
      <c r="E76" t="s">
        <v>88</v>
      </c>
      <c r="F76">
        <v>5</v>
      </c>
      <c r="G76">
        <v>162.02147135999999</v>
      </c>
      <c r="H76">
        <v>12</v>
      </c>
      <c r="I76">
        <v>162.02147135999999</v>
      </c>
    </row>
    <row r="77" spans="1:9" x14ac:dyDescent="0.2">
      <c r="A77" t="s">
        <v>33</v>
      </c>
      <c r="B77">
        <v>8720</v>
      </c>
      <c r="C77" t="s">
        <v>72</v>
      </c>
      <c r="D77" t="s">
        <v>90</v>
      </c>
      <c r="E77" t="s">
        <v>88</v>
      </c>
      <c r="F77">
        <v>5</v>
      </c>
      <c r="G77">
        <v>238.16351999999995</v>
      </c>
      <c r="H77">
        <v>12</v>
      </c>
      <c r="I77">
        <v>238.16351999999995</v>
      </c>
    </row>
    <row r="78" spans="1:9" x14ac:dyDescent="0.2">
      <c r="A78" t="s">
        <v>51</v>
      </c>
      <c r="B78">
        <v>8210</v>
      </c>
      <c r="C78" t="s">
        <v>307</v>
      </c>
      <c r="D78" t="s">
        <v>308</v>
      </c>
      <c r="E78" t="s">
        <v>309</v>
      </c>
      <c r="F78">
        <v>1</v>
      </c>
      <c r="G78">
        <v>167.62307692307692</v>
      </c>
      <c r="H78">
        <v>4</v>
      </c>
      <c r="I78">
        <v>167.62307692307692</v>
      </c>
    </row>
    <row r="79" spans="1:9" x14ac:dyDescent="0.2">
      <c r="A79" t="s">
        <v>51</v>
      </c>
      <c r="B79">
        <v>8210</v>
      </c>
      <c r="C79" t="s">
        <v>307</v>
      </c>
      <c r="D79" t="s">
        <v>316</v>
      </c>
      <c r="E79" t="s">
        <v>317</v>
      </c>
      <c r="F79">
        <v>1</v>
      </c>
      <c r="G79">
        <v>92.206615384615375</v>
      </c>
      <c r="H79">
        <v>4</v>
      </c>
      <c r="I79">
        <v>92.206615384615375</v>
      </c>
    </row>
    <row r="80" spans="1:9" x14ac:dyDescent="0.2">
      <c r="A80" t="s">
        <v>51</v>
      </c>
      <c r="B80">
        <v>8210</v>
      </c>
      <c r="C80" t="s">
        <v>307</v>
      </c>
      <c r="D80" t="s">
        <v>320</v>
      </c>
      <c r="E80" t="s">
        <v>321</v>
      </c>
      <c r="F80">
        <v>1</v>
      </c>
      <c r="G80">
        <v>92.206615384615375</v>
      </c>
      <c r="H80">
        <v>4</v>
      </c>
      <c r="I80">
        <v>92.206615384615375</v>
      </c>
    </row>
    <row r="81" spans="1:9" x14ac:dyDescent="0.2">
      <c r="A81" t="s">
        <v>37</v>
      </c>
      <c r="B81">
        <v>4010</v>
      </c>
      <c r="C81" t="s">
        <v>134</v>
      </c>
      <c r="D81" t="s">
        <v>135</v>
      </c>
      <c r="E81" t="s">
        <v>136</v>
      </c>
      <c r="F81">
        <v>1</v>
      </c>
      <c r="G81">
        <v>395.04690624</v>
      </c>
      <c r="H81">
        <v>8</v>
      </c>
      <c r="I81">
        <v>395.04690624</v>
      </c>
    </row>
    <row r="82" spans="1:9" x14ac:dyDescent="0.2">
      <c r="A82" t="s">
        <v>40</v>
      </c>
      <c r="B82">
        <v>9510</v>
      </c>
      <c r="C82" t="s">
        <v>148</v>
      </c>
      <c r="D82" t="s">
        <v>185</v>
      </c>
      <c r="E82" t="s">
        <v>186</v>
      </c>
      <c r="F82">
        <v>2.4</v>
      </c>
      <c r="G82">
        <v>278.05</v>
      </c>
      <c r="H82">
        <v>16</v>
      </c>
      <c r="I82">
        <v>278.05</v>
      </c>
    </row>
    <row r="83" spans="1:9" x14ac:dyDescent="0.2">
      <c r="A83" t="s">
        <v>40</v>
      </c>
      <c r="B83">
        <v>9510</v>
      </c>
      <c r="C83" t="s">
        <v>148</v>
      </c>
      <c r="D83" t="s">
        <v>167</v>
      </c>
      <c r="E83" t="s">
        <v>168</v>
      </c>
      <c r="F83">
        <v>1.2</v>
      </c>
      <c r="G83">
        <v>68.201099999999997</v>
      </c>
      <c r="H83">
        <v>16</v>
      </c>
      <c r="I83">
        <v>68.201099999999997</v>
      </c>
    </row>
    <row r="84" spans="1:9" x14ac:dyDescent="0.2">
      <c r="A84" t="s">
        <v>40</v>
      </c>
      <c r="B84">
        <v>9510</v>
      </c>
      <c r="C84" t="s">
        <v>148</v>
      </c>
      <c r="D84" t="s">
        <v>177</v>
      </c>
      <c r="E84" t="s">
        <v>178</v>
      </c>
      <c r="F84">
        <v>0.1</v>
      </c>
      <c r="G84">
        <v>1660.6244256000002</v>
      </c>
      <c r="H84">
        <v>16</v>
      </c>
      <c r="I84">
        <v>1660.6244256000002</v>
      </c>
    </row>
    <row r="85" spans="1:9" x14ac:dyDescent="0.2">
      <c r="A85" t="s">
        <v>50</v>
      </c>
      <c r="B85" t="s">
        <v>50</v>
      </c>
      <c r="C85" t="s">
        <v>269</v>
      </c>
      <c r="D85" t="s">
        <v>270</v>
      </c>
      <c r="E85" t="s">
        <v>271</v>
      </c>
      <c r="F85">
        <v>1</v>
      </c>
      <c r="G85">
        <v>3027.0973823999993</v>
      </c>
      <c r="H85">
        <v>8</v>
      </c>
      <c r="I85">
        <v>3027.0973823999993</v>
      </c>
    </row>
    <row r="86" spans="1:9" x14ac:dyDescent="0.2">
      <c r="A86" t="s">
        <v>36</v>
      </c>
      <c r="B86">
        <v>3805</v>
      </c>
      <c r="C86" t="s">
        <v>128</v>
      </c>
      <c r="D86" t="s">
        <v>129</v>
      </c>
      <c r="E86" t="s">
        <v>130</v>
      </c>
      <c r="F86">
        <v>1</v>
      </c>
      <c r="G86">
        <v>6724.2781999999997</v>
      </c>
      <c r="H86">
        <v>12</v>
      </c>
      <c r="I86">
        <v>6724.2781999999997</v>
      </c>
    </row>
    <row r="87" spans="1:9" x14ac:dyDescent="0.2">
      <c r="A87" t="s">
        <v>35</v>
      </c>
      <c r="B87">
        <v>5615</v>
      </c>
      <c r="C87" t="s">
        <v>109</v>
      </c>
      <c r="D87" t="s">
        <v>112</v>
      </c>
      <c r="E87" t="s">
        <v>113</v>
      </c>
      <c r="F87">
        <v>5</v>
      </c>
      <c r="G87">
        <v>97.646153846153851</v>
      </c>
      <c r="H87">
        <v>4</v>
      </c>
      <c r="I87">
        <v>97.646153846153851</v>
      </c>
    </row>
    <row r="88" spans="1:9" x14ac:dyDescent="0.2">
      <c r="A88" t="s">
        <v>35</v>
      </c>
      <c r="B88">
        <v>6265</v>
      </c>
      <c r="C88" t="s">
        <v>114</v>
      </c>
      <c r="D88" t="s">
        <v>112</v>
      </c>
      <c r="E88" t="s">
        <v>113</v>
      </c>
      <c r="F88">
        <v>5.75</v>
      </c>
      <c r="G88">
        <v>97.646153846153851</v>
      </c>
      <c r="H88">
        <v>4</v>
      </c>
      <c r="I88">
        <v>97.646153846153851</v>
      </c>
    </row>
    <row r="89" spans="1:9" x14ac:dyDescent="0.2">
      <c r="A89" t="s">
        <v>34</v>
      </c>
      <c r="B89">
        <v>9315</v>
      </c>
      <c r="C89" t="s">
        <v>96</v>
      </c>
      <c r="D89" t="s">
        <v>101</v>
      </c>
      <c r="E89" t="s">
        <v>102</v>
      </c>
      <c r="F89">
        <v>1</v>
      </c>
      <c r="G89">
        <v>1363.0371551999999</v>
      </c>
      <c r="H89">
        <v>8</v>
      </c>
      <c r="I89">
        <v>1363.0371551999999</v>
      </c>
    </row>
    <row r="90" spans="1:9" x14ac:dyDescent="0.2">
      <c r="A90" t="s">
        <v>35</v>
      </c>
      <c r="B90">
        <v>5615</v>
      </c>
      <c r="C90" t="s">
        <v>109</v>
      </c>
      <c r="D90" t="s">
        <v>110</v>
      </c>
      <c r="E90" t="s">
        <v>111</v>
      </c>
      <c r="F90">
        <v>2.5</v>
      </c>
      <c r="G90">
        <v>119.83539999999999</v>
      </c>
      <c r="H90">
        <v>4</v>
      </c>
      <c r="I90">
        <v>119.83539999999999</v>
      </c>
    </row>
    <row r="91" spans="1:9" x14ac:dyDescent="0.2">
      <c r="A91" t="s">
        <v>35</v>
      </c>
      <c r="B91">
        <v>6265</v>
      </c>
      <c r="C91" t="s">
        <v>114</v>
      </c>
      <c r="D91" t="s">
        <v>110</v>
      </c>
      <c r="E91" t="s">
        <v>111</v>
      </c>
      <c r="F91">
        <v>5.75</v>
      </c>
      <c r="G91">
        <v>119.83539999999999</v>
      </c>
      <c r="H91">
        <v>4</v>
      </c>
      <c r="I91">
        <v>119.83539999999999</v>
      </c>
    </row>
    <row r="92" spans="1:9" x14ac:dyDescent="0.2">
      <c r="A92" t="s">
        <v>34</v>
      </c>
      <c r="B92">
        <v>9316</v>
      </c>
      <c r="C92" t="s">
        <v>96</v>
      </c>
      <c r="D92" t="s">
        <v>107</v>
      </c>
      <c r="E92" t="s">
        <v>108</v>
      </c>
      <c r="F92">
        <v>1</v>
      </c>
      <c r="G92">
        <v>61.492307692307698</v>
      </c>
      <c r="H92">
        <v>8</v>
      </c>
      <c r="I92">
        <v>61.492307692307698</v>
      </c>
    </row>
    <row r="93" spans="1:9" x14ac:dyDescent="0.2">
      <c r="A93" t="s">
        <v>34</v>
      </c>
      <c r="B93">
        <v>9315</v>
      </c>
      <c r="C93" t="s">
        <v>96</v>
      </c>
      <c r="D93" t="s">
        <v>105</v>
      </c>
      <c r="E93" t="s">
        <v>106</v>
      </c>
      <c r="F93">
        <v>1</v>
      </c>
      <c r="G93">
        <v>36.470199999999998</v>
      </c>
      <c r="H93">
        <v>8</v>
      </c>
      <c r="I93">
        <v>36.470199999999998</v>
      </c>
    </row>
    <row r="94" spans="1:9" x14ac:dyDescent="0.2">
      <c r="A94" t="s">
        <v>33</v>
      </c>
      <c r="B94">
        <v>8710</v>
      </c>
      <c r="C94" t="s">
        <v>66</v>
      </c>
      <c r="D94" t="s">
        <v>67</v>
      </c>
      <c r="E94" t="s">
        <v>68</v>
      </c>
      <c r="F94">
        <v>1</v>
      </c>
      <c r="G94">
        <v>49.678567679999993</v>
      </c>
      <c r="H94">
        <v>12</v>
      </c>
      <c r="I94">
        <v>49.678567679999993</v>
      </c>
    </row>
    <row r="95" spans="1:9" x14ac:dyDescent="0.2">
      <c r="A95" t="s">
        <v>37</v>
      </c>
      <c r="B95">
        <v>4010</v>
      </c>
      <c r="C95" t="s">
        <v>134</v>
      </c>
      <c r="D95" t="s">
        <v>137</v>
      </c>
      <c r="E95" t="s">
        <v>138</v>
      </c>
      <c r="F95">
        <v>1</v>
      </c>
      <c r="G95">
        <v>252.98431871999998</v>
      </c>
      <c r="H95">
        <v>8</v>
      </c>
      <c r="I95">
        <v>252.98431871999998</v>
      </c>
    </row>
    <row r="96" spans="1:9" x14ac:dyDescent="0.2">
      <c r="A96" t="s">
        <v>385</v>
      </c>
      <c r="B96">
        <v>4010</v>
      </c>
      <c r="C96" t="s">
        <v>134</v>
      </c>
      <c r="D96" t="s">
        <v>142</v>
      </c>
      <c r="E96" t="s">
        <v>143</v>
      </c>
      <c r="F96">
        <v>2</v>
      </c>
      <c r="G96">
        <v>18141.642</v>
      </c>
      <c r="H96">
        <v>8</v>
      </c>
      <c r="I96">
        <v>18141.642</v>
      </c>
    </row>
    <row r="97" spans="1:9" x14ac:dyDescent="0.2">
      <c r="A97" t="s">
        <v>385</v>
      </c>
      <c r="B97">
        <v>4010</v>
      </c>
      <c r="C97" t="s">
        <v>134</v>
      </c>
      <c r="D97" t="s">
        <v>144</v>
      </c>
      <c r="E97" t="s">
        <v>145</v>
      </c>
      <c r="F97">
        <v>2</v>
      </c>
      <c r="G97">
        <v>7346.6769230769241</v>
      </c>
      <c r="H97">
        <v>8</v>
      </c>
      <c r="I97">
        <v>7346.6769230769241</v>
      </c>
    </row>
    <row r="98" spans="1:9" x14ac:dyDescent="0.2">
      <c r="A98" t="s">
        <v>40</v>
      </c>
      <c r="B98">
        <v>9510</v>
      </c>
      <c r="C98" t="s">
        <v>148</v>
      </c>
      <c r="D98" t="s">
        <v>149</v>
      </c>
      <c r="E98" t="s">
        <v>150</v>
      </c>
      <c r="F98">
        <v>0.8</v>
      </c>
      <c r="G98">
        <v>0.7054999999999999</v>
      </c>
      <c r="H98">
        <v>16</v>
      </c>
      <c r="I98">
        <v>0.7054999999999999</v>
      </c>
    </row>
    <row r="99" spans="1:9" x14ac:dyDescent="0.2">
      <c r="A99" t="s">
        <v>33</v>
      </c>
      <c r="B99">
        <v>8720</v>
      </c>
      <c r="C99" t="s">
        <v>72</v>
      </c>
      <c r="D99" t="s">
        <v>73</v>
      </c>
      <c r="E99" t="s">
        <v>74</v>
      </c>
      <c r="F99">
        <v>5</v>
      </c>
      <c r="G99">
        <v>0.57783935999999991</v>
      </c>
      <c r="H99">
        <v>12</v>
      </c>
      <c r="I99">
        <v>0.57783935999999991</v>
      </c>
    </row>
    <row r="100" spans="1:9" x14ac:dyDescent="0.2">
      <c r="A100" t="s">
        <v>33</v>
      </c>
      <c r="B100">
        <v>8720</v>
      </c>
      <c r="C100" t="s">
        <v>72</v>
      </c>
      <c r="D100" t="s">
        <v>81</v>
      </c>
      <c r="E100" t="s">
        <v>74</v>
      </c>
      <c r="F100">
        <v>65</v>
      </c>
      <c r="G100">
        <v>0.76359999999999995</v>
      </c>
      <c r="H100">
        <v>12</v>
      </c>
      <c r="I100">
        <v>0.76359999999999995</v>
      </c>
    </row>
    <row r="101" spans="1:9" x14ac:dyDescent="0.2">
      <c r="A101" t="s">
        <v>42</v>
      </c>
      <c r="B101">
        <v>5310</v>
      </c>
      <c r="C101" t="s">
        <v>214</v>
      </c>
      <c r="D101" t="s">
        <v>216</v>
      </c>
      <c r="E101" t="s">
        <v>199</v>
      </c>
      <c r="F101">
        <v>3</v>
      </c>
      <c r="G101">
        <v>0.66400000000000003</v>
      </c>
      <c r="H101">
        <v>5</v>
      </c>
      <c r="I101">
        <v>0.66400000000000003</v>
      </c>
    </row>
    <row r="102" spans="1:9" x14ac:dyDescent="0.2">
      <c r="A102" t="s">
        <v>41</v>
      </c>
      <c r="B102">
        <v>6310</v>
      </c>
      <c r="C102" t="s">
        <v>206</v>
      </c>
      <c r="D102" t="s">
        <v>207</v>
      </c>
      <c r="E102" t="s">
        <v>208</v>
      </c>
      <c r="F102">
        <v>2</v>
      </c>
      <c r="G102">
        <v>4.6314000000000002</v>
      </c>
      <c r="H102">
        <v>6</v>
      </c>
      <c r="I102">
        <v>4.6314000000000002</v>
      </c>
    </row>
    <row r="103" spans="1:9" x14ac:dyDescent="0.2">
      <c r="A103" t="s">
        <v>42</v>
      </c>
      <c r="B103">
        <v>5310</v>
      </c>
      <c r="C103" t="s">
        <v>214</v>
      </c>
      <c r="D103" t="s">
        <v>215</v>
      </c>
      <c r="E103" t="s">
        <v>208</v>
      </c>
      <c r="F103">
        <v>0.5</v>
      </c>
      <c r="G103">
        <v>1.42898112</v>
      </c>
      <c r="H103">
        <v>5</v>
      </c>
      <c r="I103">
        <v>1.42898112</v>
      </c>
    </row>
    <row r="104" spans="1:9" x14ac:dyDescent="0.2">
      <c r="A104" t="s">
        <v>41</v>
      </c>
      <c r="B104">
        <v>5410</v>
      </c>
      <c r="C104" t="s">
        <v>196</v>
      </c>
      <c r="D104" t="s">
        <v>198</v>
      </c>
      <c r="E104" t="s">
        <v>199</v>
      </c>
      <c r="F104">
        <v>4</v>
      </c>
      <c r="G104">
        <v>0.66373439999999995</v>
      </c>
      <c r="H104">
        <v>4</v>
      </c>
      <c r="I104">
        <v>0.66373439999999995</v>
      </c>
    </row>
    <row r="105" spans="1:9" x14ac:dyDescent="0.2">
      <c r="A105" t="s">
        <v>42</v>
      </c>
      <c r="B105">
        <v>5310</v>
      </c>
      <c r="C105" t="s">
        <v>214</v>
      </c>
      <c r="D105" t="s">
        <v>219</v>
      </c>
      <c r="E105" t="s">
        <v>199</v>
      </c>
      <c r="F105">
        <v>2.5</v>
      </c>
      <c r="G105">
        <v>1.4774</v>
      </c>
      <c r="H105">
        <v>5</v>
      </c>
      <c r="I105">
        <v>1.4774</v>
      </c>
    </row>
    <row r="106" spans="1:9" x14ac:dyDescent="0.2">
      <c r="A106" t="s">
        <v>42</v>
      </c>
      <c r="B106">
        <v>5310</v>
      </c>
      <c r="C106" t="s">
        <v>214</v>
      </c>
      <c r="D106" t="s">
        <v>217</v>
      </c>
      <c r="E106" t="s">
        <v>199</v>
      </c>
      <c r="F106">
        <v>0.5</v>
      </c>
      <c r="G106">
        <v>4.2164000000000001</v>
      </c>
      <c r="H106">
        <v>5</v>
      </c>
      <c r="I106">
        <v>4.2164000000000001</v>
      </c>
    </row>
    <row r="107" spans="1:9" x14ac:dyDescent="0.2">
      <c r="A107" t="s">
        <v>36</v>
      </c>
      <c r="B107">
        <v>8010</v>
      </c>
      <c r="C107" t="s">
        <v>115</v>
      </c>
      <c r="D107" t="s">
        <v>122</v>
      </c>
      <c r="E107" t="s">
        <v>76</v>
      </c>
      <c r="F107">
        <v>6</v>
      </c>
      <c r="G107">
        <v>14.915099999999999</v>
      </c>
      <c r="H107">
        <v>12</v>
      </c>
      <c r="I107">
        <v>14.915099999999999</v>
      </c>
    </row>
    <row r="108" spans="1:9" x14ac:dyDescent="0.2">
      <c r="A108" t="s">
        <v>50</v>
      </c>
      <c r="B108" t="s">
        <v>50</v>
      </c>
      <c r="C108" t="s">
        <v>269</v>
      </c>
      <c r="D108" t="s">
        <v>122</v>
      </c>
      <c r="E108" t="s">
        <v>276</v>
      </c>
      <c r="F108">
        <v>12</v>
      </c>
      <c r="G108">
        <v>14.915099999999999</v>
      </c>
      <c r="H108">
        <v>8</v>
      </c>
      <c r="I108">
        <v>14.915099999999999</v>
      </c>
    </row>
    <row r="109" spans="1:9" x14ac:dyDescent="0.2">
      <c r="A109" t="s">
        <v>42</v>
      </c>
      <c r="B109">
        <v>5610</v>
      </c>
      <c r="C109" t="s">
        <v>230</v>
      </c>
      <c r="D109" t="s">
        <v>231</v>
      </c>
      <c r="E109" t="s">
        <v>208</v>
      </c>
      <c r="F109">
        <v>4</v>
      </c>
      <c r="G109">
        <v>2.0832999999999999</v>
      </c>
      <c r="H109">
        <v>2</v>
      </c>
      <c r="I109">
        <v>2.0832999999999999</v>
      </c>
    </row>
    <row r="110" spans="1:9" x14ac:dyDescent="0.2">
      <c r="A110" t="s">
        <v>42</v>
      </c>
      <c r="B110">
        <v>5310</v>
      </c>
      <c r="C110" t="s">
        <v>214</v>
      </c>
      <c r="D110" t="s">
        <v>220</v>
      </c>
      <c r="E110" t="s">
        <v>208</v>
      </c>
      <c r="F110">
        <v>1</v>
      </c>
      <c r="G110">
        <v>3.7267000000000001</v>
      </c>
      <c r="H110">
        <v>5</v>
      </c>
      <c r="I110">
        <v>3.7267000000000001</v>
      </c>
    </row>
    <row r="111" spans="1:9" x14ac:dyDescent="0.2">
      <c r="A111" t="s">
        <v>52</v>
      </c>
      <c r="B111">
        <v>2320</v>
      </c>
      <c r="C111" t="s">
        <v>322</v>
      </c>
      <c r="D111" t="s">
        <v>275</v>
      </c>
      <c r="E111" t="s">
        <v>276</v>
      </c>
      <c r="F111">
        <v>1</v>
      </c>
      <c r="G111">
        <v>9.0814483199999998</v>
      </c>
      <c r="H111">
        <v>8</v>
      </c>
      <c r="I111">
        <v>9.0814483199999998</v>
      </c>
    </row>
    <row r="112" spans="1:9" x14ac:dyDescent="0.2">
      <c r="A112" t="s">
        <v>50</v>
      </c>
      <c r="B112" t="s">
        <v>50</v>
      </c>
      <c r="C112" t="s">
        <v>269</v>
      </c>
      <c r="D112" t="s">
        <v>275</v>
      </c>
      <c r="E112" t="s">
        <v>276</v>
      </c>
      <c r="F112">
        <v>2</v>
      </c>
      <c r="G112">
        <v>9.0814483199999998</v>
      </c>
      <c r="H112">
        <v>8</v>
      </c>
      <c r="I112">
        <v>9.0814483199999998</v>
      </c>
    </row>
    <row r="113" spans="1:9" x14ac:dyDescent="0.2">
      <c r="A113" t="s">
        <v>40</v>
      </c>
      <c r="B113">
        <v>9510</v>
      </c>
      <c r="C113" t="s">
        <v>148</v>
      </c>
      <c r="D113" t="s">
        <v>159</v>
      </c>
      <c r="E113" t="s">
        <v>117</v>
      </c>
      <c r="F113">
        <v>3.2</v>
      </c>
      <c r="G113">
        <v>11.976899999999999</v>
      </c>
      <c r="H113">
        <v>16</v>
      </c>
      <c r="I113">
        <v>11.976899999999999</v>
      </c>
    </row>
    <row r="114" spans="1:9" x14ac:dyDescent="0.2">
      <c r="A114" t="s">
        <v>36</v>
      </c>
      <c r="B114">
        <v>8010</v>
      </c>
      <c r="C114" t="s">
        <v>115</v>
      </c>
      <c r="D114" t="s">
        <v>120</v>
      </c>
      <c r="E114" t="s">
        <v>117</v>
      </c>
      <c r="F114">
        <v>6</v>
      </c>
      <c r="G114">
        <v>1.5603999999999998</v>
      </c>
      <c r="H114">
        <v>12</v>
      </c>
      <c r="I114">
        <v>1.5603999999999998</v>
      </c>
    </row>
    <row r="115" spans="1:9" x14ac:dyDescent="0.2">
      <c r="A115" t="s">
        <v>50</v>
      </c>
      <c r="B115" t="s">
        <v>50</v>
      </c>
      <c r="C115" t="s">
        <v>269</v>
      </c>
      <c r="D115" t="s">
        <v>120</v>
      </c>
      <c r="E115" t="s">
        <v>278</v>
      </c>
      <c r="F115">
        <v>25</v>
      </c>
      <c r="G115">
        <v>1.5603999999999998</v>
      </c>
      <c r="H115">
        <v>8</v>
      </c>
      <c r="I115">
        <v>1.5603999999999998</v>
      </c>
    </row>
    <row r="116" spans="1:9" x14ac:dyDescent="0.2">
      <c r="A116" t="s">
        <v>42</v>
      </c>
      <c r="B116">
        <v>5310</v>
      </c>
      <c r="C116" t="s">
        <v>214</v>
      </c>
      <c r="D116" t="s">
        <v>200</v>
      </c>
      <c r="E116" t="s">
        <v>199</v>
      </c>
      <c r="F116">
        <v>2.5</v>
      </c>
      <c r="G116">
        <v>0.66373439999999995</v>
      </c>
      <c r="H116">
        <v>5</v>
      </c>
      <c r="I116">
        <v>0.66373439999999995</v>
      </c>
    </row>
    <row r="117" spans="1:9" x14ac:dyDescent="0.2">
      <c r="A117" t="s">
        <v>41</v>
      </c>
      <c r="B117">
        <v>5410</v>
      </c>
      <c r="C117" t="s">
        <v>196</v>
      </c>
      <c r="D117" t="s">
        <v>200</v>
      </c>
      <c r="E117" t="s">
        <v>199</v>
      </c>
      <c r="F117">
        <v>4</v>
      </c>
      <c r="G117">
        <v>0.66373439999999995</v>
      </c>
      <c r="H117">
        <v>4</v>
      </c>
      <c r="I117">
        <v>0.66373439999999995</v>
      </c>
    </row>
    <row r="118" spans="1:9" x14ac:dyDescent="0.2">
      <c r="A118" t="s">
        <v>42</v>
      </c>
      <c r="B118">
        <v>5310</v>
      </c>
      <c r="C118" t="s">
        <v>214</v>
      </c>
      <c r="D118" t="s">
        <v>221</v>
      </c>
      <c r="E118" t="s">
        <v>199</v>
      </c>
      <c r="F118">
        <v>6</v>
      </c>
      <c r="G118">
        <v>0.97939999999999994</v>
      </c>
      <c r="H118">
        <v>5</v>
      </c>
      <c r="I118">
        <v>0.97939999999999994</v>
      </c>
    </row>
    <row r="119" spans="1:9" x14ac:dyDescent="0.2">
      <c r="A119" t="s">
        <v>33</v>
      </c>
      <c r="B119">
        <v>8720</v>
      </c>
      <c r="C119" t="s">
        <v>72</v>
      </c>
      <c r="D119" t="s">
        <v>75</v>
      </c>
      <c r="E119" t="s">
        <v>76</v>
      </c>
      <c r="F119">
        <v>75</v>
      </c>
      <c r="G119">
        <v>0.1153846153846154</v>
      </c>
      <c r="H119">
        <v>12</v>
      </c>
      <c r="I119">
        <v>0.1153846153846154</v>
      </c>
    </row>
    <row r="120" spans="1:9" x14ac:dyDescent="0.2">
      <c r="A120" t="s">
        <v>43</v>
      </c>
      <c r="B120">
        <v>6110</v>
      </c>
      <c r="C120" t="s">
        <v>235</v>
      </c>
      <c r="D120" t="s">
        <v>75</v>
      </c>
      <c r="E120" t="s">
        <v>247</v>
      </c>
      <c r="F120">
        <v>8</v>
      </c>
      <c r="G120">
        <v>0.1153846153846154</v>
      </c>
      <c r="H120">
        <v>16</v>
      </c>
      <c r="I120">
        <v>0.1153846153846154</v>
      </c>
    </row>
    <row r="121" spans="1:9" x14ac:dyDescent="0.2">
      <c r="A121" t="s">
        <v>51</v>
      </c>
      <c r="B121">
        <v>8210</v>
      </c>
      <c r="C121" t="s">
        <v>307</v>
      </c>
      <c r="D121" t="s">
        <v>75</v>
      </c>
      <c r="E121" t="s">
        <v>313</v>
      </c>
      <c r="F121">
        <v>3</v>
      </c>
      <c r="G121">
        <v>0.1153846153846154</v>
      </c>
      <c r="H121">
        <v>4</v>
      </c>
      <c r="I121">
        <v>0.1153846153846154</v>
      </c>
    </row>
    <row r="122" spans="1:9" x14ac:dyDescent="0.2">
      <c r="A122" t="s">
        <v>50</v>
      </c>
      <c r="B122" t="s">
        <v>50</v>
      </c>
      <c r="C122" t="s">
        <v>269</v>
      </c>
      <c r="D122" t="s">
        <v>300</v>
      </c>
      <c r="E122" t="s">
        <v>273</v>
      </c>
      <c r="F122">
        <v>12</v>
      </c>
      <c r="G122">
        <v>60.589999999999996</v>
      </c>
      <c r="H122">
        <v>8</v>
      </c>
      <c r="I122">
        <v>60.589999999999996</v>
      </c>
    </row>
    <row r="123" spans="1:9" x14ac:dyDescent="0.2">
      <c r="A123" t="s">
        <v>51</v>
      </c>
      <c r="B123">
        <v>8210</v>
      </c>
      <c r="C123" t="s">
        <v>307</v>
      </c>
      <c r="D123" t="s">
        <v>310</v>
      </c>
      <c r="E123" t="s">
        <v>273</v>
      </c>
      <c r="F123">
        <v>1</v>
      </c>
      <c r="G123">
        <v>0.33200000000000002</v>
      </c>
      <c r="H123">
        <v>4</v>
      </c>
      <c r="I123">
        <v>0.33200000000000002</v>
      </c>
    </row>
    <row r="124" spans="1:9" x14ac:dyDescent="0.2">
      <c r="A124" t="s">
        <v>51</v>
      </c>
      <c r="B124">
        <v>8210</v>
      </c>
      <c r="C124" t="s">
        <v>307</v>
      </c>
      <c r="D124" t="s">
        <v>314</v>
      </c>
      <c r="E124" t="s">
        <v>273</v>
      </c>
      <c r="F124">
        <v>36</v>
      </c>
      <c r="G124">
        <v>0.45650000000000002</v>
      </c>
      <c r="H124">
        <v>4</v>
      </c>
      <c r="I124">
        <v>0.45650000000000002</v>
      </c>
    </row>
    <row r="125" spans="1:9" x14ac:dyDescent="0.2">
      <c r="A125" t="s">
        <v>51</v>
      </c>
      <c r="B125">
        <v>8210</v>
      </c>
      <c r="C125" t="s">
        <v>307</v>
      </c>
      <c r="D125" t="s">
        <v>314</v>
      </c>
      <c r="E125" t="s">
        <v>315</v>
      </c>
      <c r="F125">
        <v>12</v>
      </c>
      <c r="G125">
        <v>0.45650000000000002</v>
      </c>
      <c r="H125">
        <v>4</v>
      </c>
      <c r="I125">
        <v>0.45650000000000002</v>
      </c>
    </row>
    <row r="126" spans="1:9" x14ac:dyDescent="0.2">
      <c r="A126" t="s">
        <v>43</v>
      </c>
      <c r="B126">
        <v>6110</v>
      </c>
      <c r="C126" t="s">
        <v>235</v>
      </c>
      <c r="D126" t="s">
        <v>245</v>
      </c>
      <c r="E126" t="s">
        <v>246</v>
      </c>
      <c r="F126">
        <v>8</v>
      </c>
      <c r="G126">
        <v>0.44819999999999999</v>
      </c>
      <c r="H126">
        <v>16</v>
      </c>
      <c r="I126">
        <v>0.44819999999999999</v>
      </c>
    </row>
    <row r="127" spans="1:9" x14ac:dyDescent="0.2">
      <c r="A127" t="s">
        <v>51</v>
      </c>
      <c r="B127">
        <v>8210</v>
      </c>
      <c r="C127" t="s">
        <v>307</v>
      </c>
      <c r="D127" t="s">
        <v>311</v>
      </c>
      <c r="E127" t="s">
        <v>273</v>
      </c>
      <c r="F127">
        <v>52</v>
      </c>
      <c r="G127">
        <v>1.5935999999999999</v>
      </c>
      <c r="H127">
        <v>4</v>
      </c>
      <c r="I127">
        <v>1.5935999999999999</v>
      </c>
    </row>
    <row r="128" spans="1:9" x14ac:dyDescent="0.2">
      <c r="A128" t="s">
        <v>42</v>
      </c>
      <c r="B128">
        <v>5610</v>
      </c>
      <c r="C128" t="s">
        <v>230</v>
      </c>
      <c r="D128" t="s">
        <v>232</v>
      </c>
      <c r="E128" t="s">
        <v>119</v>
      </c>
      <c r="F128">
        <v>7</v>
      </c>
      <c r="G128">
        <v>1.5935999999999999</v>
      </c>
      <c r="H128">
        <v>2</v>
      </c>
      <c r="I128">
        <v>1.5935999999999999</v>
      </c>
    </row>
    <row r="129" spans="1:9" x14ac:dyDescent="0.2">
      <c r="A129" t="s">
        <v>36</v>
      </c>
      <c r="B129">
        <v>8010</v>
      </c>
      <c r="C129" t="s">
        <v>115</v>
      </c>
      <c r="D129" t="s">
        <v>118</v>
      </c>
      <c r="E129" t="s">
        <v>119</v>
      </c>
      <c r="F129">
        <v>1</v>
      </c>
      <c r="G129">
        <v>0.83</v>
      </c>
      <c r="H129">
        <v>12</v>
      </c>
      <c r="I129">
        <v>0.83</v>
      </c>
    </row>
    <row r="130" spans="1:9" x14ac:dyDescent="0.2">
      <c r="A130" t="s">
        <v>40</v>
      </c>
      <c r="B130">
        <v>9510</v>
      </c>
      <c r="C130" t="s">
        <v>148</v>
      </c>
      <c r="D130" t="s">
        <v>153</v>
      </c>
      <c r="E130" t="s">
        <v>119</v>
      </c>
      <c r="F130">
        <v>4.8</v>
      </c>
      <c r="G130">
        <v>1.11663552</v>
      </c>
      <c r="H130">
        <v>16</v>
      </c>
      <c r="I130">
        <v>1.11663552</v>
      </c>
    </row>
    <row r="131" spans="1:9" x14ac:dyDescent="0.2">
      <c r="A131" t="s">
        <v>40</v>
      </c>
      <c r="B131">
        <v>9510</v>
      </c>
      <c r="C131" t="s">
        <v>148</v>
      </c>
      <c r="D131" t="s">
        <v>174</v>
      </c>
      <c r="E131" t="s">
        <v>119</v>
      </c>
      <c r="F131">
        <v>117.6</v>
      </c>
      <c r="G131">
        <v>1.2616000000000001</v>
      </c>
      <c r="H131">
        <v>16</v>
      </c>
      <c r="I131">
        <v>1.2616000000000001</v>
      </c>
    </row>
    <row r="132" spans="1:9" x14ac:dyDescent="0.2">
      <c r="A132" t="s">
        <v>41</v>
      </c>
      <c r="B132">
        <v>5410</v>
      </c>
      <c r="C132" t="s">
        <v>196</v>
      </c>
      <c r="D132" t="s">
        <v>201</v>
      </c>
      <c r="E132" t="s">
        <v>76</v>
      </c>
      <c r="F132">
        <v>16</v>
      </c>
      <c r="G132">
        <v>0.22645055999999994</v>
      </c>
      <c r="H132">
        <v>4</v>
      </c>
      <c r="I132">
        <v>0.22645055999999994</v>
      </c>
    </row>
    <row r="133" spans="1:9" x14ac:dyDescent="0.2">
      <c r="A133" t="s">
        <v>40</v>
      </c>
      <c r="B133">
        <v>9510</v>
      </c>
      <c r="C133" t="s">
        <v>148</v>
      </c>
      <c r="D133" t="s">
        <v>166</v>
      </c>
      <c r="E133" t="s">
        <v>76</v>
      </c>
      <c r="F133">
        <v>84</v>
      </c>
      <c r="G133">
        <v>0.97109999999999985</v>
      </c>
      <c r="H133">
        <v>16</v>
      </c>
      <c r="I133">
        <v>0.97109999999999985</v>
      </c>
    </row>
    <row r="134" spans="1:9" x14ac:dyDescent="0.2">
      <c r="A134" t="s">
        <v>43</v>
      </c>
      <c r="B134">
        <v>6110</v>
      </c>
      <c r="C134" t="s">
        <v>235</v>
      </c>
      <c r="D134" t="s">
        <v>197</v>
      </c>
      <c r="E134" t="s">
        <v>117</v>
      </c>
      <c r="F134">
        <v>8</v>
      </c>
      <c r="G134">
        <v>7.4699999999999989E-2</v>
      </c>
      <c r="H134">
        <v>16</v>
      </c>
      <c r="I134">
        <v>7.4699999999999989E-2</v>
      </c>
    </row>
    <row r="135" spans="1:9" x14ac:dyDescent="0.2">
      <c r="A135" t="s">
        <v>41</v>
      </c>
      <c r="B135">
        <v>5410</v>
      </c>
      <c r="C135" t="s">
        <v>196</v>
      </c>
      <c r="D135" t="s">
        <v>197</v>
      </c>
      <c r="E135" t="s">
        <v>117</v>
      </c>
      <c r="F135">
        <v>16</v>
      </c>
      <c r="G135">
        <v>7.4699999999999989E-2</v>
      </c>
      <c r="H135">
        <v>4</v>
      </c>
      <c r="I135">
        <v>7.4699999999999989E-2</v>
      </c>
    </row>
    <row r="136" spans="1:9" x14ac:dyDescent="0.2">
      <c r="A136" t="s">
        <v>51</v>
      </c>
      <c r="B136">
        <v>8210</v>
      </c>
      <c r="C136" t="s">
        <v>307</v>
      </c>
      <c r="D136" t="s">
        <v>197</v>
      </c>
      <c r="E136" t="s">
        <v>278</v>
      </c>
      <c r="F136">
        <v>8</v>
      </c>
      <c r="G136">
        <v>7.4699999999999989E-2</v>
      </c>
      <c r="H136">
        <v>4</v>
      </c>
      <c r="I136">
        <v>7.4699999999999989E-2</v>
      </c>
    </row>
    <row r="137" spans="1:9" x14ac:dyDescent="0.2">
      <c r="A137" t="s">
        <v>42</v>
      </c>
      <c r="B137">
        <v>5610</v>
      </c>
      <c r="C137" t="s">
        <v>230</v>
      </c>
      <c r="D137" t="s">
        <v>116</v>
      </c>
      <c r="E137" t="s">
        <v>117</v>
      </c>
      <c r="F137">
        <v>7</v>
      </c>
      <c r="G137">
        <v>0.25729999999999997</v>
      </c>
      <c r="H137">
        <v>2</v>
      </c>
      <c r="I137">
        <v>0.25729999999999997</v>
      </c>
    </row>
    <row r="138" spans="1:9" x14ac:dyDescent="0.2">
      <c r="A138" t="s">
        <v>41</v>
      </c>
      <c r="B138">
        <v>6310</v>
      </c>
      <c r="C138" t="s">
        <v>206</v>
      </c>
      <c r="D138" t="s">
        <v>116</v>
      </c>
      <c r="E138" t="s">
        <v>117</v>
      </c>
      <c r="F138">
        <v>8</v>
      </c>
      <c r="G138">
        <v>0.25729999999999997</v>
      </c>
      <c r="H138">
        <v>6</v>
      </c>
      <c r="I138">
        <v>0.25729999999999997</v>
      </c>
    </row>
    <row r="139" spans="1:9" x14ac:dyDescent="0.2">
      <c r="A139" t="s">
        <v>40</v>
      </c>
      <c r="B139">
        <v>9510</v>
      </c>
      <c r="C139" t="s">
        <v>148</v>
      </c>
      <c r="D139" t="s">
        <v>116</v>
      </c>
      <c r="E139" t="s">
        <v>117</v>
      </c>
      <c r="F139">
        <v>168</v>
      </c>
      <c r="G139">
        <v>0.25729999999999997</v>
      </c>
      <c r="H139">
        <v>16</v>
      </c>
      <c r="I139">
        <v>0.25729999999999997</v>
      </c>
    </row>
    <row r="140" spans="1:9" x14ac:dyDescent="0.2">
      <c r="A140" t="s">
        <v>36</v>
      </c>
      <c r="B140">
        <v>8010</v>
      </c>
      <c r="C140" t="s">
        <v>115</v>
      </c>
      <c r="D140" t="s">
        <v>116</v>
      </c>
      <c r="E140" t="s">
        <v>117</v>
      </c>
      <c r="F140">
        <v>1</v>
      </c>
      <c r="G140">
        <v>0.25729999999999997</v>
      </c>
      <c r="H140">
        <v>12</v>
      </c>
      <c r="I140">
        <v>0.25729999999999997</v>
      </c>
    </row>
    <row r="141" spans="1:9" x14ac:dyDescent="0.2">
      <c r="A141" t="s">
        <v>40</v>
      </c>
      <c r="B141">
        <v>9510</v>
      </c>
      <c r="C141" t="s">
        <v>148</v>
      </c>
      <c r="D141" t="s">
        <v>154</v>
      </c>
      <c r="E141" t="s">
        <v>117</v>
      </c>
      <c r="F141">
        <v>4.8</v>
      </c>
      <c r="G141">
        <v>4.3657999999999992</v>
      </c>
      <c r="H141">
        <v>16</v>
      </c>
      <c r="I141">
        <v>4.3657999999999992</v>
      </c>
    </row>
    <row r="142" spans="1:9" x14ac:dyDescent="0.2">
      <c r="A142" t="s">
        <v>52</v>
      </c>
      <c r="B142">
        <v>2320</v>
      </c>
      <c r="C142" t="s">
        <v>322</v>
      </c>
      <c r="D142" t="s">
        <v>154</v>
      </c>
      <c r="E142" t="s">
        <v>278</v>
      </c>
      <c r="F142">
        <v>1</v>
      </c>
      <c r="G142">
        <v>4.3657999999999992</v>
      </c>
      <c r="H142">
        <v>8</v>
      </c>
      <c r="I142">
        <v>4.3657999999999992</v>
      </c>
    </row>
    <row r="143" spans="1:9" x14ac:dyDescent="0.2">
      <c r="A143" t="s">
        <v>33</v>
      </c>
      <c r="B143">
        <v>8720</v>
      </c>
      <c r="C143" t="s">
        <v>72</v>
      </c>
      <c r="D143" t="s">
        <v>78</v>
      </c>
      <c r="E143" t="s">
        <v>76</v>
      </c>
      <c r="F143">
        <v>20</v>
      </c>
      <c r="G143">
        <v>0.71839487999999996</v>
      </c>
      <c r="H143">
        <v>12</v>
      </c>
      <c r="I143">
        <v>0.71839487999999996</v>
      </c>
    </row>
    <row r="144" spans="1:9" x14ac:dyDescent="0.2">
      <c r="A144" t="s">
        <v>42</v>
      </c>
      <c r="B144">
        <v>5610</v>
      </c>
      <c r="C144" t="s">
        <v>230</v>
      </c>
      <c r="D144" t="s">
        <v>78</v>
      </c>
      <c r="E144" t="s">
        <v>76</v>
      </c>
      <c r="F144">
        <v>7</v>
      </c>
      <c r="G144">
        <v>0.71839487999999996</v>
      </c>
      <c r="H144">
        <v>2</v>
      </c>
      <c r="I144">
        <v>0.71839487999999996</v>
      </c>
    </row>
    <row r="145" spans="1:9" x14ac:dyDescent="0.2">
      <c r="A145" t="s">
        <v>41</v>
      </c>
      <c r="B145">
        <v>6310</v>
      </c>
      <c r="C145" t="s">
        <v>206</v>
      </c>
      <c r="D145" t="s">
        <v>78</v>
      </c>
      <c r="E145" t="s">
        <v>76</v>
      </c>
      <c r="F145">
        <v>8</v>
      </c>
      <c r="G145">
        <v>0.71839487999999996</v>
      </c>
      <c r="H145">
        <v>6</v>
      </c>
      <c r="I145">
        <v>0.71839487999999996</v>
      </c>
    </row>
    <row r="146" spans="1:9" x14ac:dyDescent="0.2">
      <c r="A146" t="s">
        <v>33</v>
      </c>
      <c r="B146">
        <v>8705</v>
      </c>
      <c r="C146" t="s">
        <v>61</v>
      </c>
      <c r="D146" t="s">
        <v>62</v>
      </c>
      <c r="E146" t="s">
        <v>63</v>
      </c>
      <c r="F146">
        <v>1</v>
      </c>
      <c r="G146">
        <v>0.34860000000000002</v>
      </c>
      <c r="H146">
        <v>12</v>
      </c>
      <c r="I146">
        <v>0.34860000000000002</v>
      </c>
    </row>
    <row r="147" spans="1:9" x14ac:dyDescent="0.2">
      <c r="A147" t="s">
        <v>52</v>
      </c>
      <c r="B147">
        <v>2320</v>
      </c>
      <c r="C147" t="s">
        <v>322</v>
      </c>
      <c r="D147" t="s">
        <v>62</v>
      </c>
      <c r="E147" t="s">
        <v>323</v>
      </c>
      <c r="F147">
        <v>1</v>
      </c>
      <c r="G147">
        <v>0.34859999999999997</v>
      </c>
      <c r="H147">
        <v>8</v>
      </c>
      <c r="I147">
        <v>0.34859999999999997</v>
      </c>
    </row>
    <row r="148" spans="1:9" x14ac:dyDescent="0.2">
      <c r="A148" t="s">
        <v>52</v>
      </c>
      <c r="B148">
        <v>2320</v>
      </c>
      <c r="C148" t="s">
        <v>322</v>
      </c>
      <c r="D148" t="s">
        <v>288</v>
      </c>
      <c r="E148" t="s">
        <v>289</v>
      </c>
      <c r="F148">
        <v>1</v>
      </c>
      <c r="G148">
        <v>7.3401215999999998</v>
      </c>
      <c r="H148">
        <v>8</v>
      </c>
      <c r="I148">
        <v>7.3401215999999998</v>
      </c>
    </row>
    <row r="149" spans="1:9" x14ac:dyDescent="0.2">
      <c r="A149" t="s">
        <v>50</v>
      </c>
      <c r="B149" t="s">
        <v>50</v>
      </c>
      <c r="C149" t="s">
        <v>269</v>
      </c>
      <c r="D149" t="s">
        <v>288</v>
      </c>
      <c r="E149" t="s">
        <v>289</v>
      </c>
      <c r="F149">
        <v>2</v>
      </c>
      <c r="G149">
        <v>7.3401215999999998</v>
      </c>
      <c r="H149">
        <v>8</v>
      </c>
      <c r="I149">
        <v>7.3401215999999998</v>
      </c>
    </row>
    <row r="150" spans="1:9" x14ac:dyDescent="0.2">
      <c r="A150" t="s">
        <v>52</v>
      </c>
      <c r="B150">
        <v>2320</v>
      </c>
      <c r="C150" t="s">
        <v>322</v>
      </c>
      <c r="D150" t="s">
        <v>326</v>
      </c>
      <c r="E150" t="s">
        <v>278</v>
      </c>
      <c r="F150">
        <v>1</v>
      </c>
      <c r="G150">
        <v>3.97459776</v>
      </c>
      <c r="H150">
        <v>8</v>
      </c>
      <c r="I150">
        <v>3.97459776</v>
      </c>
    </row>
    <row r="151" spans="1:9" x14ac:dyDescent="0.2">
      <c r="A151" t="s">
        <v>40</v>
      </c>
      <c r="B151">
        <v>9510</v>
      </c>
      <c r="C151" t="s">
        <v>148</v>
      </c>
      <c r="D151" t="s">
        <v>195</v>
      </c>
      <c r="E151" t="s">
        <v>117</v>
      </c>
      <c r="F151">
        <v>1.6</v>
      </c>
      <c r="G151">
        <v>1.0374999999999999</v>
      </c>
      <c r="H151">
        <v>16</v>
      </c>
      <c r="I151">
        <v>1.0374999999999999</v>
      </c>
    </row>
    <row r="152" spans="1:9" x14ac:dyDescent="0.2">
      <c r="A152" t="s">
        <v>33</v>
      </c>
      <c r="B152">
        <v>8720</v>
      </c>
      <c r="C152" t="s">
        <v>72</v>
      </c>
      <c r="D152" t="s">
        <v>80</v>
      </c>
      <c r="E152" t="s">
        <v>74</v>
      </c>
      <c r="F152">
        <v>40</v>
      </c>
      <c r="G152">
        <v>0.9544999999999999</v>
      </c>
      <c r="H152">
        <v>12</v>
      </c>
      <c r="I152">
        <v>0.9544999999999999</v>
      </c>
    </row>
    <row r="153" spans="1:9" x14ac:dyDescent="0.2">
      <c r="A153" t="s">
        <v>33</v>
      </c>
      <c r="B153">
        <v>8720</v>
      </c>
      <c r="C153" t="s">
        <v>72</v>
      </c>
      <c r="D153" t="s">
        <v>77</v>
      </c>
      <c r="E153" t="s">
        <v>74</v>
      </c>
      <c r="F153">
        <v>10</v>
      </c>
      <c r="G153">
        <v>1.3943999999999999</v>
      </c>
      <c r="H153">
        <v>12</v>
      </c>
      <c r="I153">
        <v>1.3943999999999999</v>
      </c>
    </row>
    <row r="154" spans="1:9" x14ac:dyDescent="0.2">
      <c r="A154" t="s">
        <v>33</v>
      </c>
      <c r="B154">
        <v>8720</v>
      </c>
      <c r="C154" t="s">
        <v>72</v>
      </c>
      <c r="D154" t="s">
        <v>79</v>
      </c>
      <c r="E154" t="s">
        <v>74</v>
      </c>
      <c r="F154">
        <v>15</v>
      </c>
      <c r="G154">
        <v>1.9307692307692308</v>
      </c>
      <c r="H154">
        <v>12</v>
      </c>
      <c r="I154">
        <v>1.9307692307692308</v>
      </c>
    </row>
    <row r="155" spans="1:9" x14ac:dyDescent="0.2">
      <c r="A155" t="s">
        <v>33</v>
      </c>
      <c r="B155">
        <v>8721</v>
      </c>
      <c r="C155" t="s">
        <v>72</v>
      </c>
      <c r="D155" t="s">
        <v>568</v>
      </c>
      <c r="I155">
        <v>4299</v>
      </c>
    </row>
    <row r="156" spans="1:9" x14ac:dyDescent="0.2">
      <c r="A156" t="s">
        <v>40</v>
      </c>
      <c r="B156">
        <v>9510</v>
      </c>
      <c r="C156" t="s">
        <v>148</v>
      </c>
      <c r="D156" t="s">
        <v>179</v>
      </c>
      <c r="E156" t="s">
        <v>119</v>
      </c>
      <c r="F156">
        <v>12</v>
      </c>
      <c r="G156">
        <v>32.444700000000005</v>
      </c>
      <c r="H156">
        <v>16</v>
      </c>
      <c r="I156">
        <v>32.444700000000005</v>
      </c>
    </row>
    <row r="157" spans="1:9" x14ac:dyDescent="0.2">
      <c r="A157" t="s">
        <v>42</v>
      </c>
      <c r="B157">
        <v>5310</v>
      </c>
      <c r="C157" t="s">
        <v>214</v>
      </c>
      <c r="D157" t="s">
        <v>222</v>
      </c>
      <c r="E157" t="s">
        <v>208</v>
      </c>
      <c r="F157">
        <v>1.5</v>
      </c>
      <c r="G157">
        <v>6.0672999999999995</v>
      </c>
      <c r="H157">
        <v>5</v>
      </c>
      <c r="I157">
        <v>6.0672999999999995</v>
      </c>
    </row>
    <row r="158" spans="1:9" x14ac:dyDescent="0.2">
      <c r="A158" t="s">
        <v>42</v>
      </c>
      <c r="B158">
        <v>5310</v>
      </c>
      <c r="C158" t="s">
        <v>214</v>
      </c>
      <c r="D158" t="s">
        <v>218</v>
      </c>
      <c r="E158" t="s">
        <v>208</v>
      </c>
      <c r="F158">
        <v>0.5</v>
      </c>
      <c r="G158">
        <v>7.3454999999999995</v>
      </c>
      <c r="H158">
        <v>5</v>
      </c>
      <c r="I158">
        <v>7.3454999999999995</v>
      </c>
    </row>
    <row r="159" spans="1:9" x14ac:dyDescent="0.2">
      <c r="A159" t="s">
        <v>42</v>
      </c>
      <c r="B159">
        <v>5310</v>
      </c>
      <c r="C159" t="s">
        <v>214</v>
      </c>
      <c r="D159" t="s">
        <v>227</v>
      </c>
      <c r="E159" t="s">
        <v>208</v>
      </c>
      <c r="F159">
        <v>4.5</v>
      </c>
      <c r="G159">
        <v>3.6307692307692312</v>
      </c>
      <c r="H159">
        <v>5</v>
      </c>
      <c r="I159">
        <v>3.6307692307692312</v>
      </c>
    </row>
    <row r="160" spans="1:9" x14ac:dyDescent="0.2">
      <c r="A160" t="s">
        <v>40</v>
      </c>
      <c r="B160">
        <v>9510</v>
      </c>
      <c r="C160" t="s">
        <v>148</v>
      </c>
      <c r="D160" t="s">
        <v>169</v>
      </c>
      <c r="E160" t="s">
        <v>119</v>
      </c>
      <c r="F160">
        <v>3.2</v>
      </c>
      <c r="G160">
        <v>26.078600000000002</v>
      </c>
      <c r="H160">
        <v>16</v>
      </c>
      <c r="I160">
        <v>26.078600000000002</v>
      </c>
    </row>
    <row r="161" spans="1:9" x14ac:dyDescent="0.2">
      <c r="A161" t="s">
        <v>51</v>
      </c>
      <c r="B161">
        <v>8210</v>
      </c>
      <c r="C161" t="s">
        <v>307</v>
      </c>
      <c r="D161" t="s">
        <v>312</v>
      </c>
      <c r="E161" t="s">
        <v>278</v>
      </c>
      <c r="F161">
        <v>3</v>
      </c>
      <c r="G161">
        <v>21.040500000000002</v>
      </c>
      <c r="H161">
        <v>4</v>
      </c>
      <c r="I161">
        <v>21.040500000000002</v>
      </c>
    </row>
    <row r="162" spans="1:9" x14ac:dyDescent="0.2">
      <c r="A162" t="s">
        <v>40</v>
      </c>
      <c r="B162">
        <v>9510</v>
      </c>
      <c r="C162" t="s">
        <v>148</v>
      </c>
      <c r="D162" t="s">
        <v>172</v>
      </c>
      <c r="E162" t="s">
        <v>173</v>
      </c>
      <c r="F162">
        <v>0.8</v>
      </c>
      <c r="G162">
        <v>158.41380000000001</v>
      </c>
      <c r="H162">
        <v>16</v>
      </c>
      <c r="I162">
        <v>158.41380000000001</v>
      </c>
    </row>
    <row r="163" spans="1:9" x14ac:dyDescent="0.2">
      <c r="A163" t="s">
        <v>52</v>
      </c>
      <c r="B163">
        <v>2320</v>
      </c>
      <c r="C163" t="s">
        <v>322</v>
      </c>
      <c r="D163" t="s">
        <v>274</v>
      </c>
      <c r="E163" t="s">
        <v>273</v>
      </c>
      <c r="F163">
        <v>1</v>
      </c>
      <c r="G163">
        <v>149.23091903999997</v>
      </c>
      <c r="H163">
        <v>8</v>
      </c>
      <c r="I163">
        <v>149.23091903999997</v>
      </c>
    </row>
    <row r="164" spans="1:9" x14ac:dyDescent="0.2">
      <c r="A164" t="s">
        <v>50</v>
      </c>
      <c r="B164" t="s">
        <v>50</v>
      </c>
      <c r="C164" t="s">
        <v>269</v>
      </c>
      <c r="D164" t="s">
        <v>274</v>
      </c>
      <c r="E164" t="s">
        <v>273</v>
      </c>
      <c r="F164">
        <v>1</v>
      </c>
      <c r="G164">
        <v>149.23091903999997</v>
      </c>
      <c r="H164">
        <v>8</v>
      </c>
      <c r="I164">
        <v>149.23091903999997</v>
      </c>
    </row>
    <row r="165" spans="1:9" x14ac:dyDescent="0.2">
      <c r="A165" t="s">
        <v>52</v>
      </c>
      <c r="B165">
        <v>2320</v>
      </c>
      <c r="C165" t="s">
        <v>322</v>
      </c>
      <c r="D165" t="s">
        <v>272</v>
      </c>
      <c r="E165" t="s">
        <v>273</v>
      </c>
      <c r="F165">
        <v>1</v>
      </c>
      <c r="G165">
        <v>170.11122239999997</v>
      </c>
      <c r="H165">
        <v>8</v>
      </c>
      <c r="I165">
        <v>170.11122239999997</v>
      </c>
    </row>
    <row r="166" spans="1:9" x14ac:dyDescent="0.2">
      <c r="A166" t="s">
        <v>50</v>
      </c>
      <c r="B166" t="s">
        <v>50</v>
      </c>
      <c r="C166" t="s">
        <v>269</v>
      </c>
      <c r="D166" t="s">
        <v>272</v>
      </c>
      <c r="E166" t="s">
        <v>273</v>
      </c>
      <c r="F166">
        <v>1</v>
      </c>
      <c r="G166">
        <v>170.11122239999997</v>
      </c>
      <c r="H166">
        <v>8</v>
      </c>
      <c r="I166">
        <v>170.11122239999997</v>
      </c>
    </row>
    <row r="167" spans="1:9" x14ac:dyDescent="0.2">
      <c r="A167" t="s">
        <v>50</v>
      </c>
      <c r="B167" t="s">
        <v>50</v>
      </c>
      <c r="C167" t="s">
        <v>269</v>
      </c>
      <c r="D167" t="s">
        <v>305</v>
      </c>
      <c r="E167" t="s">
        <v>273</v>
      </c>
      <c r="F167">
        <v>2</v>
      </c>
      <c r="G167">
        <v>71.189099999999996</v>
      </c>
      <c r="H167">
        <v>8</v>
      </c>
      <c r="I167">
        <v>71.189099999999996</v>
      </c>
    </row>
    <row r="168" spans="1:9" x14ac:dyDescent="0.2">
      <c r="A168" t="s">
        <v>50</v>
      </c>
      <c r="B168" t="s">
        <v>50</v>
      </c>
      <c r="C168" t="s">
        <v>269</v>
      </c>
      <c r="D168" t="s">
        <v>295</v>
      </c>
      <c r="E168" t="s">
        <v>273</v>
      </c>
      <c r="F168">
        <v>108</v>
      </c>
      <c r="G168">
        <v>54.886930560000003</v>
      </c>
      <c r="H168">
        <v>8</v>
      </c>
      <c r="I168">
        <v>54.886930560000003</v>
      </c>
    </row>
    <row r="169" spans="1:9" x14ac:dyDescent="0.2">
      <c r="A169" t="s">
        <v>37</v>
      </c>
      <c r="B169">
        <v>4010</v>
      </c>
      <c r="C169" t="s">
        <v>134</v>
      </c>
      <c r="D169" t="s">
        <v>139</v>
      </c>
      <c r="E169" t="s">
        <v>140</v>
      </c>
      <c r="F169">
        <v>2</v>
      </c>
      <c r="G169">
        <v>2054.4575</v>
      </c>
      <c r="H169">
        <v>8</v>
      </c>
      <c r="I169">
        <v>2054.4575</v>
      </c>
    </row>
    <row r="170" spans="1:9" x14ac:dyDescent="0.2">
      <c r="A170" t="s">
        <v>45</v>
      </c>
      <c r="B170">
        <v>7105</v>
      </c>
      <c r="C170" t="s">
        <v>252</v>
      </c>
      <c r="D170" t="s">
        <v>255</v>
      </c>
      <c r="E170" t="s">
        <v>256</v>
      </c>
      <c r="F170">
        <v>1</v>
      </c>
      <c r="G170">
        <v>18546.094615384613</v>
      </c>
      <c r="H170">
        <v>76</v>
      </c>
      <c r="I170">
        <v>18546.094615384613</v>
      </c>
    </row>
    <row r="171" spans="1:9" x14ac:dyDescent="0.2">
      <c r="A171" t="s">
        <v>46</v>
      </c>
      <c r="B171">
        <v>7105</v>
      </c>
      <c r="C171" t="s">
        <v>252</v>
      </c>
      <c r="D171" t="s">
        <v>257</v>
      </c>
      <c r="E171" t="s">
        <v>258</v>
      </c>
      <c r="F171">
        <v>1</v>
      </c>
      <c r="G171">
        <v>3325.9759999999997</v>
      </c>
      <c r="H171">
        <v>76</v>
      </c>
      <c r="I171">
        <v>3325.9759999999997</v>
      </c>
    </row>
    <row r="172" spans="1:9" x14ac:dyDescent="0.2">
      <c r="A172" t="s">
        <v>47</v>
      </c>
      <c r="B172">
        <v>7105</v>
      </c>
      <c r="C172" t="s">
        <v>252</v>
      </c>
      <c r="D172" t="s">
        <v>259</v>
      </c>
      <c r="E172" t="s">
        <v>258</v>
      </c>
      <c r="F172">
        <v>1</v>
      </c>
      <c r="G172">
        <v>3325.9759999999997</v>
      </c>
      <c r="H172">
        <v>76</v>
      </c>
      <c r="I172">
        <v>3325.9759999999997</v>
      </c>
    </row>
    <row r="173" spans="1:9" x14ac:dyDescent="0.2">
      <c r="A173" t="s">
        <v>48</v>
      </c>
      <c r="B173">
        <v>7107</v>
      </c>
      <c r="C173" t="s">
        <v>252</v>
      </c>
      <c r="D173" t="s">
        <v>264</v>
      </c>
      <c r="E173" t="s">
        <v>265</v>
      </c>
      <c r="F173">
        <v>1</v>
      </c>
      <c r="G173">
        <v>3466.73123076923</v>
      </c>
      <c r="H173">
        <v>24</v>
      </c>
      <c r="I173">
        <v>3466.73123076923</v>
      </c>
    </row>
    <row r="174" spans="1:9" x14ac:dyDescent="0.2">
      <c r="A174" t="s">
        <v>48</v>
      </c>
      <c r="B174">
        <v>7106</v>
      </c>
      <c r="C174" t="s">
        <v>252</v>
      </c>
      <c r="D174" t="s">
        <v>262</v>
      </c>
      <c r="E174" t="s">
        <v>263</v>
      </c>
      <c r="F174">
        <v>1</v>
      </c>
      <c r="G174">
        <v>3207.1966153846147</v>
      </c>
      <c r="H174">
        <v>24</v>
      </c>
      <c r="I174">
        <v>3207.1966153846147</v>
      </c>
    </row>
    <row r="175" spans="1:9" x14ac:dyDescent="0.2">
      <c r="A175" t="s">
        <v>48</v>
      </c>
      <c r="B175">
        <v>7105</v>
      </c>
      <c r="C175" t="s">
        <v>252</v>
      </c>
      <c r="D175" t="s">
        <v>260</v>
      </c>
      <c r="E175" t="s">
        <v>261</v>
      </c>
      <c r="F175">
        <v>1</v>
      </c>
      <c r="G175">
        <v>2908.2944615384613</v>
      </c>
      <c r="H175">
        <v>24</v>
      </c>
      <c r="I175">
        <v>2908.2944615384613</v>
      </c>
    </row>
    <row r="176" spans="1:9" x14ac:dyDescent="0.2">
      <c r="A176" t="s">
        <v>44</v>
      </c>
      <c r="B176">
        <v>7105</v>
      </c>
      <c r="C176" t="s">
        <v>252</v>
      </c>
      <c r="D176" t="s">
        <v>253</v>
      </c>
      <c r="E176" t="s">
        <v>254</v>
      </c>
      <c r="F176">
        <v>1</v>
      </c>
      <c r="G176">
        <v>21043.67953846154</v>
      </c>
      <c r="H176">
        <v>150</v>
      </c>
      <c r="I176">
        <v>21043.67953846154</v>
      </c>
    </row>
    <row r="177" spans="1:9" x14ac:dyDescent="0.2">
      <c r="A177" t="s">
        <v>49</v>
      </c>
      <c r="B177">
        <v>4010</v>
      </c>
      <c r="C177" t="s">
        <v>266</v>
      </c>
      <c r="D177" t="s">
        <v>267</v>
      </c>
      <c r="E177" t="s">
        <v>268</v>
      </c>
      <c r="F177">
        <v>1</v>
      </c>
      <c r="G177">
        <v>84863.132923076919</v>
      </c>
      <c r="H177">
        <v>18</v>
      </c>
      <c r="I177">
        <v>84863.132923076919</v>
      </c>
    </row>
    <row r="178" spans="1:9" x14ac:dyDescent="0.2">
      <c r="A178" t="s">
        <v>43</v>
      </c>
      <c r="B178">
        <v>6110</v>
      </c>
      <c r="C178" t="s">
        <v>235</v>
      </c>
      <c r="D178" t="s">
        <v>244</v>
      </c>
      <c r="E178" t="s">
        <v>184</v>
      </c>
      <c r="F178">
        <v>4</v>
      </c>
      <c r="G178">
        <v>18.643076923076922</v>
      </c>
      <c r="H178">
        <v>16</v>
      </c>
      <c r="I178">
        <v>18.643076923076922</v>
      </c>
    </row>
    <row r="179" spans="1:9" x14ac:dyDescent="0.2">
      <c r="A179" t="s">
        <v>43</v>
      </c>
      <c r="B179">
        <v>6110</v>
      </c>
      <c r="C179" t="s">
        <v>235</v>
      </c>
      <c r="D179" t="s">
        <v>236</v>
      </c>
      <c r="E179" t="s">
        <v>237</v>
      </c>
      <c r="F179">
        <v>6</v>
      </c>
      <c r="G179">
        <v>132.79999999999998</v>
      </c>
      <c r="H179">
        <v>16</v>
      </c>
      <c r="I179">
        <v>132.79999999999998</v>
      </c>
    </row>
    <row r="180" spans="1:9" x14ac:dyDescent="0.2">
      <c r="A180" t="s">
        <v>43</v>
      </c>
      <c r="B180">
        <v>6110</v>
      </c>
      <c r="C180" t="s">
        <v>235</v>
      </c>
      <c r="D180" t="s">
        <v>240</v>
      </c>
      <c r="E180" t="s">
        <v>241</v>
      </c>
      <c r="F180">
        <v>4</v>
      </c>
      <c r="G180">
        <v>309.01538461538462</v>
      </c>
      <c r="H180">
        <v>16</v>
      </c>
      <c r="I180">
        <v>309.01538461538462</v>
      </c>
    </row>
    <row r="181" spans="1:9" x14ac:dyDescent="0.2">
      <c r="A181" t="s">
        <v>43</v>
      </c>
      <c r="B181">
        <v>6110</v>
      </c>
      <c r="C181" t="s">
        <v>235</v>
      </c>
      <c r="D181" t="s">
        <v>238</v>
      </c>
      <c r="E181" t="s">
        <v>239</v>
      </c>
      <c r="F181">
        <v>4</v>
      </c>
      <c r="G181">
        <v>340.93846153846152</v>
      </c>
      <c r="H181">
        <v>16</v>
      </c>
      <c r="I181">
        <v>340.93846153846152</v>
      </c>
    </row>
    <row r="182" spans="1:9" x14ac:dyDescent="0.2">
      <c r="A182" t="s">
        <v>43</v>
      </c>
      <c r="B182">
        <v>6110</v>
      </c>
      <c r="C182" t="s">
        <v>235</v>
      </c>
      <c r="D182" t="s">
        <v>242</v>
      </c>
      <c r="E182" t="s">
        <v>243</v>
      </c>
      <c r="F182">
        <v>2</v>
      </c>
      <c r="G182">
        <v>427.76923076923072</v>
      </c>
      <c r="H182">
        <v>16</v>
      </c>
      <c r="I182">
        <v>427.76923076923072</v>
      </c>
    </row>
    <row r="183" spans="1:9" x14ac:dyDescent="0.2">
      <c r="A183" t="s">
        <v>41</v>
      </c>
      <c r="B183">
        <v>5410</v>
      </c>
      <c r="C183" t="s">
        <v>358</v>
      </c>
      <c r="D183" t="s">
        <v>359</v>
      </c>
      <c r="E183" t="s">
        <v>360</v>
      </c>
      <c r="F183">
        <v>1</v>
      </c>
      <c r="G183">
        <v>1844.9384615384615</v>
      </c>
      <c r="H183">
        <v>4</v>
      </c>
      <c r="I183">
        <v>1844.9384615384615</v>
      </c>
    </row>
    <row r="184" spans="1:9" x14ac:dyDescent="0.2">
      <c r="A184" t="s">
        <v>34</v>
      </c>
      <c r="B184">
        <v>9315</v>
      </c>
      <c r="C184" t="s">
        <v>96</v>
      </c>
      <c r="D184" t="s">
        <v>97</v>
      </c>
      <c r="E184" t="s">
        <v>98</v>
      </c>
      <c r="F184">
        <v>5</v>
      </c>
      <c r="G184">
        <v>189.87909999999999</v>
      </c>
      <c r="H184">
        <v>8</v>
      </c>
      <c r="I184">
        <v>189.87909999999999</v>
      </c>
    </row>
    <row r="185" spans="1:9" x14ac:dyDescent="0.2">
      <c r="A185" t="s">
        <v>50</v>
      </c>
      <c r="B185" t="s">
        <v>50</v>
      </c>
      <c r="C185" t="s">
        <v>269</v>
      </c>
      <c r="D185" t="s">
        <v>294</v>
      </c>
      <c r="E185" t="s">
        <v>278</v>
      </c>
      <c r="F185">
        <v>108</v>
      </c>
      <c r="G185">
        <v>26.221413119999998</v>
      </c>
      <c r="H185">
        <v>8</v>
      </c>
      <c r="I185">
        <v>26.221413119999998</v>
      </c>
    </row>
    <row r="186" spans="1:9" x14ac:dyDescent="0.2">
      <c r="A186" t="s">
        <v>50</v>
      </c>
      <c r="B186" t="s">
        <v>50</v>
      </c>
      <c r="C186" t="s">
        <v>269</v>
      </c>
      <c r="D186" t="s">
        <v>294</v>
      </c>
      <c r="E186" t="s">
        <v>278</v>
      </c>
      <c r="F186">
        <v>8</v>
      </c>
      <c r="G186">
        <v>26.221413119999998</v>
      </c>
      <c r="H186">
        <v>8</v>
      </c>
      <c r="I186">
        <v>26.221413119999998</v>
      </c>
    </row>
    <row r="187" spans="1:9" x14ac:dyDescent="0.2">
      <c r="A187" t="s">
        <v>50</v>
      </c>
      <c r="B187" t="s">
        <v>50</v>
      </c>
      <c r="C187" t="s">
        <v>269</v>
      </c>
      <c r="D187" t="s">
        <v>294</v>
      </c>
      <c r="E187" t="s">
        <v>278</v>
      </c>
      <c r="F187">
        <v>8</v>
      </c>
      <c r="G187">
        <v>26.221413119999998</v>
      </c>
      <c r="H187">
        <v>8</v>
      </c>
      <c r="I187">
        <v>26.221413119999998</v>
      </c>
    </row>
    <row r="188" spans="1:9" x14ac:dyDescent="0.2">
      <c r="A188" t="s">
        <v>40</v>
      </c>
      <c r="B188">
        <v>9510</v>
      </c>
      <c r="C188" t="s">
        <v>148</v>
      </c>
      <c r="D188" t="s">
        <v>160</v>
      </c>
      <c r="E188" t="s">
        <v>161</v>
      </c>
      <c r="F188">
        <v>2.8</v>
      </c>
      <c r="G188">
        <v>15.9194</v>
      </c>
      <c r="H188">
        <v>16</v>
      </c>
      <c r="I188">
        <v>15.9194</v>
      </c>
    </row>
    <row r="189" spans="1:9" x14ac:dyDescent="0.2">
      <c r="A189" t="s">
        <v>40</v>
      </c>
      <c r="B189">
        <v>9510</v>
      </c>
      <c r="C189" t="s">
        <v>148</v>
      </c>
      <c r="D189" t="s">
        <v>170</v>
      </c>
      <c r="E189" t="s">
        <v>171</v>
      </c>
      <c r="F189">
        <v>8</v>
      </c>
      <c r="G189">
        <v>15.438000000000001</v>
      </c>
      <c r="H189">
        <v>16</v>
      </c>
      <c r="I189">
        <v>15.438000000000001</v>
      </c>
    </row>
    <row r="190" spans="1:9" x14ac:dyDescent="0.2">
      <c r="A190" t="s">
        <v>42</v>
      </c>
      <c r="B190">
        <v>5310</v>
      </c>
      <c r="C190" t="s">
        <v>214</v>
      </c>
      <c r="D190" t="s">
        <v>223</v>
      </c>
      <c r="E190" t="s">
        <v>224</v>
      </c>
      <c r="F190">
        <v>0.5</v>
      </c>
      <c r="G190">
        <v>19.4635</v>
      </c>
      <c r="H190">
        <v>5</v>
      </c>
      <c r="I190">
        <v>19.4635</v>
      </c>
    </row>
    <row r="191" spans="1:9" x14ac:dyDescent="0.2">
      <c r="A191" t="s">
        <v>50</v>
      </c>
      <c r="B191" t="s">
        <v>50</v>
      </c>
      <c r="C191" t="s">
        <v>269</v>
      </c>
      <c r="D191" t="s">
        <v>306</v>
      </c>
      <c r="E191" t="s">
        <v>273</v>
      </c>
      <c r="F191">
        <v>8</v>
      </c>
      <c r="G191">
        <v>99.575777279999997</v>
      </c>
      <c r="H191">
        <v>8</v>
      </c>
      <c r="I191">
        <v>99.575777279999997</v>
      </c>
    </row>
    <row r="192" spans="1:9" x14ac:dyDescent="0.2">
      <c r="A192" t="s">
        <v>50</v>
      </c>
      <c r="B192" t="s">
        <v>50</v>
      </c>
      <c r="C192" t="s">
        <v>269</v>
      </c>
      <c r="D192" t="s">
        <v>306</v>
      </c>
      <c r="E192" t="s">
        <v>273</v>
      </c>
      <c r="F192">
        <v>8</v>
      </c>
      <c r="G192">
        <v>99.575777279999997</v>
      </c>
      <c r="H192">
        <v>8</v>
      </c>
      <c r="I192">
        <v>99.575777279999997</v>
      </c>
    </row>
    <row r="193" spans="1:9" x14ac:dyDescent="0.2">
      <c r="A193" t="s">
        <v>34</v>
      </c>
      <c r="B193">
        <v>9315</v>
      </c>
      <c r="C193" t="s">
        <v>96</v>
      </c>
      <c r="D193" t="s">
        <v>103</v>
      </c>
      <c r="E193" t="s">
        <v>104</v>
      </c>
      <c r="F193">
        <v>1</v>
      </c>
      <c r="G193">
        <v>423.58219999999994</v>
      </c>
      <c r="H193">
        <v>8</v>
      </c>
      <c r="I193">
        <v>423.58219999999994</v>
      </c>
    </row>
    <row r="194" spans="1:9" x14ac:dyDescent="0.2">
      <c r="A194" t="s">
        <v>41</v>
      </c>
      <c r="B194">
        <v>5410</v>
      </c>
      <c r="C194" t="s">
        <v>196</v>
      </c>
      <c r="D194" t="s">
        <v>202</v>
      </c>
      <c r="E194" t="s">
        <v>203</v>
      </c>
      <c r="F194">
        <v>8</v>
      </c>
      <c r="G194">
        <v>12.45</v>
      </c>
      <c r="H194">
        <v>4</v>
      </c>
      <c r="I194">
        <v>12.45</v>
      </c>
    </row>
    <row r="195" spans="1:9" x14ac:dyDescent="0.2">
      <c r="A195" t="s">
        <v>40</v>
      </c>
      <c r="B195">
        <v>9510</v>
      </c>
      <c r="C195" t="s">
        <v>148</v>
      </c>
      <c r="D195" t="s">
        <v>151</v>
      </c>
      <c r="E195" t="s">
        <v>152</v>
      </c>
      <c r="F195">
        <v>0.8</v>
      </c>
      <c r="G195">
        <v>5.6190999999999995</v>
      </c>
      <c r="H195">
        <v>16</v>
      </c>
      <c r="I195">
        <v>5.6190999999999995</v>
      </c>
    </row>
    <row r="196" spans="1:9" x14ac:dyDescent="0.2">
      <c r="A196" t="s">
        <v>52</v>
      </c>
      <c r="B196">
        <v>2320</v>
      </c>
      <c r="C196" t="s">
        <v>322</v>
      </c>
      <c r="D196" t="s">
        <v>325</v>
      </c>
      <c r="E196" t="s">
        <v>273</v>
      </c>
      <c r="F196">
        <v>1</v>
      </c>
      <c r="G196">
        <v>3.3692307692307697</v>
      </c>
      <c r="H196">
        <v>8</v>
      </c>
      <c r="I196">
        <v>3.3692307692307697</v>
      </c>
    </row>
    <row r="197" spans="1:9" x14ac:dyDescent="0.2">
      <c r="A197" t="s">
        <v>52</v>
      </c>
      <c r="B197">
        <v>2320</v>
      </c>
      <c r="C197" t="s">
        <v>322</v>
      </c>
      <c r="D197" t="s">
        <v>324</v>
      </c>
      <c r="E197" t="s">
        <v>273</v>
      </c>
      <c r="F197">
        <v>1</v>
      </c>
      <c r="G197">
        <v>0.9544999999999999</v>
      </c>
      <c r="H197">
        <v>8</v>
      </c>
      <c r="I197">
        <v>0.9544999999999999</v>
      </c>
    </row>
    <row r="198" spans="1:9" x14ac:dyDescent="0.2">
      <c r="A198" t="s">
        <v>52</v>
      </c>
      <c r="B198">
        <v>2320</v>
      </c>
      <c r="C198" t="s">
        <v>322</v>
      </c>
      <c r="D198" t="s">
        <v>287</v>
      </c>
      <c r="E198" t="s">
        <v>273</v>
      </c>
      <c r="F198">
        <v>1</v>
      </c>
      <c r="G198">
        <v>100.66898687999999</v>
      </c>
      <c r="H198">
        <v>8</v>
      </c>
      <c r="I198">
        <v>100.66898687999999</v>
      </c>
    </row>
    <row r="199" spans="1:9" x14ac:dyDescent="0.2">
      <c r="A199" t="s">
        <v>50</v>
      </c>
      <c r="B199" t="s">
        <v>50</v>
      </c>
      <c r="C199" t="s">
        <v>269</v>
      </c>
      <c r="D199" t="s">
        <v>287</v>
      </c>
      <c r="E199" t="s">
        <v>273</v>
      </c>
      <c r="F199">
        <v>2</v>
      </c>
      <c r="G199">
        <v>100.66898687999999</v>
      </c>
      <c r="H199">
        <v>8</v>
      </c>
      <c r="I199">
        <v>100.66898687999999</v>
      </c>
    </row>
    <row r="200" spans="1:9" x14ac:dyDescent="0.2">
      <c r="A200" t="s">
        <v>52</v>
      </c>
      <c r="B200">
        <v>2320</v>
      </c>
      <c r="C200" t="s">
        <v>322</v>
      </c>
      <c r="D200" t="s">
        <v>284</v>
      </c>
      <c r="E200" t="s">
        <v>273</v>
      </c>
      <c r="F200">
        <v>1</v>
      </c>
      <c r="G200">
        <v>15.547002240000001</v>
      </c>
      <c r="H200">
        <v>8</v>
      </c>
      <c r="I200">
        <v>15.547002240000001</v>
      </c>
    </row>
    <row r="201" spans="1:9" x14ac:dyDescent="0.2">
      <c r="A201" t="s">
        <v>50</v>
      </c>
      <c r="B201" t="s">
        <v>50</v>
      </c>
      <c r="C201" t="s">
        <v>269</v>
      </c>
      <c r="D201" t="s">
        <v>284</v>
      </c>
      <c r="E201" t="s">
        <v>273</v>
      </c>
      <c r="F201">
        <v>1</v>
      </c>
      <c r="G201">
        <v>15.547002240000001</v>
      </c>
      <c r="H201">
        <v>8</v>
      </c>
      <c r="I201">
        <v>15.547002240000001</v>
      </c>
    </row>
    <row r="202" spans="1:9" x14ac:dyDescent="0.2">
      <c r="A202" t="s">
        <v>386</v>
      </c>
      <c r="B202" t="s">
        <v>387</v>
      </c>
      <c r="C202" t="s">
        <v>388</v>
      </c>
      <c r="D202" t="s">
        <v>563</v>
      </c>
      <c r="E202" t="s">
        <v>390</v>
      </c>
      <c r="F202">
        <v>1</v>
      </c>
      <c r="G202">
        <v>4906</v>
      </c>
      <c r="H202">
        <v>1</v>
      </c>
      <c r="I202">
        <f>G202*F202</f>
        <v>4906</v>
      </c>
    </row>
  </sheetData>
  <autoFilter ref="A1:I202" xr:uid="{EEA9A363-0841-4AB8-971B-3393B54C14A0}">
    <sortState xmlns:xlrd2="http://schemas.microsoft.com/office/spreadsheetml/2017/richdata2" ref="A2:I202">
      <sortCondition ref="D1:D20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B163-F852-5543-A5EA-60704A18066D}">
  <dimension ref="A1:AK167"/>
  <sheetViews>
    <sheetView zoomScale="115" workbookViewId="0"/>
  </sheetViews>
  <sheetFormatPr baseColWidth="10" defaultRowHeight="15" x14ac:dyDescent="0.2"/>
  <cols>
    <col min="2" max="31" width="10.83203125" customWidth="1"/>
    <col min="33" max="33" width="12.83203125" bestFit="1" customWidth="1"/>
    <col min="35" max="35" width="22" style="8" bestFit="1" customWidth="1"/>
    <col min="36" max="36" width="22" bestFit="1" customWidth="1"/>
    <col min="37" max="37" width="21.33203125" bestFit="1" customWidth="1"/>
  </cols>
  <sheetData>
    <row r="1" spans="1:37" x14ac:dyDescent="0.2">
      <c r="A1" s="4" t="s">
        <v>394</v>
      </c>
      <c r="B1" s="4">
        <v>823</v>
      </c>
      <c r="C1" s="4">
        <v>824</v>
      </c>
      <c r="D1" s="4">
        <v>825</v>
      </c>
      <c r="E1" s="4">
        <v>826</v>
      </c>
      <c r="F1" s="4">
        <v>827</v>
      </c>
      <c r="G1" s="4">
        <v>828</v>
      </c>
      <c r="H1" s="4">
        <v>829</v>
      </c>
      <c r="I1" s="4">
        <v>830</v>
      </c>
      <c r="J1" s="4">
        <v>831</v>
      </c>
      <c r="K1" s="4">
        <v>832</v>
      </c>
      <c r="L1" s="4">
        <v>833</v>
      </c>
      <c r="M1" s="4">
        <v>834</v>
      </c>
      <c r="N1" s="4">
        <v>835</v>
      </c>
      <c r="O1" s="4">
        <v>836</v>
      </c>
      <c r="P1" s="4">
        <v>837</v>
      </c>
      <c r="Q1" s="4">
        <v>838</v>
      </c>
      <c r="R1" s="4">
        <v>839</v>
      </c>
      <c r="S1" s="4">
        <v>840</v>
      </c>
      <c r="T1" s="4">
        <v>841</v>
      </c>
      <c r="U1" s="4">
        <v>842</v>
      </c>
      <c r="V1" s="4">
        <v>843</v>
      </c>
      <c r="W1" s="4">
        <v>844</v>
      </c>
      <c r="X1" s="4">
        <v>845</v>
      </c>
      <c r="Y1" s="4">
        <v>846</v>
      </c>
      <c r="Z1" s="4">
        <v>847</v>
      </c>
      <c r="AA1" s="4">
        <v>848</v>
      </c>
      <c r="AB1" s="4">
        <v>849</v>
      </c>
      <c r="AC1" s="4">
        <v>850</v>
      </c>
      <c r="AD1" s="4">
        <v>851</v>
      </c>
      <c r="AE1" s="4">
        <v>852</v>
      </c>
      <c r="AF1" s="4" t="s">
        <v>395</v>
      </c>
      <c r="AG1" s="4" t="s">
        <v>396</v>
      </c>
      <c r="AH1" s="4" t="s">
        <v>397</v>
      </c>
      <c r="AI1" s="7" t="s">
        <v>398</v>
      </c>
      <c r="AJ1" s="6" t="s">
        <v>393</v>
      </c>
      <c r="AK1" s="6" t="s">
        <v>399</v>
      </c>
    </row>
    <row r="2" spans="1:37" x14ac:dyDescent="0.2">
      <c r="A2" s="5">
        <v>4656354</v>
      </c>
      <c r="B2" s="3">
        <v>1</v>
      </c>
      <c r="C2" s="3">
        <v>4</v>
      </c>
      <c r="D2" s="3">
        <v>1</v>
      </c>
      <c r="E2" s="3">
        <v>5</v>
      </c>
      <c r="F2" s="3">
        <v>1</v>
      </c>
      <c r="G2" s="3">
        <v>1</v>
      </c>
      <c r="H2" s="3">
        <v>1</v>
      </c>
      <c r="I2" s="3">
        <v>3</v>
      </c>
      <c r="J2" s="3">
        <v>1</v>
      </c>
      <c r="K2" s="3">
        <v>4</v>
      </c>
      <c r="L2" s="3">
        <v>2</v>
      </c>
      <c r="M2" s="3">
        <v>1</v>
      </c>
      <c r="N2" s="3">
        <v>1</v>
      </c>
      <c r="O2" s="3">
        <v>1</v>
      </c>
      <c r="P2" s="3">
        <v>3</v>
      </c>
      <c r="Q2" s="3">
        <v>1</v>
      </c>
      <c r="R2" s="3">
        <v>1</v>
      </c>
      <c r="S2" s="3">
        <v>3</v>
      </c>
      <c r="T2" s="3">
        <v>6</v>
      </c>
      <c r="U2" s="3">
        <v>1</v>
      </c>
      <c r="V2" s="3">
        <v>3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6</v>
      </c>
      <c r="AC2" s="3">
        <v>1</v>
      </c>
      <c r="AD2" s="3">
        <v>1</v>
      </c>
      <c r="AE2" s="3">
        <v>1</v>
      </c>
      <c r="AF2" s="3">
        <v>27</v>
      </c>
      <c r="AG2">
        <v>-1</v>
      </c>
      <c r="AH2">
        <v>1168</v>
      </c>
      <c r="AI2" s="8">
        <v>0</v>
      </c>
      <c r="AJ2">
        <f t="shared" ref="AJ2:AJ65" si="0">AH2*AI2</f>
        <v>0</v>
      </c>
      <c r="AK2" t="s">
        <v>400</v>
      </c>
    </row>
    <row r="3" spans="1:37" x14ac:dyDescent="0.2">
      <c r="A3" s="5" t="s">
        <v>209</v>
      </c>
      <c r="B3" s="3">
        <v>6</v>
      </c>
      <c r="C3" s="3">
        <v>1</v>
      </c>
      <c r="D3" s="3">
        <v>1</v>
      </c>
      <c r="E3" s="3">
        <v>1</v>
      </c>
      <c r="F3" s="3">
        <v>3</v>
      </c>
      <c r="G3" s="3">
        <v>1</v>
      </c>
      <c r="H3" s="3">
        <v>6</v>
      </c>
      <c r="I3" s="3">
        <v>1</v>
      </c>
      <c r="J3" s="3">
        <v>6</v>
      </c>
      <c r="K3" s="3">
        <v>1</v>
      </c>
      <c r="L3" s="3">
        <v>1</v>
      </c>
      <c r="M3" s="3">
        <v>1</v>
      </c>
      <c r="N3" s="3">
        <v>3</v>
      </c>
      <c r="O3" s="3">
        <v>3</v>
      </c>
      <c r="P3" s="3">
        <v>6</v>
      </c>
      <c r="Q3" s="3">
        <v>5</v>
      </c>
      <c r="R3" s="3">
        <v>1</v>
      </c>
      <c r="S3" s="3">
        <v>4</v>
      </c>
      <c r="T3" s="3">
        <v>1</v>
      </c>
      <c r="U3" s="3">
        <v>3</v>
      </c>
      <c r="V3" s="3">
        <v>6</v>
      </c>
      <c r="W3" s="3">
        <v>1</v>
      </c>
      <c r="X3" s="3">
        <v>6</v>
      </c>
      <c r="Y3" s="3">
        <v>2</v>
      </c>
      <c r="Z3" s="3">
        <v>2</v>
      </c>
      <c r="AA3" s="3">
        <v>2</v>
      </c>
      <c r="AB3" s="3">
        <v>1</v>
      </c>
      <c r="AC3" s="3">
        <v>1</v>
      </c>
      <c r="AD3" s="3">
        <v>2</v>
      </c>
      <c r="AE3" s="3">
        <v>2</v>
      </c>
      <c r="AF3" s="3">
        <v>80</v>
      </c>
      <c r="AG3">
        <v>116</v>
      </c>
      <c r="AH3">
        <v>39.549999999999997</v>
      </c>
      <c r="AI3" s="8">
        <v>80</v>
      </c>
      <c r="AJ3">
        <f t="shared" si="0"/>
        <v>3164</v>
      </c>
      <c r="AK3" t="s">
        <v>401</v>
      </c>
    </row>
    <row r="4" spans="1:37" x14ac:dyDescent="0.2">
      <c r="A4" s="5" t="s">
        <v>212</v>
      </c>
      <c r="B4" s="3">
        <v>1</v>
      </c>
      <c r="C4" s="3">
        <v>1</v>
      </c>
      <c r="D4" s="3">
        <v>3</v>
      </c>
      <c r="E4" s="3">
        <v>3</v>
      </c>
      <c r="F4" s="3">
        <v>2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3</v>
      </c>
      <c r="N4" s="3">
        <v>3</v>
      </c>
      <c r="O4" s="3">
        <v>4</v>
      </c>
      <c r="P4" s="3">
        <v>1</v>
      </c>
      <c r="Q4" s="3">
        <v>1</v>
      </c>
      <c r="R4" s="3">
        <v>5</v>
      </c>
      <c r="S4" s="3">
        <v>118</v>
      </c>
      <c r="T4" s="3">
        <v>3</v>
      </c>
      <c r="U4" s="3">
        <v>3</v>
      </c>
      <c r="V4" s="3">
        <v>1</v>
      </c>
      <c r="W4" s="3">
        <v>2</v>
      </c>
      <c r="X4" s="3">
        <v>1</v>
      </c>
      <c r="Y4" s="3">
        <v>2</v>
      </c>
      <c r="Z4" s="3">
        <v>2</v>
      </c>
      <c r="AA4" s="3">
        <v>2</v>
      </c>
      <c r="AB4" s="3">
        <v>3</v>
      </c>
      <c r="AC4" s="3">
        <v>2</v>
      </c>
      <c r="AD4" s="3">
        <v>2</v>
      </c>
      <c r="AE4" s="3">
        <v>2</v>
      </c>
      <c r="AF4" s="3">
        <v>176</v>
      </c>
      <c r="AG4">
        <v>25</v>
      </c>
      <c r="AH4">
        <v>272.92</v>
      </c>
      <c r="AI4" s="8">
        <v>25</v>
      </c>
      <c r="AJ4">
        <f t="shared" si="0"/>
        <v>6823</v>
      </c>
      <c r="AK4" t="s">
        <v>401</v>
      </c>
    </row>
    <row r="5" spans="1:37" x14ac:dyDescent="0.2">
      <c r="A5" s="5" t="s">
        <v>125</v>
      </c>
      <c r="B5" s="3">
        <v>1</v>
      </c>
      <c r="C5" s="3">
        <v>5</v>
      </c>
      <c r="D5" s="3">
        <v>1</v>
      </c>
      <c r="E5" s="3">
        <v>3</v>
      </c>
      <c r="F5" s="3">
        <v>3</v>
      </c>
      <c r="G5" s="3">
        <v>4</v>
      </c>
      <c r="H5" s="3">
        <v>1</v>
      </c>
      <c r="I5" s="3">
        <v>1</v>
      </c>
      <c r="J5" s="3">
        <v>1</v>
      </c>
      <c r="K5" s="3">
        <v>5</v>
      </c>
      <c r="L5" s="3">
        <v>1</v>
      </c>
      <c r="M5" s="3">
        <v>5</v>
      </c>
      <c r="N5" s="3">
        <v>3</v>
      </c>
      <c r="O5" s="3">
        <v>3</v>
      </c>
      <c r="P5" s="3">
        <v>6</v>
      </c>
      <c r="Q5" s="3">
        <v>4</v>
      </c>
      <c r="R5" s="3">
        <v>5</v>
      </c>
      <c r="S5" s="3">
        <v>3</v>
      </c>
      <c r="T5" s="3">
        <v>2</v>
      </c>
      <c r="U5" s="3">
        <v>3</v>
      </c>
      <c r="V5" s="3">
        <v>6</v>
      </c>
      <c r="W5" s="3">
        <v>6</v>
      </c>
      <c r="X5" s="3">
        <v>1</v>
      </c>
      <c r="Y5" s="3">
        <v>3</v>
      </c>
      <c r="Z5" s="3">
        <v>3</v>
      </c>
      <c r="AA5" s="3">
        <v>6</v>
      </c>
      <c r="AB5" s="3">
        <v>1</v>
      </c>
      <c r="AC5" s="3">
        <v>6</v>
      </c>
      <c r="AD5" s="3">
        <v>6</v>
      </c>
      <c r="AE5" s="3">
        <v>6</v>
      </c>
      <c r="AF5" s="3">
        <v>104</v>
      </c>
      <c r="AG5">
        <v>16</v>
      </c>
      <c r="AH5">
        <v>45.95</v>
      </c>
      <c r="AI5" s="8">
        <v>16</v>
      </c>
      <c r="AJ5">
        <f t="shared" si="0"/>
        <v>735.2</v>
      </c>
      <c r="AK5" t="s">
        <v>401</v>
      </c>
    </row>
    <row r="6" spans="1:37" x14ac:dyDescent="0.2">
      <c r="A6" s="5" t="s">
        <v>211</v>
      </c>
      <c r="B6" s="3">
        <v>6</v>
      </c>
      <c r="C6" s="3">
        <v>3</v>
      </c>
      <c r="D6" s="3">
        <v>4</v>
      </c>
      <c r="E6" s="3">
        <v>1</v>
      </c>
      <c r="F6" s="3">
        <v>1</v>
      </c>
      <c r="G6" s="3">
        <v>1</v>
      </c>
      <c r="H6" s="3">
        <v>6</v>
      </c>
      <c r="I6" s="3">
        <v>3</v>
      </c>
      <c r="J6" s="3">
        <v>6</v>
      </c>
      <c r="K6" s="3">
        <v>3</v>
      </c>
      <c r="L6" s="3">
        <v>118</v>
      </c>
      <c r="M6" s="3">
        <v>2</v>
      </c>
      <c r="N6" s="3">
        <v>1</v>
      </c>
      <c r="O6" s="3">
        <v>2</v>
      </c>
      <c r="P6" s="3">
        <v>6</v>
      </c>
      <c r="Q6" s="3">
        <v>1</v>
      </c>
      <c r="R6" s="3">
        <v>1</v>
      </c>
      <c r="S6" s="3">
        <v>1</v>
      </c>
      <c r="T6" s="3">
        <v>4</v>
      </c>
      <c r="U6" s="3">
        <v>1</v>
      </c>
      <c r="V6" s="3">
        <v>6</v>
      </c>
      <c r="W6" s="3">
        <v>3</v>
      </c>
      <c r="X6" s="3">
        <v>6</v>
      </c>
      <c r="Y6" s="3">
        <v>4</v>
      </c>
      <c r="Z6" s="3">
        <v>4</v>
      </c>
      <c r="AA6" s="3">
        <v>4</v>
      </c>
      <c r="AB6" s="3">
        <v>2</v>
      </c>
      <c r="AC6" s="3">
        <v>3</v>
      </c>
      <c r="AD6" s="3">
        <v>4</v>
      </c>
      <c r="AE6" s="3">
        <v>4</v>
      </c>
      <c r="AF6" s="3">
        <v>211</v>
      </c>
      <c r="AG6">
        <v>10</v>
      </c>
      <c r="AH6">
        <v>25.75</v>
      </c>
      <c r="AI6" s="8">
        <v>10</v>
      </c>
      <c r="AJ6">
        <f t="shared" si="0"/>
        <v>257.5</v>
      </c>
      <c r="AK6" t="s">
        <v>401</v>
      </c>
    </row>
    <row r="7" spans="1:37" x14ac:dyDescent="0.2">
      <c r="A7" s="5" t="s">
        <v>126</v>
      </c>
      <c r="B7" s="3">
        <v>5</v>
      </c>
      <c r="C7" s="3">
        <v>1</v>
      </c>
      <c r="D7" s="3">
        <v>4</v>
      </c>
      <c r="E7" s="3">
        <v>2</v>
      </c>
      <c r="F7" s="3">
        <v>2</v>
      </c>
      <c r="G7" s="3">
        <v>1</v>
      </c>
      <c r="H7" s="3">
        <v>5</v>
      </c>
      <c r="I7" s="3">
        <v>1</v>
      </c>
      <c r="J7" s="3">
        <v>5</v>
      </c>
      <c r="K7" s="3">
        <v>1</v>
      </c>
      <c r="L7" s="3">
        <v>1</v>
      </c>
      <c r="M7" s="3">
        <v>1</v>
      </c>
      <c r="N7" s="3">
        <v>6</v>
      </c>
      <c r="O7" s="3">
        <v>2</v>
      </c>
      <c r="P7" s="3">
        <v>6</v>
      </c>
      <c r="Q7" s="3">
        <v>1</v>
      </c>
      <c r="R7" s="3">
        <v>5</v>
      </c>
      <c r="S7" s="3">
        <v>1</v>
      </c>
      <c r="T7" s="3">
        <v>3</v>
      </c>
      <c r="U7" s="3">
        <v>6</v>
      </c>
      <c r="V7" s="3">
        <v>6</v>
      </c>
      <c r="W7" s="3">
        <v>1</v>
      </c>
      <c r="X7" s="3">
        <v>5</v>
      </c>
      <c r="Y7" s="3">
        <v>2</v>
      </c>
      <c r="Z7" s="3">
        <v>2</v>
      </c>
      <c r="AA7" s="3">
        <v>6</v>
      </c>
      <c r="AB7" s="3">
        <v>2</v>
      </c>
      <c r="AC7" s="3">
        <v>1</v>
      </c>
      <c r="AD7" s="3">
        <v>6</v>
      </c>
      <c r="AE7" s="3">
        <v>6</v>
      </c>
      <c r="AF7" s="3">
        <v>96</v>
      </c>
      <c r="AG7">
        <v>10</v>
      </c>
      <c r="AH7">
        <v>411.49</v>
      </c>
      <c r="AI7" s="8">
        <v>10</v>
      </c>
      <c r="AJ7">
        <f t="shared" si="0"/>
        <v>4114.8999999999996</v>
      </c>
      <c r="AK7" t="s">
        <v>401</v>
      </c>
    </row>
    <row r="8" spans="1:37" x14ac:dyDescent="0.2">
      <c r="A8" s="5" t="s">
        <v>225</v>
      </c>
      <c r="B8" s="3">
        <v>1</v>
      </c>
      <c r="C8" s="3">
        <v>1</v>
      </c>
      <c r="D8" s="3">
        <v>1</v>
      </c>
      <c r="E8" s="3">
        <v>3</v>
      </c>
      <c r="F8" s="3">
        <v>1</v>
      </c>
      <c r="G8" s="3">
        <v>4</v>
      </c>
      <c r="H8" s="3">
        <v>118</v>
      </c>
      <c r="I8" s="3">
        <v>5</v>
      </c>
      <c r="J8" s="3">
        <v>1</v>
      </c>
      <c r="K8" s="3">
        <v>1</v>
      </c>
      <c r="L8" s="3">
        <v>1</v>
      </c>
      <c r="M8" s="3">
        <v>5</v>
      </c>
      <c r="N8" s="3">
        <v>3</v>
      </c>
      <c r="O8" s="3">
        <v>6</v>
      </c>
      <c r="P8" s="3">
        <v>1</v>
      </c>
      <c r="Q8" s="3">
        <v>2</v>
      </c>
      <c r="R8" s="3">
        <v>1</v>
      </c>
      <c r="S8" s="3">
        <v>3</v>
      </c>
      <c r="T8" s="3">
        <v>5</v>
      </c>
      <c r="U8" s="3">
        <v>3</v>
      </c>
      <c r="V8" s="3">
        <v>1</v>
      </c>
      <c r="W8" s="3">
        <v>6</v>
      </c>
      <c r="X8" s="3">
        <v>1</v>
      </c>
      <c r="Y8" s="3">
        <v>5</v>
      </c>
      <c r="Z8" s="3">
        <v>2</v>
      </c>
      <c r="AA8" s="3">
        <v>1</v>
      </c>
      <c r="AB8" s="3">
        <v>5</v>
      </c>
      <c r="AC8" s="3">
        <v>6</v>
      </c>
      <c r="AD8" s="3">
        <v>1</v>
      </c>
      <c r="AE8" s="3">
        <v>1</v>
      </c>
      <c r="AF8" s="3">
        <v>195</v>
      </c>
      <c r="AG8">
        <v>3</v>
      </c>
      <c r="AH8">
        <v>10.220000000000001</v>
      </c>
      <c r="AI8" s="8">
        <v>3</v>
      </c>
      <c r="AJ8">
        <f t="shared" si="0"/>
        <v>30.660000000000004</v>
      </c>
      <c r="AK8" t="s">
        <v>401</v>
      </c>
    </row>
    <row r="9" spans="1:37" x14ac:dyDescent="0.2">
      <c r="A9" s="5" t="s">
        <v>121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3</v>
      </c>
      <c r="H9" s="3">
        <v>1</v>
      </c>
      <c r="I9" s="3">
        <v>1</v>
      </c>
      <c r="J9" s="3">
        <v>1</v>
      </c>
      <c r="K9" s="3">
        <v>1</v>
      </c>
      <c r="L9" s="3">
        <v>6</v>
      </c>
      <c r="M9" s="3">
        <v>1</v>
      </c>
      <c r="N9" s="3">
        <v>1</v>
      </c>
      <c r="O9" s="3">
        <v>1</v>
      </c>
      <c r="P9" s="3">
        <v>3</v>
      </c>
      <c r="Q9" s="3">
        <v>3</v>
      </c>
      <c r="R9" s="3">
        <v>5</v>
      </c>
      <c r="S9" s="3">
        <v>3</v>
      </c>
      <c r="T9" s="3">
        <v>1</v>
      </c>
      <c r="U9" s="3">
        <v>1</v>
      </c>
      <c r="V9" s="3">
        <v>3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118</v>
      </c>
      <c r="AC9" s="3">
        <v>1</v>
      </c>
      <c r="AD9" s="3">
        <v>1</v>
      </c>
      <c r="AE9" s="3">
        <v>1</v>
      </c>
      <c r="AF9" s="3">
        <v>166</v>
      </c>
      <c r="AG9">
        <v>24</v>
      </c>
      <c r="AH9">
        <v>270.83</v>
      </c>
      <c r="AI9" s="8">
        <v>24</v>
      </c>
      <c r="AJ9">
        <f t="shared" si="0"/>
        <v>6499.92</v>
      </c>
      <c r="AK9" t="s">
        <v>401</v>
      </c>
    </row>
    <row r="10" spans="1:37" x14ac:dyDescent="0.2">
      <c r="A10" s="5" t="s">
        <v>250</v>
      </c>
      <c r="B10" s="3">
        <v>2</v>
      </c>
      <c r="C10" s="3">
        <v>5</v>
      </c>
      <c r="D10" s="3">
        <v>1</v>
      </c>
      <c r="E10" s="3">
        <v>3</v>
      </c>
      <c r="F10" s="3">
        <v>3</v>
      </c>
      <c r="G10" s="3">
        <v>1</v>
      </c>
      <c r="H10" s="3">
        <v>1</v>
      </c>
      <c r="I10" s="3">
        <v>1</v>
      </c>
      <c r="J10" s="3">
        <v>2</v>
      </c>
      <c r="K10" s="3">
        <v>5</v>
      </c>
      <c r="L10" s="3">
        <v>1</v>
      </c>
      <c r="M10" s="3">
        <v>1</v>
      </c>
      <c r="N10" s="3">
        <v>3</v>
      </c>
      <c r="O10" s="3">
        <v>3</v>
      </c>
      <c r="P10" s="3">
        <v>2</v>
      </c>
      <c r="Q10" s="3">
        <v>5</v>
      </c>
      <c r="R10" s="3">
        <v>1</v>
      </c>
      <c r="S10" s="3">
        <v>4</v>
      </c>
      <c r="T10" s="3">
        <v>118</v>
      </c>
      <c r="U10" s="3">
        <v>3</v>
      </c>
      <c r="V10" s="3">
        <v>2</v>
      </c>
      <c r="W10" s="3">
        <v>6</v>
      </c>
      <c r="X10" s="3">
        <v>2</v>
      </c>
      <c r="Y10" s="3">
        <v>1</v>
      </c>
      <c r="Z10" s="3">
        <v>5</v>
      </c>
      <c r="AA10" s="3">
        <v>2</v>
      </c>
      <c r="AB10" s="3">
        <v>2</v>
      </c>
      <c r="AC10" s="3">
        <v>2</v>
      </c>
      <c r="AD10" s="3">
        <v>2</v>
      </c>
      <c r="AE10" s="3">
        <v>2</v>
      </c>
      <c r="AF10" s="3">
        <v>191</v>
      </c>
      <c r="AG10">
        <v>43</v>
      </c>
      <c r="AH10">
        <v>564.54</v>
      </c>
      <c r="AI10" s="8">
        <v>43</v>
      </c>
      <c r="AJ10">
        <f t="shared" si="0"/>
        <v>24275.219999999998</v>
      </c>
      <c r="AK10" t="s">
        <v>401</v>
      </c>
    </row>
    <row r="11" spans="1:37" x14ac:dyDescent="0.2">
      <c r="A11" s="5" t="s">
        <v>248</v>
      </c>
      <c r="B11" s="3">
        <v>1</v>
      </c>
      <c r="C11" s="3">
        <v>5</v>
      </c>
      <c r="D11" s="3">
        <v>1</v>
      </c>
      <c r="E11" s="3">
        <v>1</v>
      </c>
      <c r="F11" s="3">
        <v>1</v>
      </c>
      <c r="G11" s="3">
        <v>5</v>
      </c>
      <c r="H11" s="3">
        <v>1</v>
      </c>
      <c r="I11" s="3">
        <v>6</v>
      </c>
      <c r="J11" s="3">
        <v>1</v>
      </c>
      <c r="K11" s="3">
        <v>5</v>
      </c>
      <c r="L11" s="3">
        <v>4</v>
      </c>
      <c r="M11" s="3">
        <v>118</v>
      </c>
      <c r="N11" s="3">
        <v>2</v>
      </c>
      <c r="O11" s="3">
        <v>1</v>
      </c>
      <c r="P11" s="3">
        <v>1</v>
      </c>
      <c r="Q11" s="3">
        <v>1</v>
      </c>
      <c r="R11" s="3">
        <v>1</v>
      </c>
      <c r="S11" s="3">
        <v>2</v>
      </c>
      <c r="T11" s="3">
        <v>1</v>
      </c>
      <c r="U11" s="3">
        <v>4</v>
      </c>
      <c r="V11" s="3">
        <v>1</v>
      </c>
      <c r="W11" s="3">
        <v>3</v>
      </c>
      <c r="X11" s="3">
        <v>1</v>
      </c>
      <c r="Y11" s="3">
        <v>6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179</v>
      </c>
      <c r="AG11">
        <v>-1</v>
      </c>
      <c r="AH11">
        <v>31064.98</v>
      </c>
      <c r="AI11" s="8">
        <v>0</v>
      </c>
      <c r="AJ11">
        <f t="shared" si="0"/>
        <v>0</v>
      </c>
      <c r="AK11" t="s">
        <v>400</v>
      </c>
    </row>
    <row r="12" spans="1:37" x14ac:dyDescent="0.2">
      <c r="A12" s="5" t="s">
        <v>155</v>
      </c>
      <c r="B12" s="3">
        <v>2</v>
      </c>
      <c r="C12" s="3">
        <v>5</v>
      </c>
      <c r="D12" s="3">
        <v>1</v>
      </c>
      <c r="E12" s="3">
        <v>6</v>
      </c>
      <c r="F12" s="3">
        <v>1</v>
      </c>
      <c r="G12" s="3">
        <v>4</v>
      </c>
      <c r="H12" s="3">
        <v>2</v>
      </c>
      <c r="I12" s="3">
        <v>0</v>
      </c>
      <c r="J12" s="3">
        <v>2</v>
      </c>
      <c r="K12" s="3">
        <v>5</v>
      </c>
      <c r="L12" s="3">
        <v>3</v>
      </c>
      <c r="M12" s="3">
        <v>1</v>
      </c>
      <c r="N12" s="3">
        <v>1</v>
      </c>
      <c r="O12" s="3">
        <v>3</v>
      </c>
      <c r="P12" s="3">
        <v>2</v>
      </c>
      <c r="Q12" s="3">
        <v>0</v>
      </c>
      <c r="R12" s="3">
        <v>3</v>
      </c>
      <c r="S12" s="3">
        <v>2</v>
      </c>
      <c r="T12" s="3">
        <v>0</v>
      </c>
      <c r="U12" s="3">
        <v>1</v>
      </c>
      <c r="V12" s="3">
        <v>2</v>
      </c>
      <c r="W12" s="3">
        <v>0</v>
      </c>
      <c r="X12" s="3">
        <v>2</v>
      </c>
      <c r="Y12" s="3">
        <v>1</v>
      </c>
      <c r="Z12" s="3">
        <v>1</v>
      </c>
      <c r="AA12" s="3">
        <v>1</v>
      </c>
      <c r="AB12" s="3">
        <v>1</v>
      </c>
      <c r="AC12" s="3">
        <v>0</v>
      </c>
      <c r="AD12" s="3">
        <v>1</v>
      </c>
      <c r="AE12" s="3">
        <v>1</v>
      </c>
      <c r="AF12" s="3">
        <v>54</v>
      </c>
      <c r="AG12">
        <v>0</v>
      </c>
      <c r="AH12">
        <v>28.55</v>
      </c>
      <c r="AI12" s="8">
        <v>0</v>
      </c>
      <c r="AJ12">
        <f t="shared" si="0"/>
        <v>0</v>
      </c>
      <c r="AK12" t="s">
        <v>402</v>
      </c>
    </row>
    <row r="13" spans="1:37" x14ac:dyDescent="0.2">
      <c r="A13" s="5" t="s">
        <v>157</v>
      </c>
      <c r="B13" s="3">
        <v>1</v>
      </c>
      <c r="C13" s="3">
        <v>1</v>
      </c>
      <c r="D13" s="3">
        <v>118</v>
      </c>
      <c r="E13" s="3">
        <v>1</v>
      </c>
      <c r="F13" s="3">
        <v>1</v>
      </c>
      <c r="G13" s="3">
        <v>3</v>
      </c>
      <c r="H13" s="3">
        <v>1</v>
      </c>
      <c r="I13" s="3">
        <v>0</v>
      </c>
      <c r="J13" s="3">
        <v>1</v>
      </c>
      <c r="K13" s="3">
        <v>1</v>
      </c>
      <c r="L13" s="3">
        <v>6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3">
        <v>1</v>
      </c>
      <c r="S13" s="3">
        <v>3</v>
      </c>
      <c r="T13" s="3">
        <v>0</v>
      </c>
      <c r="U13" s="3">
        <v>1</v>
      </c>
      <c r="V13" s="3">
        <v>1</v>
      </c>
      <c r="W13" s="3">
        <v>0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0</v>
      </c>
      <c r="AD13" s="3">
        <v>1</v>
      </c>
      <c r="AE13" s="3">
        <v>1</v>
      </c>
      <c r="AF13" s="3">
        <v>151</v>
      </c>
      <c r="AG13">
        <v>0</v>
      </c>
      <c r="AH13">
        <v>29.45</v>
      </c>
      <c r="AI13" s="8">
        <v>0</v>
      </c>
      <c r="AJ13">
        <f t="shared" si="0"/>
        <v>0</v>
      </c>
      <c r="AK13" t="s">
        <v>402</v>
      </c>
    </row>
    <row r="14" spans="1:37" x14ac:dyDescent="0.2">
      <c r="A14" s="5" t="s">
        <v>162</v>
      </c>
      <c r="B14" s="3">
        <v>1</v>
      </c>
      <c r="C14" s="3">
        <v>5</v>
      </c>
      <c r="D14" s="3">
        <v>1</v>
      </c>
      <c r="E14" s="3">
        <v>3</v>
      </c>
      <c r="F14" s="3">
        <v>3</v>
      </c>
      <c r="G14" s="3">
        <v>4</v>
      </c>
      <c r="H14" s="3">
        <v>1</v>
      </c>
      <c r="I14" s="3">
        <v>0</v>
      </c>
      <c r="J14" s="3">
        <v>1</v>
      </c>
      <c r="K14" s="3">
        <v>5</v>
      </c>
      <c r="L14" s="3">
        <v>1</v>
      </c>
      <c r="M14" s="3">
        <v>5</v>
      </c>
      <c r="N14" s="3">
        <v>3</v>
      </c>
      <c r="O14" s="3">
        <v>6</v>
      </c>
      <c r="P14" s="3">
        <v>6</v>
      </c>
      <c r="Q14" s="3">
        <v>0</v>
      </c>
      <c r="R14" s="3">
        <v>1</v>
      </c>
      <c r="S14" s="3">
        <v>3</v>
      </c>
      <c r="T14" s="3">
        <v>0</v>
      </c>
      <c r="U14" s="3">
        <v>3</v>
      </c>
      <c r="V14" s="3">
        <v>6</v>
      </c>
      <c r="W14" s="3">
        <v>0</v>
      </c>
      <c r="X14" s="3">
        <v>1</v>
      </c>
      <c r="Y14" s="3">
        <v>3</v>
      </c>
      <c r="Z14" s="3">
        <v>3</v>
      </c>
      <c r="AA14" s="3">
        <v>1</v>
      </c>
      <c r="AB14" s="3">
        <v>5</v>
      </c>
      <c r="AC14" s="3">
        <v>0</v>
      </c>
      <c r="AD14" s="3">
        <v>1</v>
      </c>
      <c r="AE14" s="3">
        <v>1</v>
      </c>
      <c r="AF14" s="3">
        <v>73</v>
      </c>
      <c r="AG14">
        <v>3</v>
      </c>
      <c r="AH14">
        <v>62.82</v>
      </c>
      <c r="AI14" s="8">
        <v>3</v>
      </c>
      <c r="AJ14">
        <f t="shared" si="0"/>
        <v>188.46</v>
      </c>
      <c r="AK14" t="s">
        <v>401</v>
      </c>
    </row>
    <row r="15" spans="1:37" x14ac:dyDescent="0.2">
      <c r="A15" s="5" t="s">
        <v>124</v>
      </c>
      <c r="B15" s="3">
        <v>1</v>
      </c>
      <c r="C15" s="3">
        <v>5</v>
      </c>
      <c r="D15" s="3">
        <v>1</v>
      </c>
      <c r="E15" s="3">
        <v>1</v>
      </c>
      <c r="F15" s="3">
        <v>1</v>
      </c>
      <c r="G15" s="3">
        <v>2</v>
      </c>
      <c r="H15" s="3">
        <v>1</v>
      </c>
      <c r="I15" s="3">
        <v>5</v>
      </c>
      <c r="J15" s="3">
        <v>1</v>
      </c>
      <c r="K15" s="3">
        <v>5</v>
      </c>
      <c r="L15" s="3">
        <v>3</v>
      </c>
      <c r="M15" s="3">
        <v>1</v>
      </c>
      <c r="N15" s="3">
        <v>2</v>
      </c>
      <c r="O15" s="3">
        <v>1</v>
      </c>
      <c r="P15" s="3">
        <v>3</v>
      </c>
      <c r="Q15" s="3">
        <v>2</v>
      </c>
      <c r="R15" s="3">
        <v>1</v>
      </c>
      <c r="S15" s="3">
        <v>1</v>
      </c>
      <c r="T15" s="3">
        <v>1</v>
      </c>
      <c r="U15" s="3">
        <v>2</v>
      </c>
      <c r="V15" s="3">
        <v>3</v>
      </c>
      <c r="W15" s="3">
        <v>6</v>
      </c>
      <c r="X15" s="3">
        <v>1</v>
      </c>
      <c r="Y15" s="3">
        <v>1</v>
      </c>
      <c r="Z15" s="3">
        <v>1</v>
      </c>
      <c r="AA15" s="3">
        <v>4</v>
      </c>
      <c r="AB15" s="3">
        <v>3</v>
      </c>
      <c r="AC15" s="3">
        <v>6</v>
      </c>
      <c r="AD15" s="3">
        <v>4</v>
      </c>
      <c r="AE15" s="3">
        <v>4</v>
      </c>
      <c r="AF15" s="3">
        <v>73</v>
      </c>
      <c r="AG15">
        <v>28</v>
      </c>
      <c r="AH15">
        <v>65.87</v>
      </c>
      <c r="AI15" s="8">
        <v>28</v>
      </c>
      <c r="AJ15">
        <f t="shared" si="0"/>
        <v>1844.3600000000001</v>
      </c>
      <c r="AK15" t="s">
        <v>401</v>
      </c>
    </row>
    <row r="16" spans="1:37" x14ac:dyDescent="0.2">
      <c r="A16" s="5" t="s">
        <v>283</v>
      </c>
      <c r="B16" s="3">
        <v>7</v>
      </c>
      <c r="C16" s="3">
        <v>119</v>
      </c>
      <c r="D16" s="3">
        <v>3</v>
      </c>
      <c r="E16" s="3">
        <v>2</v>
      </c>
      <c r="F16" s="3">
        <v>6</v>
      </c>
      <c r="G16" s="3">
        <v>11</v>
      </c>
      <c r="H16" s="3">
        <v>5</v>
      </c>
      <c r="I16" s="3">
        <v>6</v>
      </c>
      <c r="J16" s="3">
        <v>7</v>
      </c>
      <c r="K16" s="3">
        <v>119</v>
      </c>
      <c r="L16" s="3">
        <v>6</v>
      </c>
      <c r="M16" s="3">
        <v>7</v>
      </c>
      <c r="N16" s="3">
        <v>6</v>
      </c>
      <c r="O16" s="3">
        <v>6</v>
      </c>
      <c r="P16" s="3">
        <v>2</v>
      </c>
      <c r="Q16" s="3">
        <v>11</v>
      </c>
      <c r="R16" s="3">
        <v>2</v>
      </c>
      <c r="S16" s="3">
        <v>6</v>
      </c>
      <c r="T16" s="3">
        <v>2</v>
      </c>
      <c r="U16" s="3">
        <v>6</v>
      </c>
      <c r="V16" s="3">
        <v>5</v>
      </c>
      <c r="W16" s="3">
        <v>4</v>
      </c>
      <c r="X16" s="3">
        <v>7</v>
      </c>
      <c r="Y16" s="3">
        <v>4</v>
      </c>
      <c r="Z16" s="3">
        <v>6</v>
      </c>
      <c r="AA16" s="3">
        <v>4</v>
      </c>
      <c r="AB16" s="3">
        <v>4</v>
      </c>
      <c r="AC16" s="3">
        <v>4</v>
      </c>
      <c r="AD16" s="3">
        <v>4</v>
      </c>
      <c r="AE16" s="3">
        <v>4</v>
      </c>
      <c r="AF16" s="3">
        <v>385</v>
      </c>
      <c r="AG16">
        <v>24</v>
      </c>
      <c r="AH16">
        <f>VLOOKUP(A16,Kits!D17:I217,4,FALSE)</f>
        <v>101.76219647999997</v>
      </c>
      <c r="AI16" s="8">
        <v>24</v>
      </c>
      <c r="AJ16">
        <f t="shared" si="0"/>
        <v>2442.2927155199995</v>
      </c>
      <c r="AK16" t="s">
        <v>401</v>
      </c>
    </row>
    <row r="17" spans="1:37" x14ac:dyDescent="0.2">
      <c r="A17" s="5" t="s">
        <v>296</v>
      </c>
      <c r="B17" s="3">
        <v>5</v>
      </c>
      <c r="C17" s="3">
        <v>1</v>
      </c>
      <c r="D17" s="3">
        <v>3</v>
      </c>
      <c r="E17" s="3">
        <v>1</v>
      </c>
      <c r="F17" s="3">
        <v>1</v>
      </c>
      <c r="G17" s="3">
        <v>118</v>
      </c>
      <c r="H17" s="3">
        <v>1</v>
      </c>
      <c r="I17" s="3">
        <v>1</v>
      </c>
      <c r="J17" s="3">
        <v>5</v>
      </c>
      <c r="K17" s="3">
        <v>1</v>
      </c>
      <c r="L17" s="3">
        <v>3</v>
      </c>
      <c r="M17" s="3">
        <v>3</v>
      </c>
      <c r="N17" s="3">
        <v>3</v>
      </c>
      <c r="O17" s="3">
        <v>13</v>
      </c>
      <c r="P17" s="3">
        <v>2</v>
      </c>
      <c r="Q17" s="3">
        <v>118</v>
      </c>
      <c r="R17" s="3">
        <v>3</v>
      </c>
      <c r="S17" s="3">
        <v>1</v>
      </c>
      <c r="T17" s="3">
        <v>1</v>
      </c>
      <c r="U17" s="3">
        <v>3</v>
      </c>
      <c r="V17" s="3">
        <v>1</v>
      </c>
      <c r="W17" s="3">
        <v>13</v>
      </c>
      <c r="X17" s="3">
        <v>5</v>
      </c>
      <c r="Y17" s="3">
        <v>4</v>
      </c>
      <c r="Z17" s="3">
        <v>1</v>
      </c>
      <c r="AA17" s="3">
        <v>13</v>
      </c>
      <c r="AB17" s="3">
        <v>13</v>
      </c>
      <c r="AC17" s="3">
        <v>13</v>
      </c>
      <c r="AD17" s="3">
        <v>13</v>
      </c>
      <c r="AE17" s="3">
        <v>13</v>
      </c>
      <c r="AF17" s="3">
        <v>376</v>
      </c>
      <c r="AG17">
        <v>0</v>
      </c>
      <c r="AH17">
        <f>VLOOKUP(A17,Kits!D18:I218,4,FALSE)</f>
        <v>5.5028999999999995</v>
      </c>
      <c r="AI17" s="8">
        <v>0</v>
      </c>
      <c r="AJ17">
        <f t="shared" si="0"/>
        <v>0</v>
      </c>
      <c r="AK17" t="s">
        <v>402</v>
      </c>
    </row>
    <row r="18" spans="1:37" x14ac:dyDescent="0.2">
      <c r="A18" s="5" t="s">
        <v>298</v>
      </c>
      <c r="B18" s="3">
        <v>1</v>
      </c>
      <c r="C18" s="3">
        <v>4</v>
      </c>
      <c r="D18" s="3">
        <v>2</v>
      </c>
      <c r="E18" s="3">
        <v>5</v>
      </c>
      <c r="F18" s="3">
        <v>1</v>
      </c>
      <c r="G18" s="3">
        <v>1</v>
      </c>
      <c r="H18" s="3">
        <v>3</v>
      </c>
      <c r="I18" s="3">
        <v>3</v>
      </c>
      <c r="J18" s="3">
        <v>1</v>
      </c>
      <c r="K18" s="3">
        <v>1</v>
      </c>
      <c r="L18" s="3">
        <v>2</v>
      </c>
      <c r="M18" s="3">
        <v>6</v>
      </c>
      <c r="N18" s="3">
        <v>2</v>
      </c>
      <c r="O18" s="3">
        <v>26</v>
      </c>
      <c r="P18" s="3">
        <v>4</v>
      </c>
      <c r="Q18" s="3">
        <v>1</v>
      </c>
      <c r="R18" s="3">
        <v>1</v>
      </c>
      <c r="S18" s="3">
        <v>3</v>
      </c>
      <c r="T18" s="3">
        <v>3</v>
      </c>
      <c r="U18" s="3">
        <v>2</v>
      </c>
      <c r="V18" s="3">
        <v>3</v>
      </c>
      <c r="W18" s="3">
        <v>26</v>
      </c>
      <c r="X18" s="3">
        <v>1</v>
      </c>
      <c r="Y18" s="3">
        <v>1</v>
      </c>
      <c r="Z18" s="3">
        <v>1</v>
      </c>
      <c r="AA18" s="3">
        <v>26</v>
      </c>
      <c r="AB18" s="3">
        <v>26</v>
      </c>
      <c r="AC18" s="3">
        <v>26</v>
      </c>
      <c r="AD18" s="3">
        <v>26</v>
      </c>
      <c r="AE18" s="3">
        <v>26</v>
      </c>
      <c r="AF18" s="3">
        <v>234</v>
      </c>
      <c r="AG18">
        <v>0</v>
      </c>
      <c r="AH18">
        <f>VLOOKUP(A18,Kits!D19:I219,4,FALSE)</f>
        <v>5.9344999999999999</v>
      </c>
      <c r="AI18" s="8">
        <v>0</v>
      </c>
      <c r="AJ18">
        <f t="shared" si="0"/>
        <v>0</v>
      </c>
      <c r="AK18" t="s">
        <v>402</v>
      </c>
    </row>
    <row r="19" spans="1:37" x14ac:dyDescent="0.2">
      <c r="A19" s="5" t="s">
        <v>299</v>
      </c>
      <c r="B19" s="3">
        <v>1</v>
      </c>
      <c r="C19" s="3">
        <v>3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2</v>
      </c>
      <c r="J19" s="3">
        <v>1</v>
      </c>
      <c r="K19" s="3">
        <v>3</v>
      </c>
      <c r="L19" s="3">
        <v>1</v>
      </c>
      <c r="M19" s="3">
        <v>6</v>
      </c>
      <c r="N19" s="3">
        <v>4</v>
      </c>
      <c r="O19" s="3">
        <v>13</v>
      </c>
      <c r="P19" s="3">
        <v>1</v>
      </c>
      <c r="Q19" s="3">
        <v>1</v>
      </c>
      <c r="R19" s="3">
        <v>1</v>
      </c>
      <c r="S19" s="3">
        <v>2</v>
      </c>
      <c r="T19" s="3">
        <v>2</v>
      </c>
      <c r="U19" s="3">
        <v>4</v>
      </c>
      <c r="V19" s="3">
        <v>1</v>
      </c>
      <c r="W19" s="3">
        <v>13</v>
      </c>
      <c r="X19" s="3">
        <v>1</v>
      </c>
      <c r="Y19" s="3">
        <v>118</v>
      </c>
      <c r="Z19" s="3">
        <v>1</v>
      </c>
      <c r="AA19" s="3">
        <v>13</v>
      </c>
      <c r="AB19" s="3">
        <v>13</v>
      </c>
      <c r="AC19" s="3">
        <v>13</v>
      </c>
      <c r="AD19" s="3">
        <v>13</v>
      </c>
      <c r="AE19" s="3">
        <v>13</v>
      </c>
      <c r="AF19" s="3">
        <v>249</v>
      </c>
      <c r="AG19">
        <v>0</v>
      </c>
      <c r="AH19">
        <f>VLOOKUP(A19,Kits!D20:I220,4,FALSE)</f>
        <v>4.3574999999999999</v>
      </c>
      <c r="AI19" s="8">
        <v>0</v>
      </c>
      <c r="AJ19">
        <f t="shared" si="0"/>
        <v>0</v>
      </c>
      <c r="AK19" t="s">
        <v>402</v>
      </c>
    </row>
    <row r="20" spans="1:37" x14ac:dyDescent="0.2">
      <c r="A20" s="5" t="s">
        <v>123</v>
      </c>
      <c r="B20" s="3">
        <v>1</v>
      </c>
      <c r="C20" s="3">
        <v>1</v>
      </c>
      <c r="D20" s="3">
        <v>5</v>
      </c>
      <c r="E20" s="3">
        <v>1</v>
      </c>
      <c r="F20" s="3">
        <v>3</v>
      </c>
      <c r="G20" s="3">
        <v>3</v>
      </c>
      <c r="H20" s="3">
        <v>1</v>
      </c>
      <c r="I20" s="3">
        <v>5</v>
      </c>
      <c r="J20" s="3">
        <v>1</v>
      </c>
      <c r="K20" s="3">
        <v>1</v>
      </c>
      <c r="L20" s="3">
        <v>1</v>
      </c>
      <c r="M20" s="3">
        <v>2</v>
      </c>
      <c r="N20" s="3">
        <v>1</v>
      </c>
      <c r="O20" s="3">
        <v>3</v>
      </c>
      <c r="P20" s="3">
        <v>2</v>
      </c>
      <c r="Q20" s="3">
        <v>3</v>
      </c>
      <c r="R20" s="3">
        <v>1</v>
      </c>
      <c r="S20" s="3">
        <v>6</v>
      </c>
      <c r="T20" s="3">
        <v>3</v>
      </c>
      <c r="U20" s="3">
        <v>1</v>
      </c>
      <c r="V20" s="3">
        <v>2</v>
      </c>
      <c r="W20" s="3">
        <v>3</v>
      </c>
      <c r="X20" s="3">
        <v>1</v>
      </c>
      <c r="Y20" s="3">
        <v>3</v>
      </c>
      <c r="Z20" s="3">
        <v>3</v>
      </c>
      <c r="AA20" s="3">
        <v>2</v>
      </c>
      <c r="AB20" s="3">
        <v>1</v>
      </c>
      <c r="AC20" s="3">
        <v>3</v>
      </c>
      <c r="AD20" s="3">
        <v>2</v>
      </c>
      <c r="AE20" s="3">
        <v>2</v>
      </c>
      <c r="AF20" s="3">
        <v>67</v>
      </c>
      <c r="AG20">
        <v>6</v>
      </c>
      <c r="AH20">
        <f>VLOOKUP(A20,Kits!D21:I221,4,FALSE)</f>
        <v>122.52459999999999</v>
      </c>
      <c r="AI20" s="8">
        <v>6</v>
      </c>
      <c r="AJ20">
        <f t="shared" si="0"/>
        <v>735.14760000000001</v>
      </c>
      <c r="AK20" t="s">
        <v>401</v>
      </c>
    </row>
    <row r="21" spans="1:37" x14ac:dyDescent="0.2">
      <c r="A21" s="5" t="s">
        <v>292</v>
      </c>
      <c r="B21" s="3">
        <v>1</v>
      </c>
      <c r="C21" s="3">
        <v>5</v>
      </c>
      <c r="D21" s="3">
        <v>3</v>
      </c>
      <c r="E21" s="3">
        <v>1</v>
      </c>
      <c r="F21" s="3">
        <v>2</v>
      </c>
      <c r="G21" s="3">
        <v>2</v>
      </c>
      <c r="H21" s="3">
        <v>3</v>
      </c>
      <c r="I21" s="3">
        <v>1</v>
      </c>
      <c r="J21" s="3">
        <v>1</v>
      </c>
      <c r="K21" s="3">
        <v>6</v>
      </c>
      <c r="L21" s="3">
        <v>3</v>
      </c>
      <c r="M21" s="3">
        <v>1</v>
      </c>
      <c r="N21" s="3">
        <v>4</v>
      </c>
      <c r="O21" s="3">
        <v>2</v>
      </c>
      <c r="P21" s="3">
        <v>3</v>
      </c>
      <c r="Q21" s="3">
        <v>2</v>
      </c>
      <c r="R21" s="3">
        <v>6</v>
      </c>
      <c r="S21" s="3">
        <v>1</v>
      </c>
      <c r="T21" s="3">
        <v>1</v>
      </c>
      <c r="U21" s="3">
        <v>4</v>
      </c>
      <c r="V21" s="3">
        <v>3</v>
      </c>
      <c r="W21" s="3">
        <v>2</v>
      </c>
      <c r="X21" s="3">
        <v>1</v>
      </c>
      <c r="Y21" s="3">
        <v>1</v>
      </c>
      <c r="Z21" s="3">
        <v>2</v>
      </c>
      <c r="AA21" s="3">
        <v>2</v>
      </c>
      <c r="AB21" s="3">
        <v>2</v>
      </c>
      <c r="AC21" s="3">
        <v>2</v>
      </c>
      <c r="AD21" s="3">
        <v>2</v>
      </c>
      <c r="AE21" s="3">
        <v>2</v>
      </c>
      <c r="AF21" s="3">
        <v>71</v>
      </c>
      <c r="AG21">
        <v>4</v>
      </c>
      <c r="AH21">
        <f>VLOOKUP(A21,Kits!D22:I222,4,FALSE)</f>
        <v>96.852699999999999</v>
      </c>
      <c r="AI21" s="8">
        <v>4</v>
      </c>
      <c r="AJ21">
        <f t="shared" si="0"/>
        <v>387.41079999999999</v>
      </c>
      <c r="AK21" t="s">
        <v>401</v>
      </c>
    </row>
    <row r="22" spans="1:37" x14ac:dyDescent="0.2">
      <c r="A22" s="5" t="s">
        <v>344</v>
      </c>
      <c r="B22" s="3">
        <v>1</v>
      </c>
      <c r="C22" s="3">
        <v>1</v>
      </c>
      <c r="D22" s="3">
        <v>3</v>
      </c>
      <c r="E22" s="3">
        <v>3</v>
      </c>
      <c r="F22" s="3">
        <v>3</v>
      </c>
      <c r="G22" s="3">
        <v>1</v>
      </c>
      <c r="H22" s="3">
        <v>5</v>
      </c>
      <c r="I22" s="3">
        <v>4</v>
      </c>
      <c r="J22" s="3">
        <v>1</v>
      </c>
      <c r="K22" s="3">
        <v>1</v>
      </c>
      <c r="L22" s="3">
        <v>3</v>
      </c>
      <c r="M22" s="3">
        <v>1</v>
      </c>
      <c r="N22" s="3">
        <v>6</v>
      </c>
      <c r="O22" s="3">
        <v>1</v>
      </c>
      <c r="P22" s="3">
        <v>1</v>
      </c>
      <c r="Q22" s="3">
        <v>1</v>
      </c>
      <c r="R22" s="3">
        <v>1</v>
      </c>
      <c r="S22" s="3">
        <v>4</v>
      </c>
      <c r="T22" s="3">
        <v>6</v>
      </c>
      <c r="U22" s="3">
        <v>6</v>
      </c>
      <c r="V22" s="3">
        <v>5</v>
      </c>
      <c r="W22" s="3">
        <v>1</v>
      </c>
      <c r="X22" s="3">
        <v>1</v>
      </c>
      <c r="Y22" s="3">
        <v>3</v>
      </c>
      <c r="Z22" s="3">
        <v>3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71</v>
      </c>
      <c r="AG22">
        <v>4</v>
      </c>
      <c r="AH22">
        <f>VLOOKUP(A22,Kits!D23:I223,4,FALSE)</f>
        <v>12.767126399999999</v>
      </c>
      <c r="AI22" s="8">
        <v>4</v>
      </c>
      <c r="AJ22">
        <f t="shared" si="0"/>
        <v>51.068505599999995</v>
      </c>
      <c r="AK22" t="s">
        <v>401</v>
      </c>
    </row>
    <row r="23" spans="1:37" x14ac:dyDescent="0.2">
      <c r="A23" s="5" t="s">
        <v>343</v>
      </c>
      <c r="B23" s="3">
        <v>1</v>
      </c>
      <c r="C23" s="3">
        <v>3</v>
      </c>
      <c r="D23" s="3">
        <v>2</v>
      </c>
      <c r="E23" s="3">
        <v>1</v>
      </c>
      <c r="F23" s="3">
        <v>1</v>
      </c>
      <c r="G23" s="3">
        <v>1</v>
      </c>
      <c r="H23" s="3">
        <v>5</v>
      </c>
      <c r="I23" s="3">
        <v>1</v>
      </c>
      <c r="J23" s="3">
        <v>1</v>
      </c>
      <c r="K23" s="3">
        <v>1</v>
      </c>
      <c r="L23" s="3">
        <v>4</v>
      </c>
      <c r="M23" s="3">
        <v>4</v>
      </c>
      <c r="N23" s="3">
        <v>6</v>
      </c>
      <c r="O23" s="3">
        <v>1</v>
      </c>
      <c r="P23" s="3">
        <v>6</v>
      </c>
      <c r="Q23" s="3">
        <v>1</v>
      </c>
      <c r="R23" s="3">
        <v>5</v>
      </c>
      <c r="S23" s="3">
        <v>1</v>
      </c>
      <c r="T23" s="3">
        <v>3</v>
      </c>
      <c r="U23" s="3">
        <v>6</v>
      </c>
      <c r="V23" s="3">
        <v>5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68</v>
      </c>
      <c r="AG23">
        <v>0</v>
      </c>
      <c r="AH23">
        <f>VLOOKUP(A23,Kits!D24:I224,4,FALSE)</f>
        <v>16.807499999999997</v>
      </c>
      <c r="AI23" s="8">
        <v>0</v>
      </c>
      <c r="AJ23">
        <f t="shared" si="0"/>
        <v>0</v>
      </c>
      <c r="AK23" t="s">
        <v>402</v>
      </c>
    </row>
    <row r="24" spans="1:37" x14ac:dyDescent="0.2">
      <c r="A24" s="5" t="s">
        <v>339</v>
      </c>
      <c r="B24" s="3">
        <v>3</v>
      </c>
      <c r="C24" s="3">
        <v>3</v>
      </c>
      <c r="D24" s="3">
        <v>4</v>
      </c>
      <c r="E24" s="3">
        <v>1</v>
      </c>
      <c r="F24" s="3">
        <v>1</v>
      </c>
      <c r="G24" s="3">
        <v>1</v>
      </c>
      <c r="H24" s="3">
        <v>3</v>
      </c>
      <c r="I24" s="3">
        <v>5</v>
      </c>
      <c r="J24" s="3">
        <v>3</v>
      </c>
      <c r="K24" s="3">
        <v>1</v>
      </c>
      <c r="L24" s="3">
        <v>1</v>
      </c>
      <c r="M24" s="3">
        <v>1</v>
      </c>
      <c r="N24" s="3">
        <v>118</v>
      </c>
      <c r="O24" s="3">
        <v>1</v>
      </c>
      <c r="P24" s="3">
        <v>3</v>
      </c>
      <c r="Q24" s="3">
        <v>1</v>
      </c>
      <c r="R24" s="3">
        <v>2</v>
      </c>
      <c r="S24" s="3">
        <v>5</v>
      </c>
      <c r="T24" s="3">
        <v>1</v>
      </c>
      <c r="U24" s="3">
        <v>118</v>
      </c>
      <c r="V24" s="3">
        <v>3</v>
      </c>
      <c r="W24" s="3">
        <v>1</v>
      </c>
      <c r="X24" s="3">
        <v>3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290</v>
      </c>
      <c r="AG24">
        <v>37</v>
      </c>
      <c r="AH24">
        <f>VLOOKUP(A24,Kits!D25:I225,4,FALSE)</f>
        <v>20.279038079999996</v>
      </c>
      <c r="AI24" s="8">
        <v>37</v>
      </c>
      <c r="AJ24">
        <f t="shared" si="0"/>
        <v>750.3244089599998</v>
      </c>
      <c r="AK24" t="s">
        <v>401</v>
      </c>
    </row>
    <row r="25" spans="1:37" x14ac:dyDescent="0.2">
      <c r="A25" s="5" t="s">
        <v>338</v>
      </c>
      <c r="B25" s="3">
        <v>4</v>
      </c>
      <c r="C25" s="3">
        <v>1</v>
      </c>
      <c r="D25" s="3">
        <v>2</v>
      </c>
      <c r="E25" s="3">
        <v>1</v>
      </c>
      <c r="F25" s="3">
        <v>1</v>
      </c>
      <c r="G25" s="3">
        <v>3</v>
      </c>
      <c r="H25" s="3">
        <v>1</v>
      </c>
      <c r="I25" s="3">
        <v>1</v>
      </c>
      <c r="J25" s="3">
        <v>4</v>
      </c>
      <c r="K25" s="3">
        <v>2</v>
      </c>
      <c r="L25" s="3">
        <v>5</v>
      </c>
      <c r="M25" s="3">
        <v>5</v>
      </c>
      <c r="N25" s="3">
        <v>1</v>
      </c>
      <c r="O25" s="3">
        <v>1</v>
      </c>
      <c r="P25" s="3">
        <v>1</v>
      </c>
      <c r="Q25" s="3">
        <v>3</v>
      </c>
      <c r="R25" s="3">
        <v>3</v>
      </c>
      <c r="S25" s="3">
        <v>1</v>
      </c>
      <c r="T25" s="3">
        <v>3</v>
      </c>
      <c r="U25" s="3">
        <v>1</v>
      </c>
      <c r="V25" s="3">
        <v>1</v>
      </c>
      <c r="W25" s="3">
        <v>1</v>
      </c>
      <c r="X25" s="3">
        <v>4</v>
      </c>
      <c r="Y25" s="3">
        <v>1</v>
      </c>
      <c r="Z25" s="3">
        <v>1</v>
      </c>
      <c r="AA25" s="3">
        <v>1</v>
      </c>
      <c r="AB25" s="3">
        <v>0</v>
      </c>
      <c r="AC25" s="3">
        <v>1</v>
      </c>
      <c r="AD25" s="3">
        <v>1</v>
      </c>
      <c r="AE25" s="3">
        <v>1</v>
      </c>
      <c r="AF25" s="3">
        <v>56</v>
      </c>
      <c r="AG25">
        <v>43</v>
      </c>
      <c r="AH25">
        <f>VLOOKUP(A25,Kits!D26:I226,4,FALSE)</f>
        <v>11.712959999999999</v>
      </c>
      <c r="AI25" s="8">
        <v>43</v>
      </c>
      <c r="AJ25">
        <f t="shared" si="0"/>
        <v>503.65727999999996</v>
      </c>
      <c r="AK25" t="s">
        <v>401</v>
      </c>
    </row>
    <row r="26" spans="1:37" x14ac:dyDescent="0.2">
      <c r="A26" s="5" t="s">
        <v>337</v>
      </c>
      <c r="B26" s="3">
        <v>1</v>
      </c>
      <c r="C26" s="3">
        <v>3</v>
      </c>
      <c r="D26" s="3">
        <v>3</v>
      </c>
      <c r="E26" s="3">
        <v>1</v>
      </c>
      <c r="F26" s="3">
        <v>118</v>
      </c>
      <c r="G26" s="3">
        <v>1</v>
      </c>
      <c r="H26" s="3">
        <v>1</v>
      </c>
      <c r="I26" s="3">
        <v>2</v>
      </c>
      <c r="J26" s="3">
        <v>1</v>
      </c>
      <c r="K26" s="3">
        <v>3</v>
      </c>
      <c r="L26" s="3">
        <v>1</v>
      </c>
      <c r="M26" s="3">
        <v>5</v>
      </c>
      <c r="N26" s="3">
        <v>4</v>
      </c>
      <c r="O26" s="3">
        <v>118</v>
      </c>
      <c r="P26" s="3">
        <v>1</v>
      </c>
      <c r="Q26" s="3">
        <v>1</v>
      </c>
      <c r="R26" s="3">
        <v>1</v>
      </c>
      <c r="S26" s="3">
        <v>2</v>
      </c>
      <c r="T26" s="3">
        <v>1</v>
      </c>
      <c r="U26" s="3">
        <v>4</v>
      </c>
      <c r="V26" s="3">
        <v>1</v>
      </c>
      <c r="W26" s="3">
        <v>1</v>
      </c>
      <c r="X26" s="3">
        <v>1</v>
      </c>
      <c r="Y26" s="3">
        <v>118</v>
      </c>
      <c r="Z26" s="3">
        <v>118</v>
      </c>
      <c r="AA26" s="3">
        <v>1</v>
      </c>
      <c r="AB26" s="3">
        <v>6</v>
      </c>
      <c r="AC26" s="3">
        <v>1</v>
      </c>
      <c r="AD26" s="3">
        <v>1</v>
      </c>
      <c r="AE26" s="3">
        <v>1</v>
      </c>
      <c r="AF26" s="3">
        <v>521</v>
      </c>
      <c r="AG26">
        <v>65</v>
      </c>
      <c r="AH26">
        <f>VLOOKUP(A26,Kits!D27:I227,4,FALSE)</f>
        <v>11.761099999999999</v>
      </c>
      <c r="AI26" s="8">
        <v>65</v>
      </c>
      <c r="AJ26">
        <f t="shared" si="0"/>
        <v>764.47149999999988</v>
      </c>
      <c r="AK26" t="s">
        <v>401</v>
      </c>
    </row>
    <row r="27" spans="1:37" x14ac:dyDescent="0.2">
      <c r="A27" s="5" t="s">
        <v>233</v>
      </c>
      <c r="B27" s="3">
        <v>1</v>
      </c>
      <c r="C27" s="3">
        <v>1</v>
      </c>
      <c r="D27" s="3">
        <v>1</v>
      </c>
      <c r="E27" s="3">
        <v>5</v>
      </c>
      <c r="F27" s="3">
        <v>1</v>
      </c>
      <c r="G27" s="3">
        <v>2</v>
      </c>
      <c r="H27" s="3">
        <v>6</v>
      </c>
      <c r="I27" s="3">
        <v>2</v>
      </c>
      <c r="J27" s="3">
        <v>1</v>
      </c>
      <c r="K27" s="3">
        <v>1</v>
      </c>
      <c r="L27" s="3">
        <v>1</v>
      </c>
      <c r="M27" s="3">
        <v>1</v>
      </c>
      <c r="N27" s="3">
        <v>3</v>
      </c>
      <c r="O27" s="3">
        <v>1</v>
      </c>
      <c r="P27" s="3">
        <v>1</v>
      </c>
      <c r="Q27" s="3">
        <v>1</v>
      </c>
      <c r="R27" s="3">
        <v>3</v>
      </c>
      <c r="S27" s="3">
        <v>1</v>
      </c>
      <c r="T27" s="3">
        <v>1</v>
      </c>
      <c r="U27" s="3">
        <v>3</v>
      </c>
      <c r="V27" s="3">
        <v>1</v>
      </c>
      <c r="W27" s="3">
        <v>2</v>
      </c>
      <c r="X27" s="3">
        <v>1</v>
      </c>
      <c r="Y27" s="3">
        <v>2</v>
      </c>
      <c r="Z27" s="3">
        <v>1</v>
      </c>
      <c r="AA27" s="3">
        <v>1</v>
      </c>
      <c r="AB27" s="3">
        <v>1</v>
      </c>
      <c r="AC27" s="3">
        <v>2</v>
      </c>
      <c r="AD27" s="3">
        <v>1</v>
      </c>
      <c r="AE27" s="3">
        <v>1</v>
      </c>
      <c r="AF27" s="3">
        <v>50</v>
      </c>
      <c r="AG27">
        <v>4</v>
      </c>
      <c r="AH27">
        <f>VLOOKUP(A27,Kits!D28:I228,4,FALSE)</f>
        <v>3989.2954</v>
      </c>
      <c r="AI27" s="8">
        <v>4</v>
      </c>
      <c r="AJ27">
        <f t="shared" si="0"/>
        <v>15957.1816</v>
      </c>
      <c r="AK27" t="s">
        <v>401</v>
      </c>
    </row>
    <row r="28" spans="1:37" x14ac:dyDescent="0.2">
      <c r="A28" s="5" t="s">
        <v>204</v>
      </c>
      <c r="B28" s="3">
        <v>3</v>
      </c>
      <c r="C28" s="3">
        <v>1</v>
      </c>
      <c r="D28" s="3">
        <v>1</v>
      </c>
      <c r="E28" s="3">
        <v>2</v>
      </c>
      <c r="F28" s="3">
        <v>1</v>
      </c>
      <c r="G28" s="3">
        <v>3</v>
      </c>
      <c r="H28" s="3">
        <v>1</v>
      </c>
      <c r="I28" s="3">
        <v>2</v>
      </c>
      <c r="J28" s="3">
        <v>3</v>
      </c>
      <c r="K28" s="3">
        <v>1</v>
      </c>
      <c r="L28" s="3">
        <v>1</v>
      </c>
      <c r="M28" s="3">
        <v>118</v>
      </c>
      <c r="N28" s="3">
        <v>5</v>
      </c>
      <c r="O28" s="3">
        <v>1</v>
      </c>
      <c r="P28" s="3">
        <v>3</v>
      </c>
      <c r="Q28" s="3">
        <v>1</v>
      </c>
      <c r="R28" s="3">
        <v>2</v>
      </c>
      <c r="S28" s="3">
        <v>3</v>
      </c>
      <c r="T28" s="3">
        <v>1</v>
      </c>
      <c r="U28" s="3">
        <v>5</v>
      </c>
      <c r="V28" s="3">
        <v>3</v>
      </c>
      <c r="W28" s="3">
        <v>1</v>
      </c>
      <c r="X28" s="3">
        <v>3</v>
      </c>
      <c r="Y28" s="3">
        <v>2</v>
      </c>
      <c r="Z28" s="3">
        <v>2</v>
      </c>
      <c r="AA28" s="3">
        <v>2</v>
      </c>
      <c r="AB28" s="3">
        <v>118</v>
      </c>
      <c r="AC28" s="3">
        <v>1</v>
      </c>
      <c r="AD28" s="3">
        <v>2</v>
      </c>
      <c r="AE28" s="3">
        <v>2</v>
      </c>
      <c r="AF28" s="3">
        <v>294</v>
      </c>
      <c r="AG28">
        <v>5</v>
      </c>
      <c r="AH28">
        <f>VLOOKUP(A28,Kits!D29:I229,4,FALSE)</f>
        <v>103.72216512</v>
      </c>
      <c r="AI28" s="8">
        <v>5</v>
      </c>
      <c r="AJ28">
        <f t="shared" si="0"/>
        <v>518.6108256</v>
      </c>
      <c r="AK28" t="s">
        <v>401</v>
      </c>
    </row>
    <row r="29" spans="1:37" x14ac:dyDescent="0.2">
      <c r="A29" s="5" t="s">
        <v>64</v>
      </c>
      <c r="B29" s="3">
        <v>1</v>
      </c>
      <c r="C29" s="3">
        <v>3</v>
      </c>
      <c r="D29" s="3">
        <v>3</v>
      </c>
      <c r="E29" s="3">
        <v>1</v>
      </c>
      <c r="F29" s="3">
        <v>6</v>
      </c>
      <c r="G29" s="3">
        <v>5</v>
      </c>
      <c r="H29" s="3">
        <v>1</v>
      </c>
      <c r="I29" s="3">
        <v>3</v>
      </c>
      <c r="J29" s="3">
        <v>1</v>
      </c>
      <c r="K29" s="3">
        <v>3</v>
      </c>
      <c r="L29" s="3">
        <v>1</v>
      </c>
      <c r="M29" s="3">
        <v>2</v>
      </c>
      <c r="N29" s="3">
        <v>3</v>
      </c>
      <c r="O29" s="3">
        <v>118</v>
      </c>
      <c r="P29" s="3">
        <v>1</v>
      </c>
      <c r="Q29" s="3">
        <v>1</v>
      </c>
      <c r="R29" s="3">
        <v>3</v>
      </c>
      <c r="S29" s="3">
        <v>2</v>
      </c>
      <c r="T29" s="3">
        <v>1</v>
      </c>
      <c r="U29" s="3">
        <v>4</v>
      </c>
      <c r="V29" s="3">
        <v>1</v>
      </c>
      <c r="W29" s="3">
        <v>1</v>
      </c>
      <c r="X29" s="3">
        <v>1</v>
      </c>
      <c r="Y29" s="3">
        <v>3</v>
      </c>
      <c r="Z29" s="3">
        <v>5</v>
      </c>
      <c r="AA29" s="3">
        <v>5</v>
      </c>
      <c r="AB29" s="3">
        <v>1</v>
      </c>
      <c r="AC29" s="3">
        <v>1</v>
      </c>
      <c r="AD29" s="3">
        <v>1</v>
      </c>
      <c r="AE29" s="3">
        <v>1</v>
      </c>
      <c r="AF29" s="3">
        <v>183</v>
      </c>
      <c r="AG29">
        <v>23</v>
      </c>
      <c r="AH29">
        <v>803</v>
      </c>
      <c r="AI29" s="8">
        <v>23</v>
      </c>
      <c r="AJ29">
        <f t="shared" si="0"/>
        <v>18469</v>
      </c>
      <c r="AK29" t="s">
        <v>401</v>
      </c>
    </row>
    <row r="30" spans="1:37" x14ac:dyDescent="0.2">
      <c r="A30" s="5" t="s">
        <v>194</v>
      </c>
      <c r="B30" s="3">
        <v>6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6</v>
      </c>
      <c r="I30" s="3">
        <v>0</v>
      </c>
      <c r="J30" s="3">
        <v>6</v>
      </c>
      <c r="K30" s="3">
        <v>1</v>
      </c>
      <c r="L30" s="3">
        <v>1</v>
      </c>
      <c r="M30" s="3">
        <v>1</v>
      </c>
      <c r="N30" s="3">
        <v>3</v>
      </c>
      <c r="O30" s="3">
        <v>1</v>
      </c>
      <c r="P30" s="3">
        <v>1</v>
      </c>
      <c r="Q30" s="3">
        <v>0</v>
      </c>
      <c r="R30" s="3">
        <v>6</v>
      </c>
      <c r="S30" s="3">
        <v>4</v>
      </c>
      <c r="T30" s="3">
        <v>0</v>
      </c>
      <c r="U30" s="3">
        <v>3</v>
      </c>
      <c r="V30" s="3">
        <v>1</v>
      </c>
      <c r="W30" s="3">
        <v>0</v>
      </c>
      <c r="X30" s="3">
        <v>6</v>
      </c>
      <c r="Y30" s="3">
        <v>1</v>
      </c>
      <c r="Z30" s="3">
        <v>1</v>
      </c>
      <c r="AA30" s="3">
        <v>8</v>
      </c>
      <c r="AB30" s="3">
        <v>1</v>
      </c>
      <c r="AC30" s="3">
        <v>0</v>
      </c>
      <c r="AD30" s="3">
        <v>8</v>
      </c>
      <c r="AE30" s="3">
        <v>8</v>
      </c>
      <c r="AF30" s="3">
        <v>78</v>
      </c>
      <c r="AG30">
        <v>11</v>
      </c>
      <c r="AH30">
        <f>VLOOKUP(A30,Kits!D31:I231,4,FALSE)</f>
        <v>868.20489999999995</v>
      </c>
      <c r="AI30" s="8">
        <v>11</v>
      </c>
      <c r="AJ30">
        <f t="shared" si="0"/>
        <v>9550.2538999999997</v>
      </c>
      <c r="AK30" t="s">
        <v>401</v>
      </c>
    </row>
    <row r="31" spans="1:37" x14ac:dyDescent="0.2">
      <c r="A31" s="5" t="s">
        <v>192</v>
      </c>
      <c r="B31" s="3">
        <v>3</v>
      </c>
      <c r="C31" s="3">
        <v>6</v>
      </c>
      <c r="D31" s="3">
        <v>3</v>
      </c>
      <c r="E31" s="3">
        <v>118</v>
      </c>
      <c r="F31" s="3">
        <v>2</v>
      </c>
      <c r="G31" s="3">
        <v>5</v>
      </c>
      <c r="H31" s="3">
        <v>3</v>
      </c>
      <c r="I31" s="3">
        <v>0</v>
      </c>
      <c r="J31" s="3">
        <v>3</v>
      </c>
      <c r="K31" s="3">
        <v>6</v>
      </c>
      <c r="L31" s="3">
        <v>4</v>
      </c>
      <c r="M31" s="3">
        <v>3</v>
      </c>
      <c r="N31" s="3">
        <v>4</v>
      </c>
      <c r="O31" s="3">
        <v>2</v>
      </c>
      <c r="P31" s="3">
        <v>3</v>
      </c>
      <c r="Q31" s="3">
        <v>0</v>
      </c>
      <c r="R31" s="3">
        <v>6</v>
      </c>
      <c r="S31" s="3">
        <v>2</v>
      </c>
      <c r="T31" s="3">
        <v>0</v>
      </c>
      <c r="U31" s="3">
        <v>4</v>
      </c>
      <c r="V31" s="3">
        <v>3</v>
      </c>
      <c r="W31" s="3">
        <v>0</v>
      </c>
      <c r="X31" s="3">
        <v>3</v>
      </c>
      <c r="Y31" s="3">
        <v>2</v>
      </c>
      <c r="Z31" s="3">
        <v>2</v>
      </c>
      <c r="AA31" s="3">
        <v>2</v>
      </c>
      <c r="AB31" s="3">
        <v>1</v>
      </c>
      <c r="AC31" s="3">
        <v>0</v>
      </c>
      <c r="AD31" s="3">
        <v>2</v>
      </c>
      <c r="AE31" s="3">
        <v>2</v>
      </c>
      <c r="AF31" s="3">
        <v>194</v>
      </c>
      <c r="AG31">
        <v>27</v>
      </c>
      <c r="AH31">
        <f>VLOOKUP(A31,Kits!D32:I232,4,FALSE)</f>
        <v>843.03639167999984</v>
      </c>
      <c r="AI31" s="8">
        <v>27</v>
      </c>
      <c r="AJ31">
        <f t="shared" si="0"/>
        <v>22761.982575359994</v>
      </c>
      <c r="AK31" t="s">
        <v>401</v>
      </c>
    </row>
    <row r="32" spans="1:37" x14ac:dyDescent="0.2">
      <c r="A32" s="5" t="s">
        <v>182</v>
      </c>
      <c r="B32" s="3">
        <v>118</v>
      </c>
      <c r="C32" s="3">
        <v>1</v>
      </c>
      <c r="D32" s="3">
        <v>5</v>
      </c>
      <c r="E32" s="3">
        <v>3</v>
      </c>
      <c r="F32" s="3">
        <v>6</v>
      </c>
      <c r="G32" s="3">
        <v>3</v>
      </c>
      <c r="H32" s="3">
        <v>118</v>
      </c>
      <c r="I32" s="3">
        <v>0</v>
      </c>
      <c r="J32" s="3">
        <v>118</v>
      </c>
      <c r="K32" s="3">
        <v>1</v>
      </c>
      <c r="L32" s="3">
        <v>1</v>
      </c>
      <c r="M32" s="3">
        <v>2</v>
      </c>
      <c r="N32" s="3">
        <v>1</v>
      </c>
      <c r="O32" s="3">
        <v>6</v>
      </c>
      <c r="P32" s="3">
        <v>1</v>
      </c>
      <c r="Q32" s="3">
        <v>0</v>
      </c>
      <c r="R32" s="3">
        <v>6</v>
      </c>
      <c r="S32" s="3">
        <v>1</v>
      </c>
      <c r="T32" s="3">
        <v>0</v>
      </c>
      <c r="U32" s="3">
        <v>1</v>
      </c>
      <c r="V32" s="3">
        <v>1</v>
      </c>
      <c r="W32" s="3">
        <v>0</v>
      </c>
      <c r="X32" s="3">
        <v>118</v>
      </c>
      <c r="Y32" s="3">
        <v>6</v>
      </c>
      <c r="Z32" s="3">
        <v>6</v>
      </c>
      <c r="AA32" s="3">
        <v>6</v>
      </c>
      <c r="AB32" s="3">
        <v>5</v>
      </c>
      <c r="AC32" s="3">
        <v>0</v>
      </c>
      <c r="AD32" s="3">
        <v>6</v>
      </c>
      <c r="AE32" s="3">
        <v>6</v>
      </c>
      <c r="AF32" s="3">
        <v>546</v>
      </c>
      <c r="AG32">
        <v>10</v>
      </c>
      <c r="AH32">
        <f>VLOOKUP(A32,Kits!D33:I233,4,FALSE)</f>
        <v>80.788189439999996</v>
      </c>
      <c r="AI32" s="8">
        <v>10</v>
      </c>
      <c r="AJ32">
        <f t="shared" si="0"/>
        <v>807.88189439999996</v>
      </c>
      <c r="AK32" t="s">
        <v>401</v>
      </c>
    </row>
    <row r="33" spans="1:37" x14ac:dyDescent="0.2">
      <c r="A33" s="5" t="s">
        <v>189</v>
      </c>
      <c r="B33" s="3">
        <v>1</v>
      </c>
      <c r="C33" s="3">
        <v>3</v>
      </c>
      <c r="D33" s="3">
        <v>6</v>
      </c>
      <c r="E33" s="3">
        <v>4</v>
      </c>
      <c r="F33" s="3">
        <v>1</v>
      </c>
      <c r="G33" s="3">
        <v>2</v>
      </c>
      <c r="H33" s="3">
        <v>1</v>
      </c>
      <c r="I33" s="3">
        <v>0</v>
      </c>
      <c r="J33" s="3">
        <v>1</v>
      </c>
      <c r="K33" s="3">
        <v>3</v>
      </c>
      <c r="L33" s="3">
        <v>3</v>
      </c>
      <c r="M33" s="3">
        <v>1</v>
      </c>
      <c r="N33" s="3">
        <v>1</v>
      </c>
      <c r="O33" s="3">
        <v>1</v>
      </c>
      <c r="P33" s="3">
        <v>1</v>
      </c>
      <c r="Q33" s="3">
        <v>0</v>
      </c>
      <c r="R33" s="3">
        <v>2</v>
      </c>
      <c r="S33" s="3">
        <v>1</v>
      </c>
      <c r="T33" s="3">
        <v>0</v>
      </c>
      <c r="U33" s="3">
        <v>1</v>
      </c>
      <c r="V33" s="3">
        <v>1</v>
      </c>
      <c r="W33" s="3">
        <v>0</v>
      </c>
      <c r="X33" s="3">
        <v>1</v>
      </c>
      <c r="Y33" s="3">
        <v>1</v>
      </c>
      <c r="Z33" s="3">
        <v>1</v>
      </c>
      <c r="AA33" s="3">
        <v>6</v>
      </c>
      <c r="AB33" s="3">
        <v>5</v>
      </c>
      <c r="AC33" s="3">
        <v>0</v>
      </c>
      <c r="AD33" s="3">
        <v>6</v>
      </c>
      <c r="AE33" s="3">
        <v>6</v>
      </c>
      <c r="AF33" s="3">
        <v>60</v>
      </c>
      <c r="AG33">
        <v>1</v>
      </c>
      <c r="AH33">
        <f>VLOOKUP(A33,Kits!D34:I234,4,FALSE)</f>
        <v>154.25968320000001</v>
      </c>
      <c r="AI33" s="8">
        <v>1</v>
      </c>
      <c r="AJ33">
        <f t="shared" si="0"/>
        <v>154.25968320000001</v>
      </c>
      <c r="AK33" t="s">
        <v>401</v>
      </c>
    </row>
    <row r="34" spans="1:37" x14ac:dyDescent="0.2">
      <c r="A34" s="5" t="s">
        <v>180</v>
      </c>
      <c r="B34" s="3">
        <v>1</v>
      </c>
      <c r="C34" s="3">
        <v>1</v>
      </c>
      <c r="D34" s="3">
        <v>1</v>
      </c>
      <c r="E34" s="3">
        <v>4</v>
      </c>
      <c r="F34" s="3">
        <v>6</v>
      </c>
      <c r="G34" s="3">
        <v>1</v>
      </c>
      <c r="H34" s="3">
        <v>1</v>
      </c>
      <c r="I34" s="3">
        <v>0</v>
      </c>
      <c r="J34" s="3">
        <v>1</v>
      </c>
      <c r="K34" s="3">
        <v>1</v>
      </c>
      <c r="L34" s="3">
        <v>1</v>
      </c>
      <c r="M34" s="3">
        <v>3</v>
      </c>
      <c r="N34" s="3">
        <v>1</v>
      </c>
      <c r="O34" s="3">
        <v>6</v>
      </c>
      <c r="P34" s="3">
        <v>1</v>
      </c>
      <c r="Q34" s="3">
        <v>0</v>
      </c>
      <c r="R34" s="3">
        <v>8</v>
      </c>
      <c r="S34" s="3">
        <v>5</v>
      </c>
      <c r="T34" s="3">
        <v>0</v>
      </c>
      <c r="U34" s="3">
        <v>1</v>
      </c>
      <c r="V34" s="3">
        <v>1</v>
      </c>
      <c r="W34" s="3">
        <v>0</v>
      </c>
      <c r="X34" s="3">
        <v>1</v>
      </c>
      <c r="Y34" s="3">
        <v>6</v>
      </c>
      <c r="Z34" s="3">
        <v>6</v>
      </c>
      <c r="AA34" s="3">
        <v>8</v>
      </c>
      <c r="AB34" s="3">
        <v>1</v>
      </c>
      <c r="AC34" s="3">
        <v>0</v>
      </c>
      <c r="AD34" s="3">
        <v>8</v>
      </c>
      <c r="AE34" s="3">
        <v>8</v>
      </c>
      <c r="AF34" s="3">
        <v>82</v>
      </c>
      <c r="AG34">
        <v>94</v>
      </c>
      <c r="AH34">
        <f>VLOOKUP(A34,Kits!D35:I235,4,FALSE)</f>
        <v>64.117499999999993</v>
      </c>
      <c r="AI34" s="8">
        <v>82</v>
      </c>
      <c r="AJ34">
        <f t="shared" si="0"/>
        <v>5257.6349999999993</v>
      </c>
      <c r="AK34" t="s">
        <v>401</v>
      </c>
    </row>
    <row r="35" spans="1:37" x14ac:dyDescent="0.2">
      <c r="A35" s="5" t="s">
        <v>187</v>
      </c>
      <c r="B35" s="3">
        <v>3</v>
      </c>
      <c r="C35" s="3">
        <v>2</v>
      </c>
      <c r="D35" s="3">
        <v>6</v>
      </c>
      <c r="E35" s="3">
        <v>2</v>
      </c>
      <c r="F35" s="3">
        <v>1</v>
      </c>
      <c r="G35" s="3">
        <v>3</v>
      </c>
      <c r="H35" s="3">
        <v>3</v>
      </c>
      <c r="I35" s="3">
        <v>0</v>
      </c>
      <c r="J35" s="3">
        <v>3</v>
      </c>
      <c r="K35" s="3">
        <v>2</v>
      </c>
      <c r="L35" s="3">
        <v>1</v>
      </c>
      <c r="M35" s="3">
        <v>118</v>
      </c>
      <c r="N35" s="3">
        <v>5</v>
      </c>
      <c r="O35" s="3">
        <v>1</v>
      </c>
      <c r="P35" s="3">
        <v>1</v>
      </c>
      <c r="Q35" s="3">
        <v>0</v>
      </c>
      <c r="R35" s="3">
        <v>1</v>
      </c>
      <c r="S35" s="3">
        <v>3</v>
      </c>
      <c r="T35" s="3">
        <v>0</v>
      </c>
      <c r="U35" s="3">
        <v>5</v>
      </c>
      <c r="V35" s="3">
        <v>1</v>
      </c>
      <c r="W35" s="3">
        <v>0</v>
      </c>
      <c r="X35" s="3">
        <v>3</v>
      </c>
      <c r="Y35" s="3">
        <v>1</v>
      </c>
      <c r="Z35" s="3">
        <v>1</v>
      </c>
      <c r="AA35" s="3">
        <v>8</v>
      </c>
      <c r="AB35" s="3">
        <v>1</v>
      </c>
      <c r="AC35" s="3">
        <v>0</v>
      </c>
      <c r="AD35" s="3">
        <v>8</v>
      </c>
      <c r="AE35" s="3">
        <v>8</v>
      </c>
      <c r="AF35" s="3">
        <v>191</v>
      </c>
      <c r="AG35">
        <v>50</v>
      </c>
      <c r="AH35">
        <f>VLOOKUP(A35,Kits!D36:I236,4,FALSE)</f>
        <v>105.03649999999999</v>
      </c>
      <c r="AI35" s="8">
        <v>50</v>
      </c>
      <c r="AJ35">
        <f t="shared" si="0"/>
        <v>5251.8249999999998</v>
      </c>
      <c r="AK35" t="s">
        <v>401</v>
      </c>
    </row>
    <row r="36" spans="1:37" x14ac:dyDescent="0.2">
      <c r="A36" s="5" t="s">
        <v>92</v>
      </c>
      <c r="B36" s="3">
        <v>5</v>
      </c>
      <c r="C36" s="3">
        <v>3</v>
      </c>
      <c r="D36" s="3">
        <v>1</v>
      </c>
      <c r="E36" s="3">
        <v>1</v>
      </c>
      <c r="F36" s="3">
        <v>1</v>
      </c>
      <c r="G36" s="3">
        <v>3</v>
      </c>
      <c r="H36" s="3">
        <v>6</v>
      </c>
      <c r="I36" s="3">
        <v>4</v>
      </c>
      <c r="J36" s="3">
        <v>5</v>
      </c>
      <c r="K36" s="3">
        <v>3</v>
      </c>
      <c r="L36" s="3">
        <v>1</v>
      </c>
      <c r="M36" s="3">
        <v>5</v>
      </c>
      <c r="N36" s="3">
        <v>1</v>
      </c>
      <c r="O36" s="3">
        <v>5</v>
      </c>
      <c r="P36" s="3">
        <v>5</v>
      </c>
      <c r="Q36" s="3">
        <v>1</v>
      </c>
      <c r="R36" s="3">
        <v>6</v>
      </c>
      <c r="S36" s="3">
        <v>1</v>
      </c>
      <c r="T36" s="3">
        <v>5</v>
      </c>
      <c r="U36" s="3">
        <v>2</v>
      </c>
      <c r="V36" s="3">
        <v>5</v>
      </c>
      <c r="W36" s="3">
        <v>3</v>
      </c>
      <c r="X36" s="3">
        <v>5</v>
      </c>
      <c r="Y36" s="3">
        <v>4</v>
      </c>
      <c r="Z36" s="3">
        <v>2</v>
      </c>
      <c r="AA36" s="3">
        <v>3</v>
      </c>
      <c r="AB36" s="3">
        <v>5</v>
      </c>
      <c r="AC36" s="3">
        <v>5</v>
      </c>
      <c r="AD36" s="3">
        <v>5</v>
      </c>
      <c r="AE36" s="3">
        <v>5</v>
      </c>
      <c r="AF36" s="3">
        <v>106</v>
      </c>
      <c r="AG36">
        <v>305</v>
      </c>
      <c r="AH36">
        <f>VLOOKUP(A36,Kits!D37:I237,4,FALSE)</f>
        <v>19.297499999999999</v>
      </c>
      <c r="AI36" s="8">
        <v>106</v>
      </c>
      <c r="AJ36">
        <f t="shared" si="0"/>
        <v>2045.5349999999999</v>
      </c>
      <c r="AK36" t="s">
        <v>401</v>
      </c>
    </row>
    <row r="37" spans="1:37" x14ac:dyDescent="0.2">
      <c r="A37" s="5" t="s">
        <v>228</v>
      </c>
      <c r="B37" s="3">
        <v>5</v>
      </c>
      <c r="C37" s="3">
        <v>1</v>
      </c>
      <c r="D37" s="3">
        <v>3</v>
      </c>
      <c r="E37" s="3">
        <v>1</v>
      </c>
      <c r="F37" s="3">
        <v>1</v>
      </c>
      <c r="G37" s="3">
        <v>118</v>
      </c>
      <c r="H37" s="3">
        <v>1</v>
      </c>
      <c r="I37" s="3">
        <v>1</v>
      </c>
      <c r="J37" s="3">
        <v>5</v>
      </c>
      <c r="K37" s="3">
        <v>1</v>
      </c>
      <c r="L37" s="3">
        <v>3</v>
      </c>
      <c r="M37" s="3">
        <v>1</v>
      </c>
      <c r="N37" s="3">
        <v>6</v>
      </c>
      <c r="O37" s="3">
        <v>3</v>
      </c>
      <c r="P37" s="3">
        <v>5</v>
      </c>
      <c r="Q37" s="3">
        <v>1</v>
      </c>
      <c r="R37" s="3">
        <v>1</v>
      </c>
      <c r="S37" s="3">
        <v>1</v>
      </c>
      <c r="T37" s="3">
        <v>3</v>
      </c>
      <c r="U37" s="3">
        <v>6</v>
      </c>
      <c r="V37" s="3">
        <v>5</v>
      </c>
      <c r="W37" s="3">
        <v>1</v>
      </c>
      <c r="X37" s="3">
        <v>5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185</v>
      </c>
      <c r="AG37">
        <v>2</v>
      </c>
      <c r="AH37">
        <f>VLOOKUP(A37,Kits!D38:I238,4,FALSE)</f>
        <v>306.94982975999994</v>
      </c>
      <c r="AI37" s="8">
        <v>2</v>
      </c>
      <c r="AJ37">
        <f t="shared" si="0"/>
        <v>613.89965951999989</v>
      </c>
      <c r="AK37" t="s">
        <v>401</v>
      </c>
    </row>
    <row r="38" spans="1:37" x14ac:dyDescent="0.2">
      <c r="A38" s="5" t="s">
        <v>94</v>
      </c>
      <c r="B38" s="3">
        <v>1</v>
      </c>
      <c r="C38" s="3">
        <v>1</v>
      </c>
      <c r="D38" s="3">
        <v>3</v>
      </c>
      <c r="E38" s="3">
        <v>3</v>
      </c>
      <c r="F38" s="3">
        <v>4</v>
      </c>
      <c r="G38" s="3">
        <v>6</v>
      </c>
      <c r="H38" s="3">
        <v>1</v>
      </c>
      <c r="I38" s="3">
        <v>1</v>
      </c>
      <c r="J38" s="3">
        <v>1</v>
      </c>
      <c r="K38" s="3">
        <v>1</v>
      </c>
      <c r="L38" s="3">
        <v>5</v>
      </c>
      <c r="M38" s="3">
        <v>1</v>
      </c>
      <c r="N38" s="3">
        <v>3</v>
      </c>
      <c r="O38" s="3">
        <v>1</v>
      </c>
      <c r="P38" s="3">
        <v>1</v>
      </c>
      <c r="Q38" s="3">
        <v>3</v>
      </c>
      <c r="R38" s="3">
        <v>6</v>
      </c>
      <c r="S38" s="3">
        <v>1</v>
      </c>
      <c r="T38" s="3">
        <v>5</v>
      </c>
      <c r="U38" s="3">
        <v>1</v>
      </c>
      <c r="V38" s="3">
        <v>1</v>
      </c>
      <c r="W38" s="3">
        <v>2</v>
      </c>
      <c r="X38" s="3">
        <v>1</v>
      </c>
      <c r="Y38" s="3">
        <v>1</v>
      </c>
      <c r="Z38" s="3">
        <v>3</v>
      </c>
      <c r="AA38" s="3">
        <v>6</v>
      </c>
      <c r="AB38" s="3">
        <v>1</v>
      </c>
      <c r="AC38" s="3">
        <v>1</v>
      </c>
      <c r="AD38" s="3">
        <v>1</v>
      </c>
      <c r="AE38" s="3">
        <v>1</v>
      </c>
      <c r="AF38" s="3">
        <v>67</v>
      </c>
      <c r="AG38">
        <v>30</v>
      </c>
      <c r="AH38">
        <f>VLOOKUP(A38,Kits!D39:I239,4,FALSE)</f>
        <v>644.46267648000003</v>
      </c>
      <c r="AI38" s="8">
        <v>30</v>
      </c>
      <c r="AJ38">
        <f t="shared" si="0"/>
        <v>19333.880294400002</v>
      </c>
      <c r="AK38" t="s">
        <v>401</v>
      </c>
    </row>
    <row r="39" spans="1:37" x14ac:dyDescent="0.2">
      <c r="A39" s="5" t="s">
        <v>70</v>
      </c>
      <c r="B39" s="3">
        <v>2</v>
      </c>
      <c r="C39" s="3">
        <v>3</v>
      </c>
      <c r="D39" s="3">
        <v>4</v>
      </c>
      <c r="E39" s="3">
        <v>1</v>
      </c>
      <c r="F39" s="3">
        <v>1</v>
      </c>
      <c r="G39" s="3">
        <v>1</v>
      </c>
      <c r="H39" s="3">
        <v>3</v>
      </c>
      <c r="I39" s="3">
        <v>1</v>
      </c>
      <c r="J39" s="3">
        <v>2</v>
      </c>
      <c r="K39" s="3">
        <v>3</v>
      </c>
      <c r="L39" s="3">
        <v>1</v>
      </c>
      <c r="M39" s="3">
        <v>6</v>
      </c>
      <c r="N39" s="3">
        <v>1</v>
      </c>
      <c r="O39" s="3">
        <v>1</v>
      </c>
      <c r="P39" s="3">
        <v>2</v>
      </c>
      <c r="Q39" s="3">
        <v>3</v>
      </c>
      <c r="R39" s="3">
        <v>2</v>
      </c>
      <c r="S39" s="3">
        <v>5</v>
      </c>
      <c r="T39" s="3">
        <v>3</v>
      </c>
      <c r="U39" s="3">
        <v>118</v>
      </c>
      <c r="V39" s="3">
        <v>2</v>
      </c>
      <c r="W39" s="3">
        <v>3</v>
      </c>
      <c r="X39" s="3">
        <v>2</v>
      </c>
      <c r="Y39" s="3">
        <v>1</v>
      </c>
      <c r="Z39" s="3">
        <v>1</v>
      </c>
      <c r="AA39" s="3">
        <v>1</v>
      </c>
      <c r="AB39" s="3">
        <v>2</v>
      </c>
      <c r="AC39" s="3">
        <v>2</v>
      </c>
      <c r="AD39" s="3">
        <v>2</v>
      </c>
      <c r="AE39" s="3">
        <v>2</v>
      </c>
      <c r="AF39" s="3">
        <v>181</v>
      </c>
      <c r="AG39">
        <v>4</v>
      </c>
      <c r="AH39">
        <f>VLOOKUP(A39,Kits!D40:I240,4,FALSE)</f>
        <v>407.98649999999998</v>
      </c>
      <c r="AI39" s="8">
        <v>4</v>
      </c>
      <c r="AJ39">
        <f t="shared" si="0"/>
        <v>1631.9459999999999</v>
      </c>
      <c r="AK39" t="s">
        <v>401</v>
      </c>
    </row>
    <row r="40" spans="1:37" x14ac:dyDescent="0.2">
      <c r="A40" s="5" t="s">
        <v>175</v>
      </c>
      <c r="B40" s="3">
        <v>3</v>
      </c>
      <c r="C40" s="3">
        <v>4</v>
      </c>
      <c r="D40" s="3">
        <v>1</v>
      </c>
      <c r="E40" s="3">
        <v>5</v>
      </c>
      <c r="F40" s="3">
        <v>1</v>
      </c>
      <c r="G40" s="3">
        <v>3</v>
      </c>
      <c r="H40" s="3">
        <v>3</v>
      </c>
      <c r="I40" s="3">
        <v>0</v>
      </c>
      <c r="J40" s="3">
        <v>3</v>
      </c>
      <c r="K40" s="3">
        <v>4</v>
      </c>
      <c r="L40" s="3">
        <v>1</v>
      </c>
      <c r="M40" s="3">
        <v>4</v>
      </c>
      <c r="N40" s="3">
        <v>2</v>
      </c>
      <c r="O40" s="3">
        <v>5</v>
      </c>
      <c r="P40" s="3">
        <v>1</v>
      </c>
      <c r="Q40" s="3">
        <v>0</v>
      </c>
      <c r="R40" s="3">
        <v>6</v>
      </c>
      <c r="S40" s="3">
        <v>1</v>
      </c>
      <c r="T40" s="3">
        <v>0</v>
      </c>
      <c r="U40" s="3">
        <v>2</v>
      </c>
      <c r="V40" s="3">
        <v>1</v>
      </c>
      <c r="W40" s="3">
        <v>0</v>
      </c>
      <c r="X40" s="3">
        <v>3</v>
      </c>
      <c r="Y40" s="3">
        <v>1</v>
      </c>
      <c r="Z40" s="3">
        <v>1</v>
      </c>
      <c r="AA40" s="3">
        <v>1</v>
      </c>
      <c r="AB40" s="3">
        <v>1</v>
      </c>
      <c r="AC40" s="3">
        <v>0</v>
      </c>
      <c r="AD40" s="3">
        <v>1</v>
      </c>
      <c r="AE40" s="3">
        <v>1</v>
      </c>
      <c r="AF40" s="3">
        <v>59</v>
      </c>
      <c r="AG40">
        <v>4</v>
      </c>
      <c r="AH40">
        <f>VLOOKUP(A40,Kits!D41:I241,4,FALSE)</f>
        <v>194.7595</v>
      </c>
      <c r="AI40" s="8">
        <v>4</v>
      </c>
      <c r="AJ40">
        <f t="shared" si="0"/>
        <v>779.03800000000001</v>
      </c>
      <c r="AK40" t="s">
        <v>401</v>
      </c>
    </row>
    <row r="41" spans="1:37" x14ac:dyDescent="0.2">
      <c r="A41" s="5" t="s">
        <v>301</v>
      </c>
      <c r="B41" s="3">
        <v>3</v>
      </c>
      <c r="C41" s="3">
        <v>4</v>
      </c>
      <c r="D41" s="3">
        <v>1</v>
      </c>
      <c r="E41" s="3">
        <v>5</v>
      </c>
      <c r="F41" s="3">
        <v>1</v>
      </c>
      <c r="G41" s="3">
        <v>3</v>
      </c>
      <c r="H41" s="3">
        <v>1</v>
      </c>
      <c r="I41" s="3">
        <v>1</v>
      </c>
      <c r="J41" s="3">
        <v>3</v>
      </c>
      <c r="K41" s="3">
        <v>1</v>
      </c>
      <c r="L41" s="3">
        <v>6</v>
      </c>
      <c r="M41" s="3">
        <v>1</v>
      </c>
      <c r="N41" s="3">
        <v>1</v>
      </c>
      <c r="O41" s="3">
        <v>2</v>
      </c>
      <c r="P41" s="3">
        <v>3</v>
      </c>
      <c r="Q41" s="3">
        <v>3</v>
      </c>
      <c r="R41" s="3">
        <v>5</v>
      </c>
      <c r="S41" s="3">
        <v>3</v>
      </c>
      <c r="T41" s="3">
        <v>1</v>
      </c>
      <c r="U41" s="3">
        <v>1</v>
      </c>
      <c r="V41" s="3">
        <v>1</v>
      </c>
      <c r="W41" s="3">
        <v>2</v>
      </c>
      <c r="X41" s="3">
        <v>3</v>
      </c>
      <c r="Y41" s="3">
        <v>1</v>
      </c>
      <c r="Z41" s="3">
        <v>1</v>
      </c>
      <c r="AA41" s="3">
        <v>2</v>
      </c>
      <c r="AB41" s="3">
        <v>2</v>
      </c>
      <c r="AC41" s="3">
        <v>2</v>
      </c>
      <c r="AD41" s="3">
        <v>2</v>
      </c>
      <c r="AE41" s="3">
        <v>2</v>
      </c>
      <c r="AF41" s="3">
        <v>67</v>
      </c>
      <c r="AG41">
        <v>9</v>
      </c>
      <c r="AH41">
        <f>VLOOKUP(A41,Kits!D42:I242,4,FALSE)</f>
        <v>104.88565247999999</v>
      </c>
      <c r="AI41" s="8">
        <v>9</v>
      </c>
      <c r="AJ41">
        <f t="shared" si="0"/>
        <v>943.9708723199999</v>
      </c>
      <c r="AK41" t="s">
        <v>401</v>
      </c>
    </row>
    <row r="42" spans="1:37" x14ac:dyDescent="0.2">
      <c r="A42" s="5" t="s">
        <v>303</v>
      </c>
      <c r="B42" s="3">
        <v>2</v>
      </c>
      <c r="C42" s="3">
        <v>1</v>
      </c>
      <c r="D42" s="3">
        <v>5</v>
      </c>
      <c r="E42" s="3">
        <v>1</v>
      </c>
      <c r="F42" s="3">
        <v>4</v>
      </c>
      <c r="G42" s="3">
        <v>6</v>
      </c>
      <c r="H42" s="3">
        <v>5</v>
      </c>
      <c r="I42" s="3">
        <v>1</v>
      </c>
      <c r="J42" s="3">
        <v>2</v>
      </c>
      <c r="K42" s="3">
        <v>1</v>
      </c>
      <c r="L42" s="3">
        <v>6</v>
      </c>
      <c r="M42" s="3">
        <v>3</v>
      </c>
      <c r="N42" s="3">
        <v>3</v>
      </c>
      <c r="O42" s="3">
        <v>2</v>
      </c>
      <c r="P42" s="3">
        <v>1</v>
      </c>
      <c r="Q42" s="3">
        <v>6</v>
      </c>
      <c r="R42" s="3">
        <v>1</v>
      </c>
      <c r="S42" s="3">
        <v>6</v>
      </c>
      <c r="T42" s="3">
        <v>1</v>
      </c>
      <c r="U42" s="3">
        <v>3</v>
      </c>
      <c r="V42" s="3">
        <v>5</v>
      </c>
      <c r="W42" s="3">
        <v>2</v>
      </c>
      <c r="X42" s="3">
        <v>2</v>
      </c>
      <c r="Y42" s="3">
        <v>2</v>
      </c>
      <c r="Z42" s="3">
        <v>4</v>
      </c>
      <c r="AA42" s="3">
        <v>2</v>
      </c>
      <c r="AB42" s="3">
        <v>2</v>
      </c>
      <c r="AC42" s="3">
        <v>2</v>
      </c>
      <c r="AD42" s="3">
        <v>2</v>
      </c>
      <c r="AE42" s="3">
        <v>2</v>
      </c>
      <c r="AF42" s="3">
        <v>85</v>
      </c>
      <c r="AG42">
        <v>8</v>
      </c>
      <c r="AH42">
        <f>VLOOKUP(A42,Kits!D43:I243,4,FALSE)</f>
        <v>683.94489999999996</v>
      </c>
      <c r="AI42" s="8">
        <v>8</v>
      </c>
      <c r="AJ42">
        <f t="shared" si="0"/>
        <v>5471.5591999999997</v>
      </c>
      <c r="AK42" t="s">
        <v>401</v>
      </c>
    </row>
    <row r="43" spans="1:37" x14ac:dyDescent="0.2">
      <c r="A43" s="5" t="s">
        <v>82</v>
      </c>
      <c r="B43" s="3">
        <v>5</v>
      </c>
      <c r="C43" s="3">
        <v>1</v>
      </c>
      <c r="D43" s="3">
        <v>3</v>
      </c>
      <c r="E43" s="3">
        <v>3</v>
      </c>
      <c r="F43" s="3">
        <v>1</v>
      </c>
      <c r="G43" s="3">
        <v>118</v>
      </c>
      <c r="H43" s="3">
        <v>1</v>
      </c>
      <c r="I43" s="3">
        <v>1</v>
      </c>
      <c r="J43" s="3">
        <v>5</v>
      </c>
      <c r="K43" s="3">
        <v>1</v>
      </c>
      <c r="L43" s="3">
        <v>3</v>
      </c>
      <c r="M43" s="3">
        <v>1</v>
      </c>
      <c r="N43" s="3">
        <v>5</v>
      </c>
      <c r="O43" s="3">
        <v>3</v>
      </c>
      <c r="P43" s="3">
        <v>5</v>
      </c>
      <c r="Q43" s="3">
        <v>1</v>
      </c>
      <c r="R43" s="3">
        <v>3</v>
      </c>
      <c r="S43" s="3">
        <v>1</v>
      </c>
      <c r="T43" s="3">
        <v>2</v>
      </c>
      <c r="U43" s="3">
        <v>6</v>
      </c>
      <c r="V43" s="3">
        <v>5</v>
      </c>
      <c r="W43" s="3">
        <v>5</v>
      </c>
      <c r="X43" s="3">
        <v>5</v>
      </c>
      <c r="Y43" s="3">
        <v>1</v>
      </c>
      <c r="Z43" s="3">
        <v>1</v>
      </c>
      <c r="AA43" s="3">
        <v>118</v>
      </c>
      <c r="AB43" s="3">
        <v>5</v>
      </c>
      <c r="AC43" s="3">
        <v>5</v>
      </c>
      <c r="AD43" s="3">
        <v>5</v>
      </c>
      <c r="AE43" s="3">
        <v>5</v>
      </c>
      <c r="AF43" s="3">
        <v>324</v>
      </c>
      <c r="AG43">
        <v>2</v>
      </c>
      <c r="AH43">
        <f>VLOOKUP(A43,Kits!D44:I244,4,FALSE)</f>
        <v>20.351599999999998</v>
      </c>
      <c r="AI43" s="8">
        <v>2</v>
      </c>
      <c r="AJ43">
        <f t="shared" si="0"/>
        <v>40.703199999999995</v>
      </c>
      <c r="AK43" t="s">
        <v>401</v>
      </c>
    </row>
    <row r="44" spans="1:37" x14ac:dyDescent="0.2">
      <c r="A44" s="5" t="s">
        <v>279</v>
      </c>
      <c r="B44" s="3">
        <v>124</v>
      </c>
      <c r="C44" s="3">
        <v>4</v>
      </c>
      <c r="D44" s="3">
        <v>2</v>
      </c>
      <c r="E44" s="3">
        <v>4</v>
      </c>
      <c r="F44" s="3">
        <v>11</v>
      </c>
      <c r="G44" s="3">
        <v>4</v>
      </c>
      <c r="H44" s="3">
        <v>4</v>
      </c>
      <c r="I44" s="3">
        <v>2</v>
      </c>
      <c r="J44" s="3">
        <v>124</v>
      </c>
      <c r="K44" s="3">
        <v>9</v>
      </c>
      <c r="L44" s="3">
        <v>119</v>
      </c>
      <c r="M44" s="3">
        <v>4</v>
      </c>
      <c r="N44" s="3">
        <v>5</v>
      </c>
      <c r="O44" s="3">
        <v>7</v>
      </c>
      <c r="P44" s="3">
        <v>7</v>
      </c>
      <c r="Q44" s="3">
        <v>4</v>
      </c>
      <c r="R44" s="3">
        <v>7</v>
      </c>
      <c r="S44" s="3">
        <v>2</v>
      </c>
      <c r="T44" s="3">
        <v>4</v>
      </c>
      <c r="U44" s="3">
        <v>5</v>
      </c>
      <c r="V44" s="3">
        <v>4</v>
      </c>
      <c r="W44" s="3">
        <v>2</v>
      </c>
      <c r="X44" s="3">
        <v>124</v>
      </c>
      <c r="Y44" s="3">
        <v>11</v>
      </c>
      <c r="Z44" s="3">
        <v>11</v>
      </c>
      <c r="AA44" s="3">
        <v>2</v>
      </c>
      <c r="AB44" s="3">
        <v>2</v>
      </c>
      <c r="AC44" s="3">
        <v>2</v>
      </c>
      <c r="AD44" s="3">
        <v>2</v>
      </c>
      <c r="AE44" s="3">
        <v>2</v>
      </c>
      <c r="AF44" s="3">
        <v>614</v>
      </c>
      <c r="AG44">
        <v>2</v>
      </c>
      <c r="AH44">
        <f>VLOOKUP(A44,Kits!D45:I245,4,FALSE)</f>
        <v>36.786503039999999</v>
      </c>
      <c r="AI44" s="8">
        <v>2</v>
      </c>
      <c r="AJ44">
        <f t="shared" si="0"/>
        <v>73.573006079999999</v>
      </c>
      <c r="AK44" t="s">
        <v>401</v>
      </c>
    </row>
    <row r="45" spans="1:37" x14ac:dyDescent="0.2">
      <c r="A45" s="5" t="s">
        <v>164</v>
      </c>
      <c r="B45" s="3">
        <v>5</v>
      </c>
      <c r="C45" s="3">
        <v>1</v>
      </c>
      <c r="D45" s="3">
        <v>2</v>
      </c>
      <c r="E45" s="3">
        <v>2</v>
      </c>
      <c r="F45" s="3">
        <v>2</v>
      </c>
      <c r="G45" s="3">
        <v>1</v>
      </c>
      <c r="H45" s="3">
        <v>5</v>
      </c>
      <c r="I45" s="3">
        <v>0</v>
      </c>
      <c r="J45" s="3">
        <v>5</v>
      </c>
      <c r="K45" s="3">
        <v>1</v>
      </c>
      <c r="L45" s="3">
        <v>1</v>
      </c>
      <c r="M45" s="3">
        <v>1</v>
      </c>
      <c r="N45" s="3">
        <v>6</v>
      </c>
      <c r="O45" s="3">
        <v>1</v>
      </c>
      <c r="P45" s="3">
        <v>6</v>
      </c>
      <c r="Q45" s="3">
        <v>0</v>
      </c>
      <c r="R45" s="3">
        <v>118</v>
      </c>
      <c r="S45" s="3">
        <v>1</v>
      </c>
      <c r="T45" s="3">
        <v>0</v>
      </c>
      <c r="U45" s="3">
        <v>6</v>
      </c>
      <c r="V45" s="3">
        <v>6</v>
      </c>
      <c r="W45" s="3">
        <v>0</v>
      </c>
      <c r="X45" s="3">
        <v>5</v>
      </c>
      <c r="Y45" s="3">
        <v>2</v>
      </c>
      <c r="Z45" s="3">
        <v>2</v>
      </c>
      <c r="AA45" s="3">
        <v>3</v>
      </c>
      <c r="AB45" s="3">
        <v>1</v>
      </c>
      <c r="AC45" s="3">
        <v>0</v>
      </c>
      <c r="AD45" s="3">
        <v>3</v>
      </c>
      <c r="AE45" s="3">
        <v>2</v>
      </c>
      <c r="AF45" s="3">
        <v>188</v>
      </c>
      <c r="AG45">
        <v>171</v>
      </c>
      <c r="AH45">
        <f>VLOOKUP(A45,Kits!D46:I246,4,FALSE)</f>
        <v>29.381999999999998</v>
      </c>
      <c r="AI45" s="8">
        <v>171</v>
      </c>
      <c r="AJ45">
        <f t="shared" si="0"/>
        <v>5024.3219999999992</v>
      </c>
      <c r="AK45" t="s">
        <v>401</v>
      </c>
    </row>
    <row r="46" spans="1:37" x14ac:dyDescent="0.2">
      <c r="A46" s="5" t="s">
        <v>89</v>
      </c>
      <c r="B46" s="3">
        <v>5</v>
      </c>
      <c r="C46" s="3">
        <v>6</v>
      </c>
      <c r="D46" s="3">
        <v>3</v>
      </c>
      <c r="E46" s="3">
        <v>118</v>
      </c>
      <c r="F46" s="3">
        <v>5</v>
      </c>
      <c r="G46" s="3">
        <v>1</v>
      </c>
      <c r="H46" s="3">
        <v>3</v>
      </c>
      <c r="I46" s="3">
        <v>3</v>
      </c>
      <c r="J46" s="3">
        <v>5</v>
      </c>
      <c r="K46" s="3">
        <v>6</v>
      </c>
      <c r="L46" s="3">
        <v>1</v>
      </c>
      <c r="M46" s="3">
        <v>1</v>
      </c>
      <c r="N46" s="3">
        <v>4</v>
      </c>
      <c r="O46" s="3">
        <v>2</v>
      </c>
      <c r="P46" s="3">
        <v>5</v>
      </c>
      <c r="Q46" s="3">
        <v>1</v>
      </c>
      <c r="R46" s="3">
        <v>1</v>
      </c>
      <c r="S46" s="3">
        <v>5</v>
      </c>
      <c r="T46" s="3">
        <v>1</v>
      </c>
      <c r="U46" s="3">
        <v>1</v>
      </c>
      <c r="V46" s="3">
        <v>5</v>
      </c>
      <c r="W46" s="3">
        <v>3</v>
      </c>
      <c r="X46" s="3">
        <v>5</v>
      </c>
      <c r="Y46" s="3">
        <v>3</v>
      </c>
      <c r="Z46" s="3">
        <v>3</v>
      </c>
      <c r="AA46" s="3">
        <v>1</v>
      </c>
      <c r="AB46" s="3">
        <v>5</v>
      </c>
      <c r="AC46" s="3">
        <v>5</v>
      </c>
      <c r="AD46" s="3">
        <v>5</v>
      </c>
      <c r="AE46" s="3">
        <v>5</v>
      </c>
      <c r="AF46" s="3">
        <v>217</v>
      </c>
      <c r="AG46">
        <v>7</v>
      </c>
      <c r="AH46">
        <f>VLOOKUP(A46,Kits!D47:I247,4,FALSE)</f>
        <v>211.01287872</v>
      </c>
      <c r="AI46" s="8">
        <v>7</v>
      </c>
      <c r="AJ46">
        <f t="shared" si="0"/>
        <v>1477.0901510399999</v>
      </c>
      <c r="AK46" t="s">
        <v>401</v>
      </c>
    </row>
    <row r="47" spans="1:37" x14ac:dyDescent="0.2">
      <c r="A47" s="5" t="s">
        <v>84</v>
      </c>
      <c r="B47" s="3">
        <v>5</v>
      </c>
      <c r="C47" s="3">
        <v>2</v>
      </c>
      <c r="D47" s="3">
        <v>6</v>
      </c>
      <c r="E47" s="3">
        <v>2</v>
      </c>
      <c r="F47" s="3">
        <v>1</v>
      </c>
      <c r="G47" s="3">
        <v>1</v>
      </c>
      <c r="H47" s="3">
        <v>3</v>
      </c>
      <c r="I47" s="3">
        <v>4</v>
      </c>
      <c r="J47" s="3">
        <v>5</v>
      </c>
      <c r="K47" s="3">
        <v>2</v>
      </c>
      <c r="L47" s="3">
        <v>2</v>
      </c>
      <c r="M47" s="3">
        <v>5</v>
      </c>
      <c r="N47" s="3">
        <v>5</v>
      </c>
      <c r="O47" s="3">
        <v>1</v>
      </c>
      <c r="P47" s="3">
        <v>5</v>
      </c>
      <c r="Q47" s="3">
        <v>1</v>
      </c>
      <c r="R47" s="3">
        <v>2</v>
      </c>
      <c r="S47" s="3">
        <v>3</v>
      </c>
      <c r="T47" s="3">
        <v>1</v>
      </c>
      <c r="U47" s="3">
        <v>1</v>
      </c>
      <c r="V47" s="3">
        <v>5</v>
      </c>
      <c r="W47" s="3">
        <v>1</v>
      </c>
      <c r="X47" s="3">
        <v>5</v>
      </c>
      <c r="Y47" s="3">
        <v>4</v>
      </c>
      <c r="Z47" s="3">
        <v>118</v>
      </c>
      <c r="AA47" s="3">
        <v>1</v>
      </c>
      <c r="AB47" s="3">
        <v>5</v>
      </c>
      <c r="AC47" s="3">
        <v>5</v>
      </c>
      <c r="AD47" s="3">
        <v>5</v>
      </c>
      <c r="AE47" s="3">
        <v>5</v>
      </c>
      <c r="AF47" s="3">
        <v>211</v>
      </c>
      <c r="AG47">
        <v>2</v>
      </c>
      <c r="AH47">
        <f>VLOOKUP(A47,Kits!D48:I248,4,FALSE)</f>
        <v>102.33222719999999</v>
      </c>
      <c r="AI47" s="8">
        <v>2</v>
      </c>
      <c r="AJ47">
        <f t="shared" si="0"/>
        <v>204.66445439999998</v>
      </c>
      <c r="AK47" t="s">
        <v>401</v>
      </c>
    </row>
    <row r="48" spans="1:37" x14ac:dyDescent="0.2">
      <c r="A48" s="5" t="s">
        <v>86</v>
      </c>
      <c r="B48" s="3">
        <v>5</v>
      </c>
      <c r="C48" s="3">
        <v>3</v>
      </c>
      <c r="D48" s="3">
        <v>6</v>
      </c>
      <c r="E48" s="3">
        <v>4</v>
      </c>
      <c r="F48" s="3">
        <v>1</v>
      </c>
      <c r="G48" s="3">
        <v>1</v>
      </c>
      <c r="H48" s="3">
        <v>1</v>
      </c>
      <c r="I48" s="3">
        <v>3</v>
      </c>
      <c r="J48" s="3">
        <v>5</v>
      </c>
      <c r="K48" s="3">
        <v>3</v>
      </c>
      <c r="L48" s="3">
        <v>1</v>
      </c>
      <c r="M48" s="3">
        <v>1</v>
      </c>
      <c r="N48" s="3">
        <v>1</v>
      </c>
      <c r="O48" s="3">
        <v>1</v>
      </c>
      <c r="P48" s="3">
        <v>5</v>
      </c>
      <c r="Q48" s="3">
        <v>3</v>
      </c>
      <c r="R48" s="3">
        <v>1</v>
      </c>
      <c r="S48" s="3">
        <v>2</v>
      </c>
      <c r="T48" s="3">
        <v>5</v>
      </c>
      <c r="U48" s="3">
        <v>3</v>
      </c>
      <c r="V48" s="3">
        <v>5</v>
      </c>
      <c r="W48" s="3">
        <v>1</v>
      </c>
      <c r="X48" s="3">
        <v>5</v>
      </c>
      <c r="Y48" s="3">
        <v>3</v>
      </c>
      <c r="Z48" s="3">
        <v>1</v>
      </c>
      <c r="AA48" s="3">
        <v>1</v>
      </c>
      <c r="AB48" s="3">
        <v>5</v>
      </c>
      <c r="AC48" s="3">
        <v>5</v>
      </c>
      <c r="AD48" s="3">
        <v>5</v>
      </c>
      <c r="AE48" s="3">
        <v>5</v>
      </c>
      <c r="AF48" s="3">
        <v>91</v>
      </c>
      <c r="AG48">
        <v>13</v>
      </c>
      <c r="AH48">
        <f>VLOOKUP(A48,Kits!D49:I249,4,FALSE)</f>
        <v>144.26462399999997</v>
      </c>
      <c r="AI48" s="8">
        <v>13</v>
      </c>
      <c r="AJ48">
        <f t="shared" si="0"/>
        <v>1875.4401119999995</v>
      </c>
      <c r="AK48" t="s">
        <v>401</v>
      </c>
    </row>
    <row r="49" spans="1:37" x14ac:dyDescent="0.2">
      <c r="A49" s="5" t="s">
        <v>183</v>
      </c>
      <c r="B49" s="3">
        <v>1</v>
      </c>
      <c r="C49" s="3">
        <v>3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0</v>
      </c>
      <c r="J49" s="3">
        <v>1</v>
      </c>
      <c r="K49" s="3">
        <v>3</v>
      </c>
      <c r="L49" s="3">
        <v>4</v>
      </c>
      <c r="M49" s="3">
        <v>4</v>
      </c>
      <c r="N49" s="3">
        <v>1</v>
      </c>
      <c r="O49" s="3">
        <v>1</v>
      </c>
      <c r="P49" s="3">
        <v>5</v>
      </c>
      <c r="Q49" s="3">
        <v>0</v>
      </c>
      <c r="R49" s="3">
        <v>1</v>
      </c>
      <c r="S49" s="3">
        <v>1</v>
      </c>
      <c r="T49" s="3">
        <v>0</v>
      </c>
      <c r="U49" s="3">
        <v>1</v>
      </c>
      <c r="V49" s="3">
        <v>5</v>
      </c>
      <c r="W49" s="3">
        <v>0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0</v>
      </c>
      <c r="AD49" s="3">
        <v>1</v>
      </c>
      <c r="AE49" s="3">
        <v>1</v>
      </c>
      <c r="AF49" s="3">
        <v>43</v>
      </c>
      <c r="AG49">
        <v>-1</v>
      </c>
      <c r="AH49">
        <f>VLOOKUP(A49,Kits!D50:I250,4,FALSE)</f>
        <v>548.61538461538476</v>
      </c>
      <c r="AI49" s="8">
        <v>0</v>
      </c>
      <c r="AJ49">
        <f t="shared" si="0"/>
        <v>0</v>
      </c>
      <c r="AK49" t="s">
        <v>400</v>
      </c>
    </row>
    <row r="50" spans="1:37" x14ac:dyDescent="0.2">
      <c r="A50" s="5" t="s">
        <v>146</v>
      </c>
      <c r="B50" s="3">
        <v>5</v>
      </c>
      <c r="C50" s="3">
        <v>1</v>
      </c>
      <c r="D50" s="3">
        <v>4</v>
      </c>
      <c r="E50" s="3">
        <v>2</v>
      </c>
      <c r="F50" s="3">
        <v>1</v>
      </c>
      <c r="G50" s="3">
        <v>1</v>
      </c>
      <c r="H50" s="3">
        <v>5</v>
      </c>
      <c r="I50" s="3">
        <v>3</v>
      </c>
      <c r="J50" s="3">
        <v>4</v>
      </c>
      <c r="K50" s="3">
        <v>1</v>
      </c>
      <c r="L50" s="3">
        <v>118</v>
      </c>
      <c r="M50" s="3">
        <v>1</v>
      </c>
      <c r="N50" s="3">
        <v>6</v>
      </c>
      <c r="O50" s="3">
        <v>2</v>
      </c>
      <c r="P50" s="3">
        <v>2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4</v>
      </c>
      <c r="W50" s="3">
        <v>6</v>
      </c>
      <c r="X50" s="3">
        <v>2</v>
      </c>
      <c r="Y50" s="3">
        <v>3</v>
      </c>
      <c r="Z50" s="3">
        <v>1</v>
      </c>
      <c r="AA50" s="3">
        <v>3</v>
      </c>
      <c r="AB50" s="3">
        <v>2</v>
      </c>
      <c r="AC50" s="3">
        <v>2</v>
      </c>
      <c r="AD50" s="3">
        <v>3</v>
      </c>
      <c r="AE50" s="3">
        <v>2</v>
      </c>
      <c r="AF50" s="3">
        <v>189</v>
      </c>
      <c r="AG50">
        <v>23</v>
      </c>
      <c r="AH50">
        <f>VLOOKUP(A50,Kits!D51:I251,4,FALSE)</f>
        <v>8021.5764999999992</v>
      </c>
      <c r="AI50" s="8">
        <v>23</v>
      </c>
      <c r="AJ50">
        <f t="shared" si="0"/>
        <v>184496.25949999999</v>
      </c>
      <c r="AK50" t="s">
        <v>401</v>
      </c>
    </row>
    <row r="51" spans="1:37" x14ac:dyDescent="0.2">
      <c r="A51" s="5" t="s">
        <v>318</v>
      </c>
      <c r="B51" s="3">
        <v>1</v>
      </c>
      <c r="C51" s="3">
        <v>2</v>
      </c>
      <c r="D51" s="3">
        <v>1</v>
      </c>
      <c r="E51" s="3">
        <v>3</v>
      </c>
      <c r="F51" s="3">
        <v>6</v>
      </c>
      <c r="G51" s="3">
        <v>3</v>
      </c>
      <c r="H51" s="3">
        <v>118</v>
      </c>
      <c r="I51" s="3">
        <v>3</v>
      </c>
      <c r="J51" s="3">
        <v>1</v>
      </c>
      <c r="K51" s="3">
        <v>1</v>
      </c>
      <c r="L51" s="3">
        <v>1</v>
      </c>
      <c r="M51" s="3">
        <v>2</v>
      </c>
      <c r="N51" s="3">
        <v>1</v>
      </c>
      <c r="O51" s="3">
        <v>2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2</v>
      </c>
      <c r="V51" s="3">
        <v>118</v>
      </c>
      <c r="W51" s="3">
        <v>2</v>
      </c>
      <c r="X51" s="3">
        <v>1</v>
      </c>
      <c r="Y51" s="3">
        <v>6</v>
      </c>
      <c r="Z51" s="3">
        <v>6</v>
      </c>
      <c r="AA51" s="3">
        <v>2</v>
      </c>
      <c r="AB51" s="3">
        <v>2</v>
      </c>
      <c r="AC51" s="3">
        <v>2</v>
      </c>
      <c r="AD51" s="3">
        <v>2</v>
      </c>
      <c r="AE51" s="3">
        <v>2</v>
      </c>
      <c r="AF51" s="3">
        <v>295</v>
      </c>
      <c r="AG51">
        <v>-1</v>
      </c>
      <c r="AH51">
        <f>VLOOKUP(A51,Kits!D52:I252,4,FALSE)</f>
        <v>85.453846153846172</v>
      </c>
      <c r="AI51" s="8">
        <v>0</v>
      </c>
      <c r="AJ51">
        <f t="shared" si="0"/>
        <v>0</v>
      </c>
      <c r="AK51" t="s">
        <v>400</v>
      </c>
    </row>
    <row r="52" spans="1:37" x14ac:dyDescent="0.2">
      <c r="A52" s="5" t="s">
        <v>291</v>
      </c>
      <c r="B52" s="3">
        <v>4</v>
      </c>
      <c r="C52" s="3">
        <v>2</v>
      </c>
      <c r="D52" s="3">
        <v>3</v>
      </c>
      <c r="E52" s="3">
        <v>2</v>
      </c>
      <c r="F52" s="3">
        <v>4</v>
      </c>
      <c r="G52" s="3">
        <v>8</v>
      </c>
      <c r="H52" s="3">
        <v>5</v>
      </c>
      <c r="I52" s="3">
        <v>9</v>
      </c>
      <c r="J52" s="3">
        <v>4</v>
      </c>
      <c r="K52" s="3">
        <v>7</v>
      </c>
      <c r="L52" s="3">
        <v>2</v>
      </c>
      <c r="M52" s="3">
        <v>8</v>
      </c>
      <c r="N52" s="3">
        <v>6</v>
      </c>
      <c r="O52" s="3">
        <v>6</v>
      </c>
      <c r="P52" s="3">
        <v>8</v>
      </c>
      <c r="Q52" s="3">
        <v>8</v>
      </c>
      <c r="R52" s="3">
        <v>4</v>
      </c>
      <c r="S52" s="3">
        <v>7</v>
      </c>
      <c r="T52" s="3">
        <v>4</v>
      </c>
      <c r="U52" s="3">
        <v>6</v>
      </c>
      <c r="V52" s="3">
        <v>6</v>
      </c>
      <c r="W52" s="3">
        <v>6</v>
      </c>
      <c r="X52" s="3">
        <v>4</v>
      </c>
      <c r="Y52" s="3">
        <v>4</v>
      </c>
      <c r="Z52" s="3">
        <v>4</v>
      </c>
      <c r="AA52" s="3">
        <v>6</v>
      </c>
      <c r="AB52" s="3">
        <v>6</v>
      </c>
      <c r="AC52" s="3">
        <v>6</v>
      </c>
      <c r="AD52" s="3">
        <v>6</v>
      </c>
      <c r="AE52" s="3">
        <v>6</v>
      </c>
      <c r="AF52" s="3">
        <v>161</v>
      </c>
      <c r="AG52">
        <v>8</v>
      </c>
      <c r="AH52">
        <f>VLOOKUP(A52,Kits!D53:I253,4,FALSE)</f>
        <v>24.136399999999998</v>
      </c>
      <c r="AI52" s="8">
        <v>8</v>
      </c>
      <c r="AJ52">
        <f t="shared" si="0"/>
        <v>193.09119999999999</v>
      </c>
      <c r="AK52" t="s">
        <v>401</v>
      </c>
    </row>
    <row r="53" spans="1:37" x14ac:dyDescent="0.2">
      <c r="A53" s="5" t="s">
        <v>277</v>
      </c>
      <c r="B53" s="3">
        <v>12</v>
      </c>
      <c r="C53" s="3">
        <v>5</v>
      </c>
      <c r="D53" s="3">
        <v>8</v>
      </c>
      <c r="E53" s="3">
        <v>6</v>
      </c>
      <c r="F53" s="3">
        <v>3</v>
      </c>
      <c r="G53" s="3">
        <v>7</v>
      </c>
      <c r="H53" s="3">
        <v>3</v>
      </c>
      <c r="I53" s="3">
        <v>12</v>
      </c>
      <c r="J53" s="3">
        <v>12</v>
      </c>
      <c r="K53" s="3">
        <v>8</v>
      </c>
      <c r="L53" s="3">
        <v>10</v>
      </c>
      <c r="M53" s="3">
        <v>10</v>
      </c>
      <c r="N53" s="3">
        <v>5</v>
      </c>
      <c r="O53" s="3">
        <v>11</v>
      </c>
      <c r="P53" s="3">
        <v>4</v>
      </c>
      <c r="Q53" s="3">
        <v>7</v>
      </c>
      <c r="R53" s="3">
        <v>6</v>
      </c>
      <c r="S53" s="3">
        <v>11</v>
      </c>
      <c r="T53" s="3">
        <v>8</v>
      </c>
      <c r="U53" s="3">
        <v>5</v>
      </c>
      <c r="V53" s="3">
        <v>3</v>
      </c>
      <c r="W53" s="3">
        <v>128</v>
      </c>
      <c r="X53" s="3">
        <v>12</v>
      </c>
      <c r="Y53" s="3">
        <v>6</v>
      </c>
      <c r="Z53" s="3">
        <v>3</v>
      </c>
      <c r="AA53" s="3">
        <v>11</v>
      </c>
      <c r="AB53" s="3">
        <v>13</v>
      </c>
      <c r="AC53" s="3">
        <v>128</v>
      </c>
      <c r="AD53" s="3">
        <v>11</v>
      </c>
      <c r="AE53" s="3">
        <v>11</v>
      </c>
      <c r="AF53" s="3">
        <v>479</v>
      </c>
      <c r="AG53">
        <v>15</v>
      </c>
      <c r="AH53">
        <f>VLOOKUP(A53,Kits!D54:I254,4,FALSE)</f>
        <v>41.026594559999999</v>
      </c>
      <c r="AI53" s="8">
        <v>15</v>
      </c>
      <c r="AJ53">
        <f t="shared" si="0"/>
        <v>615.39891839999996</v>
      </c>
      <c r="AK53" t="s">
        <v>401</v>
      </c>
    </row>
    <row r="54" spans="1:37" x14ac:dyDescent="0.2">
      <c r="A54" s="5" t="s">
        <v>341</v>
      </c>
      <c r="B54" s="3">
        <v>3</v>
      </c>
      <c r="C54" s="3">
        <v>4</v>
      </c>
      <c r="D54" s="3">
        <v>118</v>
      </c>
      <c r="E54" s="3">
        <v>5</v>
      </c>
      <c r="F54" s="3">
        <v>1</v>
      </c>
      <c r="G54" s="3">
        <v>3</v>
      </c>
      <c r="H54" s="3">
        <v>1</v>
      </c>
      <c r="I54" s="3">
        <v>1</v>
      </c>
      <c r="J54" s="3">
        <v>3</v>
      </c>
      <c r="K54" s="3">
        <v>1</v>
      </c>
      <c r="L54" s="3">
        <v>1</v>
      </c>
      <c r="M54" s="3">
        <v>4</v>
      </c>
      <c r="N54" s="3">
        <v>1</v>
      </c>
      <c r="O54" s="3">
        <v>1</v>
      </c>
      <c r="P54" s="3">
        <v>1</v>
      </c>
      <c r="Q54" s="3">
        <v>3</v>
      </c>
      <c r="R54" s="3">
        <v>5</v>
      </c>
      <c r="S54" s="3">
        <v>1</v>
      </c>
      <c r="T54" s="3">
        <v>3</v>
      </c>
      <c r="U54" s="3">
        <v>1</v>
      </c>
      <c r="V54" s="3">
        <v>1</v>
      </c>
      <c r="W54" s="3">
        <v>1</v>
      </c>
      <c r="X54" s="3">
        <v>3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173</v>
      </c>
      <c r="AG54">
        <v>0</v>
      </c>
      <c r="AH54">
        <f>VLOOKUP(A54,Kits!D55:I255,4,FALSE)</f>
        <v>307.22449999999998</v>
      </c>
      <c r="AI54" s="8">
        <v>0</v>
      </c>
      <c r="AJ54">
        <f t="shared" si="0"/>
        <v>0</v>
      </c>
      <c r="AK54" t="s">
        <v>402</v>
      </c>
    </row>
    <row r="55" spans="1:37" x14ac:dyDescent="0.2">
      <c r="A55" s="5" t="s">
        <v>190</v>
      </c>
      <c r="B55" s="3">
        <v>2</v>
      </c>
      <c r="C55" s="3">
        <v>6</v>
      </c>
      <c r="D55" s="3">
        <v>1</v>
      </c>
      <c r="E55" s="3">
        <v>1</v>
      </c>
      <c r="F55" s="3">
        <v>3</v>
      </c>
      <c r="G55" s="3">
        <v>1</v>
      </c>
      <c r="H55" s="3">
        <v>2</v>
      </c>
      <c r="I55" s="3">
        <v>0</v>
      </c>
      <c r="J55" s="3">
        <v>2</v>
      </c>
      <c r="K55" s="3">
        <v>6</v>
      </c>
      <c r="L55" s="3">
        <v>2</v>
      </c>
      <c r="M55" s="3">
        <v>1</v>
      </c>
      <c r="N55" s="3">
        <v>1</v>
      </c>
      <c r="O55" s="3">
        <v>3</v>
      </c>
      <c r="P55" s="3">
        <v>4</v>
      </c>
      <c r="Q55" s="3">
        <v>0</v>
      </c>
      <c r="R55" s="3">
        <v>3</v>
      </c>
      <c r="S55" s="3">
        <v>3</v>
      </c>
      <c r="T55" s="3">
        <v>0</v>
      </c>
      <c r="U55" s="3">
        <v>1</v>
      </c>
      <c r="V55" s="3">
        <v>4</v>
      </c>
      <c r="W55" s="3">
        <v>0</v>
      </c>
      <c r="X55" s="3">
        <v>2</v>
      </c>
      <c r="Y55" s="3">
        <v>3</v>
      </c>
      <c r="Z55" s="3">
        <v>3</v>
      </c>
      <c r="AA55" s="3">
        <v>1</v>
      </c>
      <c r="AB55" s="3">
        <v>5</v>
      </c>
      <c r="AC55" s="3">
        <v>0</v>
      </c>
      <c r="AD55" s="3">
        <v>1</v>
      </c>
      <c r="AE55" s="3">
        <v>1</v>
      </c>
      <c r="AF55" s="3">
        <v>62</v>
      </c>
      <c r="AG55">
        <v>17</v>
      </c>
      <c r="AH55">
        <f>VLOOKUP(A55,Kits!D56:I256,4,FALSE)</f>
        <v>1397.886</v>
      </c>
      <c r="AI55" s="8">
        <v>17</v>
      </c>
      <c r="AJ55">
        <f t="shared" si="0"/>
        <v>23764.061999999998</v>
      </c>
      <c r="AK55" t="s">
        <v>401</v>
      </c>
    </row>
    <row r="56" spans="1:37" x14ac:dyDescent="0.2">
      <c r="A56" s="5" t="s">
        <v>281</v>
      </c>
      <c r="B56" s="3">
        <v>2</v>
      </c>
      <c r="C56" s="3">
        <v>2</v>
      </c>
      <c r="D56" s="3">
        <v>6</v>
      </c>
      <c r="E56" s="3">
        <v>7</v>
      </c>
      <c r="F56" s="3">
        <v>7</v>
      </c>
      <c r="G56" s="3">
        <v>2</v>
      </c>
      <c r="H56" s="3">
        <v>3</v>
      </c>
      <c r="I56" s="3">
        <v>123</v>
      </c>
      <c r="J56" s="3">
        <v>2</v>
      </c>
      <c r="K56" s="3">
        <v>6</v>
      </c>
      <c r="L56" s="3">
        <v>2</v>
      </c>
      <c r="M56" s="3">
        <v>6</v>
      </c>
      <c r="N56" s="3">
        <v>3</v>
      </c>
      <c r="O56" s="3">
        <v>7</v>
      </c>
      <c r="P56" s="3">
        <v>8</v>
      </c>
      <c r="Q56" s="3">
        <v>2</v>
      </c>
      <c r="R56" s="3">
        <v>5</v>
      </c>
      <c r="S56" s="3">
        <v>123</v>
      </c>
      <c r="T56" s="3">
        <v>7</v>
      </c>
      <c r="U56" s="3">
        <v>3</v>
      </c>
      <c r="V56" s="3">
        <v>3</v>
      </c>
      <c r="W56" s="3">
        <v>2</v>
      </c>
      <c r="X56" s="3">
        <v>2</v>
      </c>
      <c r="Y56" s="3">
        <v>7</v>
      </c>
      <c r="Z56" s="3">
        <v>7</v>
      </c>
      <c r="AA56" s="3">
        <v>2</v>
      </c>
      <c r="AB56" s="3">
        <v>2</v>
      </c>
      <c r="AC56" s="3">
        <v>2</v>
      </c>
      <c r="AD56" s="3">
        <v>2</v>
      </c>
      <c r="AE56" s="3">
        <v>2</v>
      </c>
      <c r="AF56" s="3">
        <v>357</v>
      </c>
      <c r="AG56">
        <v>7</v>
      </c>
      <c r="AH56">
        <f>VLOOKUP(A56,Kits!D57:I257,4,FALSE)</f>
        <v>43.369186559999996</v>
      </c>
      <c r="AI56" s="8">
        <v>7</v>
      </c>
      <c r="AJ56">
        <f t="shared" si="0"/>
        <v>303.58430591999996</v>
      </c>
      <c r="AK56" t="s">
        <v>401</v>
      </c>
    </row>
    <row r="57" spans="1:37" x14ac:dyDescent="0.2">
      <c r="A57" s="5" t="s">
        <v>285</v>
      </c>
      <c r="B57" s="3">
        <v>2</v>
      </c>
      <c r="C57" s="3">
        <v>3</v>
      </c>
      <c r="D57" s="3">
        <v>8</v>
      </c>
      <c r="E57" s="3">
        <v>6</v>
      </c>
      <c r="F57" s="3">
        <v>7</v>
      </c>
      <c r="G57" s="3">
        <v>2</v>
      </c>
      <c r="H57" s="3">
        <v>119</v>
      </c>
      <c r="I57" s="3">
        <v>4</v>
      </c>
      <c r="J57" s="3">
        <v>2</v>
      </c>
      <c r="K57" s="3">
        <v>2</v>
      </c>
      <c r="L57" s="3">
        <v>2</v>
      </c>
      <c r="M57" s="3">
        <v>4</v>
      </c>
      <c r="N57" s="3">
        <v>2</v>
      </c>
      <c r="O57" s="3">
        <v>3</v>
      </c>
      <c r="P57" s="3">
        <v>3</v>
      </c>
      <c r="Q57" s="3">
        <v>2</v>
      </c>
      <c r="R57" s="3">
        <v>4</v>
      </c>
      <c r="S57" s="3">
        <v>121</v>
      </c>
      <c r="T57" s="3">
        <v>2</v>
      </c>
      <c r="U57" s="3">
        <v>2</v>
      </c>
      <c r="V57" s="3">
        <v>120</v>
      </c>
      <c r="W57" s="3">
        <v>6</v>
      </c>
      <c r="X57" s="3">
        <v>2</v>
      </c>
      <c r="Y57" s="3">
        <v>6</v>
      </c>
      <c r="Z57" s="3">
        <v>7</v>
      </c>
      <c r="AA57" s="3">
        <v>3</v>
      </c>
      <c r="AB57" s="3">
        <v>5</v>
      </c>
      <c r="AC57" s="3">
        <v>6</v>
      </c>
      <c r="AD57" s="3">
        <v>3</v>
      </c>
      <c r="AE57" s="3">
        <v>3</v>
      </c>
      <c r="AF57" s="3">
        <v>461</v>
      </c>
      <c r="AG57">
        <v>23</v>
      </c>
      <c r="AH57">
        <f>VLOOKUP(A57,Kits!D58:I258,4,FALSE)</f>
        <v>58.189985279999981</v>
      </c>
      <c r="AI57" s="8">
        <v>23</v>
      </c>
      <c r="AJ57">
        <f t="shared" si="0"/>
        <v>1338.3696614399996</v>
      </c>
      <c r="AK57" t="s">
        <v>401</v>
      </c>
    </row>
    <row r="58" spans="1:37" x14ac:dyDescent="0.2">
      <c r="A58" s="5" t="s">
        <v>327</v>
      </c>
      <c r="B58" s="3">
        <v>2</v>
      </c>
      <c r="C58" s="3">
        <v>5</v>
      </c>
      <c r="D58" s="3">
        <v>1</v>
      </c>
      <c r="E58" s="3">
        <v>6</v>
      </c>
      <c r="F58" s="3">
        <v>1</v>
      </c>
      <c r="G58" s="3">
        <v>4</v>
      </c>
      <c r="H58" s="3">
        <v>2</v>
      </c>
      <c r="I58" s="3">
        <v>1</v>
      </c>
      <c r="J58" s="3">
        <v>2</v>
      </c>
      <c r="K58" s="3">
        <v>5</v>
      </c>
      <c r="L58" s="3">
        <v>3</v>
      </c>
      <c r="M58" s="3">
        <v>1</v>
      </c>
      <c r="N58" s="3">
        <v>5</v>
      </c>
      <c r="O58" s="3">
        <v>1</v>
      </c>
      <c r="P58" s="3">
        <v>1</v>
      </c>
      <c r="Q58" s="3">
        <v>4</v>
      </c>
      <c r="R58" s="3">
        <v>1</v>
      </c>
      <c r="S58" s="3">
        <v>2</v>
      </c>
      <c r="T58" s="3">
        <v>118</v>
      </c>
      <c r="U58" s="3">
        <v>5</v>
      </c>
      <c r="V58" s="3">
        <v>1</v>
      </c>
      <c r="W58" s="3">
        <v>3</v>
      </c>
      <c r="X58" s="3">
        <v>2</v>
      </c>
      <c r="Y58" s="3">
        <v>1</v>
      </c>
      <c r="Z58" s="3">
        <v>1</v>
      </c>
      <c r="AA58" s="3">
        <v>1</v>
      </c>
      <c r="AB58" s="3">
        <v>1</v>
      </c>
      <c r="AC58" s="3">
        <v>3</v>
      </c>
      <c r="AD58" s="3">
        <v>1</v>
      </c>
      <c r="AE58" s="3">
        <v>1</v>
      </c>
      <c r="AF58" s="3">
        <v>185</v>
      </c>
      <c r="AG58">
        <v>5</v>
      </c>
      <c r="AH58">
        <f>VLOOKUP(A58,Kits!D59:I259,4,FALSE)</f>
        <v>1532.5236863999999</v>
      </c>
      <c r="AI58" s="8">
        <v>5</v>
      </c>
      <c r="AJ58">
        <f t="shared" si="0"/>
        <v>7662.6184319999993</v>
      </c>
      <c r="AK58" t="s">
        <v>401</v>
      </c>
    </row>
    <row r="59" spans="1:37" x14ac:dyDescent="0.2">
      <c r="A59" s="5" t="s">
        <v>340</v>
      </c>
      <c r="B59" s="3">
        <v>1</v>
      </c>
      <c r="C59" s="3">
        <v>2</v>
      </c>
      <c r="D59" s="3">
        <v>1</v>
      </c>
      <c r="E59" s="3">
        <v>5</v>
      </c>
      <c r="F59" s="3">
        <v>3</v>
      </c>
      <c r="G59" s="3">
        <v>2</v>
      </c>
      <c r="H59" s="3">
        <v>2</v>
      </c>
      <c r="I59" s="3">
        <v>1</v>
      </c>
      <c r="J59" s="3">
        <v>1</v>
      </c>
      <c r="K59" s="3">
        <v>5</v>
      </c>
      <c r="L59" s="3">
        <v>1</v>
      </c>
      <c r="M59" s="3">
        <v>1</v>
      </c>
      <c r="N59" s="3">
        <v>1</v>
      </c>
      <c r="O59" s="3">
        <v>3</v>
      </c>
      <c r="P59" s="3">
        <v>2</v>
      </c>
      <c r="Q59" s="3">
        <v>2</v>
      </c>
      <c r="R59" s="3">
        <v>1</v>
      </c>
      <c r="S59" s="3">
        <v>1</v>
      </c>
      <c r="T59" s="3">
        <v>1</v>
      </c>
      <c r="U59" s="3">
        <v>1</v>
      </c>
      <c r="V59" s="3">
        <v>2</v>
      </c>
      <c r="W59" s="3">
        <v>1</v>
      </c>
      <c r="X59" s="3">
        <v>1</v>
      </c>
      <c r="Y59" s="3">
        <v>3</v>
      </c>
      <c r="Z59" s="3">
        <v>3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52</v>
      </c>
      <c r="AG59">
        <v>3</v>
      </c>
      <c r="AH59">
        <f>VLOOKUP(A59,Kits!D60:I260,4,FALSE)</f>
        <v>1536.3343027199999</v>
      </c>
      <c r="AI59" s="8">
        <v>3</v>
      </c>
      <c r="AJ59">
        <f t="shared" si="0"/>
        <v>4609.0029081599996</v>
      </c>
      <c r="AK59" t="s">
        <v>401</v>
      </c>
    </row>
    <row r="60" spans="1:37" x14ac:dyDescent="0.2">
      <c r="A60" s="5" t="s">
        <v>290</v>
      </c>
      <c r="B60" s="3">
        <v>4</v>
      </c>
      <c r="C60" s="3">
        <v>7</v>
      </c>
      <c r="D60" s="3">
        <v>9</v>
      </c>
      <c r="E60" s="3">
        <v>119</v>
      </c>
      <c r="F60" s="3">
        <v>3</v>
      </c>
      <c r="G60" s="3">
        <v>8</v>
      </c>
      <c r="H60" s="3">
        <v>6</v>
      </c>
      <c r="I60" s="3">
        <v>4</v>
      </c>
      <c r="J60" s="3">
        <v>4</v>
      </c>
      <c r="K60" s="3">
        <v>8</v>
      </c>
      <c r="L60" s="3">
        <v>10</v>
      </c>
      <c r="M60" s="3">
        <v>4</v>
      </c>
      <c r="N60" s="3">
        <v>6</v>
      </c>
      <c r="O60" s="3">
        <v>6</v>
      </c>
      <c r="P60" s="3">
        <v>4</v>
      </c>
      <c r="Q60" s="3">
        <v>8</v>
      </c>
      <c r="R60" s="3">
        <v>7</v>
      </c>
      <c r="S60" s="3">
        <v>5</v>
      </c>
      <c r="T60" s="3">
        <v>6</v>
      </c>
      <c r="U60" s="3">
        <v>6</v>
      </c>
      <c r="V60" s="3">
        <v>6</v>
      </c>
      <c r="W60" s="3">
        <v>5</v>
      </c>
      <c r="X60" s="3">
        <v>4</v>
      </c>
      <c r="Y60" s="3">
        <v>3</v>
      </c>
      <c r="Z60" s="3">
        <v>3</v>
      </c>
      <c r="AA60" s="3">
        <v>5</v>
      </c>
      <c r="AB60" s="3">
        <v>5</v>
      </c>
      <c r="AC60" s="3">
        <v>5</v>
      </c>
      <c r="AD60" s="3">
        <v>5</v>
      </c>
      <c r="AE60" s="3">
        <v>5</v>
      </c>
      <c r="AF60" s="3">
        <v>280</v>
      </c>
      <c r="AG60">
        <v>20</v>
      </c>
      <c r="AH60">
        <f>VLOOKUP(A60,Kits!D61:I261,4,FALSE)</f>
        <v>43.751809919999999</v>
      </c>
      <c r="AI60" s="8">
        <v>20</v>
      </c>
      <c r="AJ60">
        <f t="shared" si="0"/>
        <v>875.03619839999999</v>
      </c>
      <c r="AK60" t="s">
        <v>401</v>
      </c>
    </row>
    <row r="61" spans="1:37" x14ac:dyDescent="0.2">
      <c r="A61" s="5" t="s">
        <v>99</v>
      </c>
      <c r="B61" s="3">
        <v>2</v>
      </c>
      <c r="C61" s="3">
        <v>1</v>
      </c>
      <c r="D61" s="3">
        <v>1</v>
      </c>
      <c r="E61" s="3">
        <v>1</v>
      </c>
      <c r="F61" s="3">
        <v>2</v>
      </c>
      <c r="G61" s="3">
        <v>6</v>
      </c>
      <c r="H61" s="3">
        <v>2</v>
      </c>
      <c r="I61" s="3">
        <v>118</v>
      </c>
      <c r="J61" s="3">
        <v>2</v>
      </c>
      <c r="K61" s="3">
        <v>1</v>
      </c>
      <c r="L61" s="3">
        <v>5</v>
      </c>
      <c r="M61" s="3">
        <v>3</v>
      </c>
      <c r="N61" s="3">
        <v>1</v>
      </c>
      <c r="O61" s="3">
        <v>2</v>
      </c>
      <c r="P61" s="3">
        <v>5</v>
      </c>
      <c r="Q61" s="3">
        <v>6</v>
      </c>
      <c r="R61" s="3">
        <v>4</v>
      </c>
      <c r="S61" s="3">
        <v>1</v>
      </c>
      <c r="T61" s="3">
        <v>2</v>
      </c>
      <c r="U61" s="3">
        <v>1</v>
      </c>
      <c r="V61" s="3">
        <v>5</v>
      </c>
      <c r="W61" s="3">
        <v>1</v>
      </c>
      <c r="X61" s="3">
        <v>2</v>
      </c>
      <c r="Y61" s="3">
        <v>2</v>
      </c>
      <c r="Z61" s="3">
        <v>2</v>
      </c>
      <c r="AA61" s="3">
        <v>5</v>
      </c>
      <c r="AB61" s="3">
        <v>3</v>
      </c>
      <c r="AC61" s="3">
        <v>1</v>
      </c>
      <c r="AD61" s="3">
        <v>5</v>
      </c>
      <c r="AE61" s="3">
        <v>5</v>
      </c>
      <c r="AF61" s="3">
        <v>197</v>
      </c>
      <c r="AG61">
        <v>-1</v>
      </c>
      <c r="AH61">
        <f>VLOOKUP(A61,Kits!D62:I262,4,FALSE)</f>
        <v>1287.1384615384613</v>
      </c>
      <c r="AI61" s="8">
        <v>0</v>
      </c>
      <c r="AJ61">
        <f t="shared" si="0"/>
        <v>0</v>
      </c>
      <c r="AK61" t="s">
        <v>400</v>
      </c>
    </row>
    <row r="62" spans="1:37" x14ac:dyDescent="0.2">
      <c r="A62" s="5" t="s">
        <v>335</v>
      </c>
      <c r="B62" s="3">
        <v>5</v>
      </c>
      <c r="C62" s="3">
        <v>1</v>
      </c>
      <c r="D62" s="3">
        <v>3</v>
      </c>
      <c r="E62" s="3">
        <v>1</v>
      </c>
      <c r="F62" s="3">
        <v>4</v>
      </c>
      <c r="G62" s="3">
        <v>118</v>
      </c>
      <c r="H62" s="3">
        <v>1</v>
      </c>
      <c r="I62" s="3">
        <v>1</v>
      </c>
      <c r="J62" s="3">
        <v>5</v>
      </c>
      <c r="K62" s="3">
        <v>1</v>
      </c>
      <c r="L62" s="3">
        <v>3</v>
      </c>
      <c r="M62" s="3">
        <v>1</v>
      </c>
      <c r="N62" s="3">
        <v>3</v>
      </c>
      <c r="O62" s="3">
        <v>4</v>
      </c>
      <c r="P62" s="3">
        <v>1</v>
      </c>
      <c r="Q62" s="3">
        <v>118</v>
      </c>
      <c r="R62" s="3">
        <v>3</v>
      </c>
      <c r="S62" s="3">
        <v>1</v>
      </c>
      <c r="T62" s="3">
        <v>6</v>
      </c>
      <c r="U62" s="3">
        <v>3</v>
      </c>
      <c r="V62" s="3">
        <v>1</v>
      </c>
      <c r="W62" s="3">
        <v>1</v>
      </c>
      <c r="X62" s="3">
        <v>5</v>
      </c>
      <c r="Y62" s="3">
        <v>4</v>
      </c>
      <c r="Z62" s="3">
        <v>4</v>
      </c>
      <c r="AA62" s="3">
        <v>1</v>
      </c>
      <c r="AB62" s="3">
        <v>3</v>
      </c>
      <c r="AC62" s="3">
        <v>1</v>
      </c>
      <c r="AD62" s="3">
        <v>1</v>
      </c>
      <c r="AE62" s="3">
        <v>1</v>
      </c>
      <c r="AF62" s="3">
        <v>305</v>
      </c>
      <c r="AG62">
        <v>-1</v>
      </c>
      <c r="AH62">
        <f>VLOOKUP(A62,Kits!D63:I263,4,FALSE)</f>
        <v>703.1</v>
      </c>
      <c r="AI62" s="8">
        <v>0</v>
      </c>
      <c r="AJ62">
        <f t="shared" si="0"/>
        <v>0</v>
      </c>
      <c r="AK62" t="s">
        <v>400</v>
      </c>
    </row>
    <row r="63" spans="1:37" x14ac:dyDescent="0.2">
      <c r="A63" s="5" t="s">
        <v>330</v>
      </c>
      <c r="B63" s="3">
        <v>5</v>
      </c>
      <c r="C63" s="3">
        <v>1</v>
      </c>
      <c r="D63" s="3">
        <v>5</v>
      </c>
      <c r="E63" s="3">
        <v>3</v>
      </c>
      <c r="F63" s="3">
        <v>4</v>
      </c>
      <c r="G63" s="3">
        <v>1</v>
      </c>
      <c r="H63" s="3">
        <v>5</v>
      </c>
      <c r="I63" s="3">
        <v>6</v>
      </c>
      <c r="J63" s="3">
        <v>5</v>
      </c>
      <c r="K63" s="3">
        <v>3</v>
      </c>
      <c r="L63" s="3">
        <v>6</v>
      </c>
      <c r="M63" s="3">
        <v>3</v>
      </c>
      <c r="N63" s="3">
        <v>1</v>
      </c>
      <c r="O63" s="3">
        <v>4</v>
      </c>
      <c r="P63" s="3">
        <v>1</v>
      </c>
      <c r="Q63" s="3">
        <v>1</v>
      </c>
      <c r="R63" s="3">
        <v>1</v>
      </c>
      <c r="S63" s="3">
        <v>6</v>
      </c>
      <c r="T63" s="3">
        <v>1</v>
      </c>
      <c r="U63" s="3">
        <v>1</v>
      </c>
      <c r="V63" s="3">
        <v>1</v>
      </c>
      <c r="W63" s="3">
        <v>2</v>
      </c>
      <c r="X63" s="3">
        <v>5</v>
      </c>
      <c r="Y63" s="3">
        <v>4</v>
      </c>
      <c r="Z63" s="3">
        <v>4</v>
      </c>
      <c r="AA63" s="3">
        <v>1</v>
      </c>
      <c r="AB63" s="3">
        <v>1</v>
      </c>
      <c r="AC63" s="3">
        <v>2</v>
      </c>
      <c r="AD63" s="3">
        <v>1</v>
      </c>
      <c r="AE63" s="3">
        <v>1</v>
      </c>
      <c r="AF63" s="3">
        <v>85</v>
      </c>
      <c r="AG63">
        <v>-1</v>
      </c>
      <c r="AH63">
        <f>VLOOKUP(A63,Kits!D64:I264,4,FALSE)</f>
        <v>710.44615384615395</v>
      </c>
      <c r="AI63" s="8">
        <v>0</v>
      </c>
      <c r="AJ63">
        <f t="shared" si="0"/>
        <v>0</v>
      </c>
      <c r="AK63" t="s">
        <v>400</v>
      </c>
    </row>
    <row r="64" spans="1:37" x14ac:dyDescent="0.2">
      <c r="A64" s="5" t="s">
        <v>336</v>
      </c>
      <c r="B64" s="3">
        <v>1</v>
      </c>
      <c r="C64" s="3">
        <v>4</v>
      </c>
      <c r="D64" s="3">
        <v>1</v>
      </c>
      <c r="E64" s="3">
        <v>5</v>
      </c>
      <c r="F64" s="3">
        <v>1</v>
      </c>
      <c r="G64" s="3">
        <v>1</v>
      </c>
      <c r="H64" s="3">
        <v>3</v>
      </c>
      <c r="I64" s="3">
        <v>3</v>
      </c>
      <c r="J64" s="3">
        <v>1</v>
      </c>
      <c r="K64" s="3">
        <v>1</v>
      </c>
      <c r="L64" s="3">
        <v>2</v>
      </c>
      <c r="M64" s="3">
        <v>1</v>
      </c>
      <c r="N64" s="3">
        <v>2</v>
      </c>
      <c r="O64" s="3">
        <v>1</v>
      </c>
      <c r="P64" s="3">
        <v>3</v>
      </c>
      <c r="Q64" s="3">
        <v>1</v>
      </c>
      <c r="R64" s="3">
        <v>1</v>
      </c>
      <c r="S64" s="3">
        <v>3</v>
      </c>
      <c r="T64" s="3">
        <v>6</v>
      </c>
      <c r="U64" s="3">
        <v>2</v>
      </c>
      <c r="V64" s="3">
        <v>3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6</v>
      </c>
      <c r="AC64" s="3">
        <v>1</v>
      </c>
      <c r="AD64" s="3">
        <v>1</v>
      </c>
      <c r="AE64" s="3">
        <v>1</v>
      </c>
      <c r="AF64" s="3">
        <v>60</v>
      </c>
      <c r="AG64">
        <v>-1</v>
      </c>
      <c r="AH64">
        <f>VLOOKUP(A64,Kits!D65:I265,4,FALSE)</f>
        <v>288.42307692307691</v>
      </c>
      <c r="AI64" s="8">
        <v>0</v>
      </c>
      <c r="AJ64">
        <f t="shared" si="0"/>
        <v>0</v>
      </c>
      <c r="AK64" t="s">
        <v>400</v>
      </c>
    </row>
    <row r="65" spans="1:37" x14ac:dyDescent="0.2">
      <c r="A65" s="5" t="s">
        <v>332</v>
      </c>
      <c r="B65" s="3">
        <v>1</v>
      </c>
      <c r="C65" s="3">
        <v>1</v>
      </c>
      <c r="D65" s="3">
        <v>5</v>
      </c>
      <c r="E65" s="3">
        <v>1</v>
      </c>
      <c r="F65" s="3">
        <v>3</v>
      </c>
      <c r="G65" s="3">
        <v>3</v>
      </c>
      <c r="H65" s="3">
        <v>1</v>
      </c>
      <c r="I65" s="3">
        <v>6</v>
      </c>
      <c r="J65" s="3">
        <v>1</v>
      </c>
      <c r="K65" s="3">
        <v>6</v>
      </c>
      <c r="L65" s="3">
        <v>1</v>
      </c>
      <c r="M65" s="3">
        <v>2</v>
      </c>
      <c r="N65" s="3">
        <v>1</v>
      </c>
      <c r="O65" s="3">
        <v>3</v>
      </c>
      <c r="P65" s="3">
        <v>2</v>
      </c>
      <c r="Q65" s="3">
        <v>3</v>
      </c>
      <c r="R65" s="3">
        <v>3</v>
      </c>
      <c r="S65" s="3">
        <v>6</v>
      </c>
      <c r="T65" s="3">
        <v>3</v>
      </c>
      <c r="U65" s="3">
        <v>1</v>
      </c>
      <c r="V65" s="3">
        <v>2</v>
      </c>
      <c r="W65" s="3">
        <v>3</v>
      </c>
      <c r="X65" s="3">
        <v>1</v>
      </c>
      <c r="Y65" s="3">
        <v>3</v>
      </c>
      <c r="Z65" s="3">
        <v>3</v>
      </c>
      <c r="AA65" s="3">
        <v>1</v>
      </c>
      <c r="AB65" s="3">
        <v>1</v>
      </c>
      <c r="AC65" s="3">
        <v>3</v>
      </c>
      <c r="AD65" s="3">
        <v>1</v>
      </c>
      <c r="AE65" s="3">
        <v>1</v>
      </c>
      <c r="AF65" s="3">
        <v>72</v>
      </c>
      <c r="AG65">
        <v>-1</v>
      </c>
      <c r="AH65">
        <f>VLOOKUP(A65,Kits!D66:I266,4,FALSE)</f>
        <v>167.55384615384617</v>
      </c>
      <c r="AI65" s="8">
        <v>0</v>
      </c>
      <c r="AJ65">
        <f t="shared" si="0"/>
        <v>0</v>
      </c>
      <c r="AK65" t="s">
        <v>400</v>
      </c>
    </row>
    <row r="66" spans="1:37" x14ac:dyDescent="0.2">
      <c r="A66" s="5" t="s">
        <v>334</v>
      </c>
      <c r="B66" s="3">
        <v>5</v>
      </c>
      <c r="C66" s="3">
        <v>1</v>
      </c>
      <c r="D66" s="3">
        <v>4</v>
      </c>
      <c r="E66" s="3">
        <v>2</v>
      </c>
      <c r="F66" s="3">
        <v>2</v>
      </c>
      <c r="G66" s="3">
        <v>1</v>
      </c>
      <c r="H66" s="3">
        <v>6</v>
      </c>
      <c r="I66" s="3">
        <v>1</v>
      </c>
      <c r="J66" s="3">
        <v>5</v>
      </c>
      <c r="K66" s="3">
        <v>3</v>
      </c>
      <c r="L66" s="3">
        <v>1</v>
      </c>
      <c r="M66" s="3">
        <v>1</v>
      </c>
      <c r="N66" s="3">
        <v>1</v>
      </c>
      <c r="O66" s="3">
        <v>2</v>
      </c>
      <c r="P66" s="3">
        <v>6</v>
      </c>
      <c r="Q66" s="3">
        <v>1</v>
      </c>
      <c r="R66" s="3">
        <v>1</v>
      </c>
      <c r="S66" s="3">
        <v>1</v>
      </c>
      <c r="T66" s="3">
        <v>3</v>
      </c>
      <c r="U66" s="3">
        <v>1</v>
      </c>
      <c r="V66" s="3">
        <v>6</v>
      </c>
      <c r="W66" s="3">
        <v>1</v>
      </c>
      <c r="X66" s="3">
        <v>5</v>
      </c>
      <c r="Y66" s="3">
        <v>2</v>
      </c>
      <c r="Z66" s="3">
        <v>2</v>
      </c>
      <c r="AA66" s="3">
        <v>1</v>
      </c>
      <c r="AB66" s="3">
        <v>2</v>
      </c>
      <c r="AC66" s="3">
        <v>0</v>
      </c>
      <c r="AD66" s="3">
        <v>1</v>
      </c>
      <c r="AE66" s="3">
        <v>1</v>
      </c>
      <c r="AF66" s="3">
        <v>69</v>
      </c>
      <c r="AG66">
        <v>-1</v>
      </c>
      <c r="AH66">
        <f>VLOOKUP(A66,Kits!D67:I267,4,FALSE)</f>
        <v>149.03076923076924</v>
      </c>
      <c r="AI66" s="8">
        <v>0</v>
      </c>
      <c r="AJ66">
        <f t="shared" ref="AJ66:AJ129" si="1">AH66*AI66</f>
        <v>0</v>
      </c>
      <c r="AK66" t="s">
        <v>400</v>
      </c>
    </row>
    <row r="67" spans="1:37" x14ac:dyDescent="0.2">
      <c r="A67" s="5" t="s">
        <v>328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3</v>
      </c>
      <c r="H67" s="3">
        <v>1</v>
      </c>
      <c r="I67" s="3">
        <v>3</v>
      </c>
      <c r="J67" s="3">
        <v>1</v>
      </c>
      <c r="K67" s="3">
        <v>1</v>
      </c>
      <c r="L67" s="3">
        <v>6</v>
      </c>
      <c r="M67" s="3">
        <v>1</v>
      </c>
      <c r="N67" s="3">
        <v>5</v>
      </c>
      <c r="O67" s="3">
        <v>1</v>
      </c>
      <c r="P67" s="3">
        <v>3</v>
      </c>
      <c r="Q67" s="3">
        <v>3</v>
      </c>
      <c r="R67" s="3">
        <v>5</v>
      </c>
      <c r="S67" s="3">
        <v>3</v>
      </c>
      <c r="T67" s="3">
        <v>1</v>
      </c>
      <c r="U67" s="3">
        <v>5</v>
      </c>
      <c r="V67" s="3">
        <v>3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3">
        <v>118</v>
      </c>
      <c r="AC67" s="3">
        <v>1</v>
      </c>
      <c r="AD67" s="3">
        <v>1</v>
      </c>
      <c r="AE67" s="3">
        <v>1</v>
      </c>
      <c r="AF67" s="3">
        <v>176</v>
      </c>
      <c r="AG67">
        <v>-1</v>
      </c>
      <c r="AH67">
        <f>VLOOKUP(A67,Kits!D68:I268,4,FALSE)</f>
        <v>155.62307692307695</v>
      </c>
      <c r="AI67" s="8">
        <v>0</v>
      </c>
      <c r="AJ67">
        <f t="shared" si="1"/>
        <v>0</v>
      </c>
      <c r="AK67" t="s">
        <v>400</v>
      </c>
    </row>
    <row r="68" spans="1:37" x14ac:dyDescent="0.2">
      <c r="A68" s="5" t="s">
        <v>87</v>
      </c>
      <c r="B68" s="3">
        <v>5</v>
      </c>
      <c r="C68" s="3">
        <v>6</v>
      </c>
      <c r="D68" s="3">
        <v>1</v>
      </c>
      <c r="E68" s="3">
        <v>1</v>
      </c>
      <c r="F68" s="3">
        <v>5</v>
      </c>
      <c r="G68" s="3">
        <v>3</v>
      </c>
      <c r="H68" s="3">
        <v>2</v>
      </c>
      <c r="I68" s="3">
        <v>1</v>
      </c>
      <c r="J68" s="3">
        <v>5</v>
      </c>
      <c r="K68" s="3">
        <v>6</v>
      </c>
      <c r="L68" s="3">
        <v>5</v>
      </c>
      <c r="M68" s="3">
        <v>1</v>
      </c>
      <c r="N68" s="3">
        <v>1</v>
      </c>
      <c r="O68" s="3">
        <v>3</v>
      </c>
      <c r="P68" s="3">
        <v>5</v>
      </c>
      <c r="Q68" s="3">
        <v>2</v>
      </c>
      <c r="R68" s="3">
        <v>5</v>
      </c>
      <c r="S68" s="3">
        <v>1</v>
      </c>
      <c r="T68" s="3">
        <v>1</v>
      </c>
      <c r="U68" s="3">
        <v>1</v>
      </c>
      <c r="V68" s="3">
        <v>5</v>
      </c>
      <c r="W68" s="3">
        <v>4</v>
      </c>
      <c r="X68" s="3">
        <v>5</v>
      </c>
      <c r="Y68" s="3">
        <v>1</v>
      </c>
      <c r="Z68" s="3">
        <v>1</v>
      </c>
      <c r="AA68" s="3">
        <v>3</v>
      </c>
      <c r="AB68" s="3">
        <v>5</v>
      </c>
      <c r="AC68" s="3">
        <v>5</v>
      </c>
      <c r="AD68" s="3">
        <v>5</v>
      </c>
      <c r="AE68" s="3">
        <v>5</v>
      </c>
      <c r="AF68" s="3">
        <v>99</v>
      </c>
      <c r="AG68">
        <v>8</v>
      </c>
      <c r="AH68">
        <f>VLOOKUP(A68,Kits!D69:I269,4,FALSE)</f>
        <v>162.02147135999999</v>
      </c>
      <c r="AI68" s="8">
        <v>8</v>
      </c>
      <c r="AJ68">
        <f t="shared" si="1"/>
        <v>1296.1717708799999</v>
      </c>
      <c r="AK68" t="s">
        <v>401</v>
      </c>
    </row>
    <row r="69" spans="1:37" x14ac:dyDescent="0.2">
      <c r="A69" s="5" t="s">
        <v>90</v>
      </c>
      <c r="B69" s="3">
        <v>5</v>
      </c>
      <c r="C69" s="3">
        <v>1</v>
      </c>
      <c r="D69" s="3">
        <v>1</v>
      </c>
      <c r="E69" s="3">
        <v>1</v>
      </c>
      <c r="F69" s="3">
        <v>1</v>
      </c>
      <c r="G69" s="3">
        <v>2</v>
      </c>
      <c r="H69" s="3">
        <v>6</v>
      </c>
      <c r="I69" s="3">
        <v>2</v>
      </c>
      <c r="J69" s="3">
        <v>5</v>
      </c>
      <c r="K69" s="3">
        <v>1</v>
      </c>
      <c r="L69" s="3">
        <v>1</v>
      </c>
      <c r="M69" s="3">
        <v>5</v>
      </c>
      <c r="N69" s="3">
        <v>3</v>
      </c>
      <c r="O69" s="3">
        <v>1</v>
      </c>
      <c r="P69" s="3">
        <v>5</v>
      </c>
      <c r="Q69" s="3">
        <v>5</v>
      </c>
      <c r="R69" s="3">
        <v>3</v>
      </c>
      <c r="S69" s="3">
        <v>1</v>
      </c>
      <c r="T69" s="3">
        <v>1</v>
      </c>
      <c r="U69" s="3">
        <v>3</v>
      </c>
      <c r="V69" s="3">
        <v>5</v>
      </c>
      <c r="W69" s="3">
        <v>1</v>
      </c>
      <c r="X69" s="3">
        <v>5</v>
      </c>
      <c r="Y69" s="3">
        <v>2</v>
      </c>
      <c r="Z69" s="3">
        <v>1</v>
      </c>
      <c r="AA69" s="3">
        <v>2</v>
      </c>
      <c r="AB69" s="3">
        <v>5</v>
      </c>
      <c r="AC69" s="3">
        <v>5</v>
      </c>
      <c r="AD69" s="3">
        <v>5</v>
      </c>
      <c r="AE69" s="3">
        <v>5</v>
      </c>
      <c r="AF69" s="3">
        <v>89</v>
      </c>
      <c r="AG69">
        <v>14</v>
      </c>
      <c r="AH69">
        <f>VLOOKUP(A69,Kits!D70:I270,4,FALSE)</f>
        <v>238.16351999999995</v>
      </c>
      <c r="AI69" s="8">
        <v>14</v>
      </c>
      <c r="AJ69">
        <f t="shared" si="1"/>
        <v>3334.2892799999991</v>
      </c>
      <c r="AK69" t="s">
        <v>401</v>
      </c>
    </row>
    <row r="70" spans="1:37" x14ac:dyDescent="0.2">
      <c r="A70" s="5" t="s">
        <v>308</v>
      </c>
      <c r="B70" s="3">
        <v>3</v>
      </c>
      <c r="C70" s="3">
        <v>2</v>
      </c>
      <c r="D70" s="3">
        <v>1</v>
      </c>
      <c r="E70" s="3">
        <v>2</v>
      </c>
      <c r="F70" s="3">
        <v>1</v>
      </c>
      <c r="G70" s="3">
        <v>3</v>
      </c>
      <c r="H70" s="3">
        <v>1</v>
      </c>
      <c r="I70" s="3">
        <v>3</v>
      </c>
      <c r="J70" s="3">
        <v>3</v>
      </c>
      <c r="K70" s="3">
        <v>4</v>
      </c>
      <c r="L70" s="3">
        <v>2</v>
      </c>
      <c r="M70" s="3">
        <v>1</v>
      </c>
      <c r="N70" s="3">
        <v>1</v>
      </c>
      <c r="O70" s="3">
        <v>1</v>
      </c>
      <c r="P70" s="3">
        <v>3</v>
      </c>
      <c r="Q70" s="3">
        <v>3</v>
      </c>
      <c r="R70" s="3">
        <v>1</v>
      </c>
      <c r="S70" s="3">
        <v>3</v>
      </c>
      <c r="T70" s="3">
        <v>6</v>
      </c>
      <c r="U70" s="3">
        <v>1</v>
      </c>
      <c r="V70" s="3">
        <v>1</v>
      </c>
      <c r="W70" s="3">
        <v>1</v>
      </c>
      <c r="X70" s="3">
        <v>3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57</v>
      </c>
      <c r="AG70">
        <v>-1</v>
      </c>
      <c r="AH70">
        <f>VLOOKUP(A70,Kits!D71:I271,4,FALSE)</f>
        <v>167.62307692307692</v>
      </c>
      <c r="AI70" s="8">
        <v>0</v>
      </c>
      <c r="AJ70">
        <f t="shared" si="1"/>
        <v>0</v>
      </c>
      <c r="AK70" t="s">
        <v>400</v>
      </c>
    </row>
    <row r="71" spans="1:37" x14ac:dyDescent="0.2">
      <c r="A71" s="5" t="s">
        <v>316</v>
      </c>
      <c r="B71" s="3">
        <v>1</v>
      </c>
      <c r="C71" s="3">
        <v>3</v>
      </c>
      <c r="D71" s="3">
        <v>3</v>
      </c>
      <c r="E71" s="3">
        <v>2</v>
      </c>
      <c r="F71" s="3">
        <v>6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3</v>
      </c>
      <c r="N71" s="3">
        <v>1</v>
      </c>
      <c r="O71" s="3">
        <v>1</v>
      </c>
      <c r="P71" s="3">
        <v>1</v>
      </c>
      <c r="Q71" s="3">
        <v>5</v>
      </c>
      <c r="R71" s="3">
        <v>118</v>
      </c>
      <c r="S71" s="3">
        <v>5</v>
      </c>
      <c r="T71" s="3">
        <v>5</v>
      </c>
      <c r="U71" s="3">
        <v>1</v>
      </c>
      <c r="V71" s="3">
        <v>1</v>
      </c>
      <c r="W71" s="3">
        <v>1</v>
      </c>
      <c r="X71" s="3">
        <v>1</v>
      </c>
      <c r="Y71" s="3">
        <v>6</v>
      </c>
      <c r="Z71" s="3">
        <v>6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3">
        <v>181</v>
      </c>
      <c r="AG71">
        <v>-1</v>
      </c>
      <c r="AH71">
        <f>VLOOKUP(A71,Kits!D72:I272,4,FALSE)</f>
        <v>92.206615384615375</v>
      </c>
      <c r="AI71" s="8">
        <v>0</v>
      </c>
      <c r="AJ71">
        <f t="shared" si="1"/>
        <v>0</v>
      </c>
      <c r="AK71" t="s">
        <v>400</v>
      </c>
    </row>
    <row r="72" spans="1:37" x14ac:dyDescent="0.2">
      <c r="A72" s="5" t="s">
        <v>320</v>
      </c>
      <c r="B72" s="3">
        <v>3</v>
      </c>
      <c r="C72" s="3">
        <v>1</v>
      </c>
      <c r="D72" s="3">
        <v>2</v>
      </c>
      <c r="E72" s="3">
        <v>6</v>
      </c>
      <c r="F72" s="3">
        <v>1</v>
      </c>
      <c r="G72" s="3">
        <v>1</v>
      </c>
      <c r="H72" s="3">
        <v>1</v>
      </c>
      <c r="I72" s="3">
        <v>1</v>
      </c>
      <c r="J72" s="3">
        <v>3</v>
      </c>
      <c r="K72" s="3">
        <v>3</v>
      </c>
      <c r="L72" s="3">
        <v>4</v>
      </c>
      <c r="M72" s="3">
        <v>4</v>
      </c>
      <c r="N72" s="3">
        <v>1</v>
      </c>
      <c r="O72" s="3">
        <v>1</v>
      </c>
      <c r="P72" s="3">
        <v>5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3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54</v>
      </c>
      <c r="AG72">
        <v>-1</v>
      </c>
      <c r="AH72">
        <f>VLOOKUP(A72,Kits!D73:I273,4,FALSE)</f>
        <v>92.206615384615375</v>
      </c>
      <c r="AI72" s="8">
        <v>0</v>
      </c>
      <c r="AJ72">
        <f t="shared" si="1"/>
        <v>0</v>
      </c>
      <c r="AK72" t="s">
        <v>400</v>
      </c>
    </row>
    <row r="73" spans="1:37" x14ac:dyDescent="0.2">
      <c r="A73" s="5" t="s">
        <v>135</v>
      </c>
      <c r="B73" s="3">
        <v>1</v>
      </c>
      <c r="C73" s="3">
        <v>1</v>
      </c>
      <c r="D73" s="3">
        <v>3</v>
      </c>
      <c r="E73" s="3">
        <v>3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3</v>
      </c>
      <c r="N73" s="3">
        <v>3</v>
      </c>
      <c r="O73" s="3">
        <v>1</v>
      </c>
      <c r="P73" s="3">
        <v>2</v>
      </c>
      <c r="Q73" s="3">
        <v>1</v>
      </c>
      <c r="R73" s="3">
        <v>3</v>
      </c>
      <c r="S73" s="3">
        <v>118</v>
      </c>
      <c r="T73" s="3">
        <v>1</v>
      </c>
      <c r="U73" s="3">
        <v>3</v>
      </c>
      <c r="V73" s="3">
        <v>2</v>
      </c>
      <c r="W73" s="3">
        <v>4</v>
      </c>
      <c r="X73" s="3">
        <v>1</v>
      </c>
      <c r="Y73" s="3">
        <v>1</v>
      </c>
      <c r="Z73" s="3">
        <v>1</v>
      </c>
      <c r="AA73" s="3">
        <v>1</v>
      </c>
      <c r="AB73" s="3">
        <v>3</v>
      </c>
      <c r="AC73" s="3">
        <v>4</v>
      </c>
      <c r="AD73" s="3">
        <v>1</v>
      </c>
      <c r="AE73" s="3">
        <v>1</v>
      </c>
      <c r="AF73" s="3">
        <v>169</v>
      </c>
      <c r="AG73">
        <v>11</v>
      </c>
      <c r="AH73">
        <f>VLOOKUP(A73,Kits!D74:I274,4,FALSE)</f>
        <v>395.04690624</v>
      </c>
      <c r="AI73" s="8">
        <v>11</v>
      </c>
      <c r="AJ73">
        <f t="shared" si="1"/>
        <v>4345.5159686400002</v>
      </c>
      <c r="AK73" t="s">
        <v>401</v>
      </c>
    </row>
    <row r="74" spans="1:37" x14ac:dyDescent="0.2">
      <c r="A74" s="5" t="s">
        <v>185</v>
      </c>
      <c r="B74" s="3">
        <v>1</v>
      </c>
      <c r="C74" s="3">
        <v>1</v>
      </c>
      <c r="D74" s="3">
        <v>3</v>
      </c>
      <c r="E74" s="3">
        <v>3</v>
      </c>
      <c r="F74" s="3">
        <v>3</v>
      </c>
      <c r="G74" s="3">
        <v>1</v>
      </c>
      <c r="H74" s="3">
        <v>1</v>
      </c>
      <c r="I74" s="3">
        <v>0</v>
      </c>
      <c r="J74" s="3">
        <v>1</v>
      </c>
      <c r="K74" s="3">
        <v>1</v>
      </c>
      <c r="L74" s="3">
        <v>3</v>
      </c>
      <c r="M74" s="3">
        <v>1</v>
      </c>
      <c r="N74" s="3">
        <v>5</v>
      </c>
      <c r="O74" s="3">
        <v>3</v>
      </c>
      <c r="P74" s="3">
        <v>5</v>
      </c>
      <c r="Q74" s="3">
        <v>0</v>
      </c>
      <c r="R74" s="3">
        <v>3</v>
      </c>
      <c r="S74" s="3">
        <v>4</v>
      </c>
      <c r="T74" s="3">
        <v>0</v>
      </c>
      <c r="U74" s="3">
        <v>5</v>
      </c>
      <c r="V74" s="3">
        <v>5</v>
      </c>
      <c r="W74" s="3">
        <v>0</v>
      </c>
      <c r="X74" s="3">
        <v>1</v>
      </c>
      <c r="Y74" s="3">
        <v>3</v>
      </c>
      <c r="Z74" s="3">
        <v>3</v>
      </c>
      <c r="AA74" s="3">
        <v>3</v>
      </c>
      <c r="AB74" s="3">
        <v>1</v>
      </c>
      <c r="AC74" s="3">
        <v>0</v>
      </c>
      <c r="AD74" s="3">
        <v>3</v>
      </c>
      <c r="AE74" s="3">
        <v>2</v>
      </c>
      <c r="AF74" s="3">
        <v>65</v>
      </c>
      <c r="AG74">
        <v>0</v>
      </c>
      <c r="AH74">
        <f>VLOOKUP(A74,Kits!D75:I275,4,FALSE)</f>
        <v>278.05</v>
      </c>
      <c r="AI74" s="8">
        <v>0</v>
      </c>
      <c r="AJ74">
        <f t="shared" si="1"/>
        <v>0</v>
      </c>
      <c r="AK74" t="s">
        <v>402</v>
      </c>
    </row>
    <row r="75" spans="1:37" x14ac:dyDescent="0.2">
      <c r="A75" s="5" t="s">
        <v>167</v>
      </c>
      <c r="B75" s="3">
        <v>1</v>
      </c>
      <c r="C75" s="3">
        <v>4</v>
      </c>
      <c r="D75" s="3">
        <v>6</v>
      </c>
      <c r="E75" s="3">
        <v>5</v>
      </c>
      <c r="F75" s="3">
        <v>1</v>
      </c>
      <c r="G75" s="3">
        <v>1</v>
      </c>
      <c r="H75" s="3">
        <v>1</v>
      </c>
      <c r="I75" s="3">
        <v>0</v>
      </c>
      <c r="J75" s="3">
        <v>1</v>
      </c>
      <c r="K75" s="3">
        <v>4</v>
      </c>
      <c r="L75" s="3">
        <v>2</v>
      </c>
      <c r="M75" s="3">
        <v>1</v>
      </c>
      <c r="N75" s="3">
        <v>1</v>
      </c>
      <c r="O75" s="3">
        <v>1</v>
      </c>
      <c r="P75" s="3">
        <v>3</v>
      </c>
      <c r="Q75" s="3">
        <v>0</v>
      </c>
      <c r="R75" s="3">
        <v>1</v>
      </c>
      <c r="S75" s="3">
        <v>3</v>
      </c>
      <c r="T75" s="3">
        <v>0</v>
      </c>
      <c r="U75" s="3">
        <v>1</v>
      </c>
      <c r="V75" s="3">
        <v>3</v>
      </c>
      <c r="W75" s="3">
        <v>0</v>
      </c>
      <c r="X75" s="3">
        <v>1</v>
      </c>
      <c r="Y75" s="3">
        <v>1</v>
      </c>
      <c r="Z75" s="3">
        <v>1</v>
      </c>
      <c r="AA75" s="3">
        <v>2</v>
      </c>
      <c r="AB75" s="3">
        <v>6</v>
      </c>
      <c r="AC75" s="3">
        <v>0</v>
      </c>
      <c r="AD75" s="3">
        <v>1</v>
      </c>
      <c r="AE75" s="3">
        <v>1</v>
      </c>
      <c r="AF75" s="3">
        <v>53</v>
      </c>
      <c r="AG75">
        <v>0</v>
      </c>
      <c r="AH75">
        <f>VLOOKUP(A75,Kits!D76:I276,4,FALSE)</f>
        <v>68.201099999999997</v>
      </c>
      <c r="AI75" s="8">
        <v>0</v>
      </c>
      <c r="AJ75">
        <f t="shared" si="1"/>
        <v>0</v>
      </c>
      <c r="AK75" t="s">
        <v>402</v>
      </c>
    </row>
    <row r="76" spans="1:37" x14ac:dyDescent="0.2">
      <c r="A76" s="5" t="s">
        <v>177</v>
      </c>
      <c r="B76" s="3">
        <v>2</v>
      </c>
      <c r="C76" s="3">
        <v>1</v>
      </c>
      <c r="D76" s="3">
        <v>3</v>
      </c>
      <c r="E76" s="3">
        <v>1</v>
      </c>
      <c r="F76" s="3">
        <v>2</v>
      </c>
      <c r="G76" s="3">
        <v>6</v>
      </c>
      <c r="H76" s="3">
        <v>2</v>
      </c>
      <c r="I76" s="3">
        <v>0</v>
      </c>
      <c r="J76" s="3">
        <v>2</v>
      </c>
      <c r="K76" s="3">
        <v>1</v>
      </c>
      <c r="L76" s="3">
        <v>5</v>
      </c>
      <c r="M76" s="3">
        <v>3</v>
      </c>
      <c r="N76" s="3">
        <v>1</v>
      </c>
      <c r="O76" s="3">
        <v>1</v>
      </c>
      <c r="P76" s="3">
        <v>5</v>
      </c>
      <c r="Q76" s="3">
        <v>0</v>
      </c>
      <c r="R76" s="3">
        <v>6</v>
      </c>
      <c r="S76" s="3">
        <v>1</v>
      </c>
      <c r="T76" s="3">
        <v>0</v>
      </c>
      <c r="U76" s="3">
        <v>1</v>
      </c>
      <c r="V76" s="3">
        <v>5</v>
      </c>
      <c r="W76" s="3">
        <v>0</v>
      </c>
      <c r="X76" s="3">
        <v>2</v>
      </c>
      <c r="Y76" s="3">
        <v>2</v>
      </c>
      <c r="Z76" s="3">
        <v>2</v>
      </c>
      <c r="AA76" s="3">
        <v>1</v>
      </c>
      <c r="AB76" s="3">
        <v>3</v>
      </c>
      <c r="AC76" s="3">
        <v>0</v>
      </c>
      <c r="AD76" s="3">
        <v>1</v>
      </c>
      <c r="AE76" s="3">
        <v>1</v>
      </c>
      <c r="AF76" s="3">
        <v>60</v>
      </c>
      <c r="AG76">
        <v>4</v>
      </c>
      <c r="AH76">
        <f>VLOOKUP(A76,Kits!D77:I277,4,FALSE)</f>
        <v>1660.6244256000002</v>
      </c>
      <c r="AI76" s="8">
        <v>4</v>
      </c>
      <c r="AJ76">
        <f t="shared" si="1"/>
        <v>6642.4977024000009</v>
      </c>
      <c r="AK76" t="s">
        <v>401</v>
      </c>
    </row>
    <row r="77" spans="1:37" x14ac:dyDescent="0.2">
      <c r="A77" s="5" t="s">
        <v>270</v>
      </c>
      <c r="B77" s="3">
        <v>3</v>
      </c>
      <c r="C77" s="3">
        <v>2</v>
      </c>
      <c r="D77" s="3">
        <v>6</v>
      </c>
      <c r="E77" s="3">
        <v>2</v>
      </c>
      <c r="F77" s="3">
        <v>1</v>
      </c>
      <c r="G77" s="3">
        <v>3</v>
      </c>
      <c r="H77" s="3">
        <v>1</v>
      </c>
      <c r="I77" s="3">
        <v>3</v>
      </c>
      <c r="J77" s="3">
        <v>3</v>
      </c>
      <c r="K77" s="3">
        <v>4</v>
      </c>
      <c r="L77" s="3">
        <v>1</v>
      </c>
      <c r="M77" s="3">
        <v>118</v>
      </c>
      <c r="N77" s="3">
        <v>1</v>
      </c>
      <c r="O77" s="3">
        <v>1</v>
      </c>
      <c r="P77" s="3">
        <v>3</v>
      </c>
      <c r="Q77" s="3">
        <v>3</v>
      </c>
      <c r="R77" s="3">
        <v>1</v>
      </c>
      <c r="S77" s="3">
        <v>3</v>
      </c>
      <c r="T77" s="3">
        <v>6</v>
      </c>
      <c r="U77" s="3">
        <v>1</v>
      </c>
      <c r="V77" s="3">
        <v>1</v>
      </c>
      <c r="W77" s="3">
        <v>1</v>
      </c>
      <c r="X77" s="3">
        <v>3</v>
      </c>
      <c r="Y77" s="3">
        <v>1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178</v>
      </c>
      <c r="AG77">
        <v>3</v>
      </c>
      <c r="AH77">
        <f>VLOOKUP(A77,Kits!D78:I278,4,FALSE)</f>
        <v>3027.0973823999993</v>
      </c>
      <c r="AI77" s="8">
        <v>3</v>
      </c>
      <c r="AJ77">
        <f t="shared" si="1"/>
        <v>9081.292147199998</v>
      </c>
      <c r="AK77" t="s">
        <v>401</v>
      </c>
    </row>
    <row r="78" spans="1:37" x14ac:dyDescent="0.2">
      <c r="A78" s="5" t="s">
        <v>129</v>
      </c>
      <c r="B78" s="3">
        <v>5</v>
      </c>
      <c r="C78" s="3">
        <v>1</v>
      </c>
      <c r="D78" s="3">
        <v>3</v>
      </c>
      <c r="E78" s="3">
        <v>1</v>
      </c>
      <c r="F78" s="3">
        <v>4</v>
      </c>
      <c r="G78" s="3">
        <v>118</v>
      </c>
      <c r="H78" s="3">
        <v>5</v>
      </c>
      <c r="I78" s="3">
        <v>4</v>
      </c>
      <c r="J78" s="3">
        <v>5</v>
      </c>
      <c r="K78" s="3">
        <v>1</v>
      </c>
      <c r="L78" s="3">
        <v>3</v>
      </c>
      <c r="M78" s="3">
        <v>1</v>
      </c>
      <c r="N78" s="3">
        <v>6</v>
      </c>
      <c r="O78" s="3">
        <v>4</v>
      </c>
      <c r="P78" s="3">
        <v>1</v>
      </c>
      <c r="Q78" s="3">
        <v>118</v>
      </c>
      <c r="R78" s="3">
        <v>1</v>
      </c>
      <c r="S78" s="3">
        <v>1</v>
      </c>
      <c r="T78" s="3">
        <v>6</v>
      </c>
      <c r="U78" s="3">
        <v>6</v>
      </c>
      <c r="V78" s="3">
        <v>1</v>
      </c>
      <c r="W78" s="3">
        <v>3</v>
      </c>
      <c r="X78" s="3">
        <v>5</v>
      </c>
      <c r="Y78" s="3">
        <v>4</v>
      </c>
      <c r="Z78" s="3">
        <v>4</v>
      </c>
      <c r="AA78" s="3">
        <v>1</v>
      </c>
      <c r="AB78" s="3">
        <v>3</v>
      </c>
      <c r="AC78" s="3">
        <v>3</v>
      </c>
      <c r="AD78" s="3">
        <v>1</v>
      </c>
      <c r="AE78" s="3">
        <v>1</v>
      </c>
      <c r="AF78" s="3">
        <v>320</v>
      </c>
      <c r="AG78">
        <v>2</v>
      </c>
      <c r="AH78">
        <f>VLOOKUP(A78,Kits!D79:I279,4,FALSE)</f>
        <v>6724.2781999999997</v>
      </c>
      <c r="AI78" s="8">
        <v>2</v>
      </c>
      <c r="AJ78">
        <f t="shared" si="1"/>
        <v>13448.556399999999</v>
      </c>
      <c r="AK78" t="s">
        <v>401</v>
      </c>
    </row>
    <row r="79" spans="1:37" x14ac:dyDescent="0.2">
      <c r="A79" s="5" t="s">
        <v>112</v>
      </c>
      <c r="B79" s="3">
        <v>5</v>
      </c>
      <c r="C79" s="3">
        <v>3</v>
      </c>
      <c r="D79" s="3">
        <v>3</v>
      </c>
      <c r="E79" s="3">
        <v>6</v>
      </c>
      <c r="F79" s="3">
        <v>4</v>
      </c>
      <c r="G79" s="3">
        <v>5</v>
      </c>
      <c r="H79" s="3">
        <v>5</v>
      </c>
      <c r="I79" s="3">
        <v>7</v>
      </c>
      <c r="J79" s="3">
        <v>5</v>
      </c>
      <c r="K79" s="3">
        <v>3</v>
      </c>
      <c r="L79" s="3">
        <v>6</v>
      </c>
      <c r="M79" s="3">
        <v>6</v>
      </c>
      <c r="N79" s="3">
        <v>4</v>
      </c>
      <c r="O79" s="3">
        <v>4</v>
      </c>
      <c r="P79" s="3">
        <v>3</v>
      </c>
      <c r="Q79" s="3">
        <v>5</v>
      </c>
      <c r="R79" s="3">
        <v>6</v>
      </c>
      <c r="S79" s="3">
        <v>2</v>
      </c>
      <c r="T79" s="3">
        <v>4</v>
      </c>
      <c r="U79" s="3">
        <v>4</v>
      </c>
      <c r="V79" s="3">
        <v>3</v>
      </c>
      <c r="W79" s="3">
        <v>4</v>
      </c>
      <c r="X79" s="3">
        <v>5</v>
      </c>
      <c r="Y79" s="3">
        <v>4</v>
      </c>
      <c r="Z79" s="3">
        <v>4</v>
      </c>
      <c r="AA79" s="3">
        <v>11</v>
      </c>
      <c r="AB79" s="3">
        <v>2</v>
      </c>
      <c r="AC79" s="3">
        <v>4</v>
      </c>
      <c r="AD79" s="3">
        <v>11</v>
      </c>
      <c r="AE79" s="3">
        <v>11</v>
      </c>
      <c r="AF79" s="3">
        <v>149</v>
      </c>
      <c r="AG79">
        <v>-1</v>
      </c>
      <c r="AH79">
        <f>VLOOKUP(A79,Kits!D80:I280,4,FALSE)</f>
        <v>97.646153846153851</v>
      </c>
      <c r="AI79" s="8">
        <v>0</v>
      </c>
      <c r="AJ79">
        <f t="shared" si="1"/>
        <v>0</v>
      </c>
      <c r="AK79" t="s">
        <v>400</v>
      </c>
    </row>
    <row r="80" spans="1:37" x14ac:dyDescent="0.2">
      <c r="A80" s="5" t="s">
        <v>101</v>
      </c>
      <c r="B80" s="3">
        <v>4</v>
      </c>
      <c r="C80" s="3">
        <v>118</v>
      </c>
      <c r="D80" s="3">
        <v>1</v>
      </c>
      <c r="E80" s="3">
        <v>1</v>
      </c>
      <c r="F80" s="3">
        <v>3</v>
      </c>
      <c r="G80" s="3">
        <v>6</v>
      </c>
      <c r="H80" s="3">
        <v>4</v>
      </c>
      <c r="I80" s="3">
        <v>1</v>
      </c>
      <c r="J80" s="3">
        <v>4</v>
      </c>
      <c r="K80" s="3">
        <v>118</v>
      </c>
      <c r="L80" s="3">
        <v>5</v>
      </c>
      <c r="M80" s="3">
        <v>1</v>
      </c>
      <c r="N80" s="3">
        <v>5</v>
      </c>
      <c r="O80" s="3">
        <v>3</v>
      </c>
      <c r="P80" s="3">
        <v>1</v>
      </c>
      <c r="Q80" s="3">
        <v>6</v>
      </c>
      <c r="R80" s="3">
        <v>1</v>
      </c>
      <c r="S80" s="3">
        <v>5</v>
      </c>
      <c r="T80" s="3">
        <v>1</v>
      </c>
      <c r="U80" s="3">
        <v>5</v>
      </c>
      <c r="V80" s="3">
        <v>1</v>
      </c>
      <c r="W80" s="3">
        <v>1</v>
      </c>
      <c r="X80" s="3">
        <v>4</v>
      </c>
      <c r="Y80" s="3">
        <v>3</v>
      </c>
      <c r="Z80" s="3">
        <v>3</v>
      </c>
      <c r="AA80" s="3">
        <v>1</v>
      </c>
      <c r="AB80" s="3">
        <v>2</v>
      </c>
      <c r="AC80" s="3">
        <v>1</v>
      </c>
      <c r="AD80" s="3">
        <v>1</v>
      </c>
      <c r="AE80" s="3">
        <v>1</v>
      </c>
      <c r="AF80" s="3">
        <v>311</v>
      </c>
      <c r="AG80">
        <v>0</v>
      </c>
      <c r="AH80">
        <f>VLOOKUP(A80,Kits!D81:I281,4,FALSE)</f>
        <v>1363.0371551999999</v>
      </c>
      <c r="AI80" s="8">
        <v>0</v>
      </c>
      <c r="AJ80">
        <f t="shared" si="1"/>
        <v>0</v>
      </c>
      <c r="AK80" t="s">
        <v>402</v>
      </c>
    </row>
    <row r="81" spans="1:37" x14ac:dyDescent="0.2">
      <c r="A81" s="5" t="s">
        <v>110</v>
      </c>
      <c r="B81" s="3">
        <v>4</v>
      </c>
      <c r="C81" s="3">
        <v>6</v>
      </c>
      <c r="D81" s="3">
        <v>7</v>
      </c>
      <c r="E81" s="3">
        <v>2</v>
      </c>
      <c r="F81" s="3">
        <v>119</v>
      </c>
      <c r="G81" s="3">
        <v>2</v>
      </c>
      <c r="H81" s="3">
        <v>4</v>
      </c>
      <c r="I81" s="3">
        <v>3</v>
      </c>
      <c r="J81" s="3">
        <v>4</v>
      </c>
      <c r="K81" s="3">
        <v>6</v>
      </c>
      <c r="L81" s="3">
        <v>2</v>
      </c>
      <c r="M81" s="3">
        <v>6</v>
      </c>
      <c r="N81" s="3">
        <v>4</v>
      </c>
      <c r="O81" s="3">
        <v>119</v>
      </c>
      <c r="P81" s="3">
        <v>4</v>
      </c>
      <c r="Q81" s="3">
        <v>2</v>
      </c>
      <c r="R81" s="3">
        <v>5</v>
      </c>
      <c r="S81" s="3">
        <v>7</v>
      </c>
      <c r="T81" s="3">
        <v>2</v>
      </c>
      <c r="U81" s="3">
        <v>4</v>
      </c>
      <c r="V81" s="3">
        <v>4</v>
      </c>
      <c r="W81" s="3">
        <v>3</v>
      </c>
      <c r="X81" s="3">
        <v>4</v>
      </c>
      <c r="Y81" s="3">
        <v>119</v>
      </c>
      <c r="Z81" s="3">
        <v>119</v>
      </c>
      <c r="AA81" s="3">
        <v>9</v>
      </c>
      <c r="AB81" s="3">
        <v>9</v>
      </c>
      <c r="AC81" s="3">
        <v>3</v>
      </c>
      <c r="AD81" s="3">
        <v>9</v>
      </c>
      <c r="AE81" s="3">
        <v>9</v>
      </c>
      <c r="AF81" s="3">
        <v>600</v>
      </c>
      <c r="AG81">
        <v>0</v>
      </c>
      <c r="AH81">
        <f>VLOOKUP(A81,Kits!D82:I282,4,FALSE)</f>
        <v>119.83539999999999</v>
      </c>
      <c r="AI81" s="8">
        <v>0</v>
      </c>
      <c r="AJ81">
        <f t="shared" si="1"/>
        <v>0</v>
      </c>
      <c r="AK81" t="s">
        <v>402</v>
      </c>
    </row>
    <row r="82" spans="1:37" x14ac:dyDescent="0.2">
      <c r="A82" s="5" t="s">
        <v>107</v>
      </c>
      <c r="B82" s="3">
        <v>1</v>
      </c>
      <c r="C82" s="3">
        <v>3</v>
      </c>
      <c r="D82" s="3">
        <v>2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3</v>
      </c>
      <c r="L82" s="3">
        <v>4</v>
      </c>
      <c r="M82" s="3">
        <v>4</v>
      </c>
      <c r="N82" s="3">
        <v>6</v>
      </c>
      <c r="O82" s="3">
        <v>1</v>
      </c>
      <c r="P82" s="3">
        <v>5</v>
      </c>
      <c r="Q82" s="3">
        <v>1</v>
      </c>
      <c r="R82" s="3">
        <v>1</v>
      </c>
      <c r="S82" s="3">
        <v>1</v>
      </c>
      <c r="T82" s="3">
        <v>1</v>
      </c>
      <c r="U82" s="3">
        <v>6</v>
      </c>
      <c r="V82" s="3">
        <v>5</v>
      </c>
      <c r="W82" s="3">
        <v>5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5</v>
      </c>
      <c r="AD82" s="3">
        <v>1</v>
      </c>
      <c r="AE82" s="3">
        <v>1</v>
      </c>
      <c r="AF82" s="3">
        <v>67</v>
      </c>
      <c r="AG82">
        <v>2</v>
      </c>
      <c r="AH82">
        <f>VLOOKUP(A82,Kits!D83:I283,4,FALSE)</f>
        <v>61.492307692307698</v>
      </c>
      <c r="AI82" s="8">
        <v>2</v>
      </c>
      <c r="AJ82">
        <f t="shared" si="1"/>
        <v>122.9846153846154</v>
      </c>
      <c r="AK82" t="s">
        <v>401</v>
      </c>
    </row>
    <row r="83" spans="1:37" x14ac:dyDescent="0.2">
      <c r="A83" s="5" t="s">
        <v>105</v>
      </c>
      <c r="B83" s="3">
        <v>118</v>
      </c>
      <c r="C83" s="3">
        <v>1</v>
      </c>
      <c r="D83" s="3">
        <v>1</v>
      </c>
      <c r="E83" s="3">
        <v>3</v>
      </c>
      <c r="F83" s="3">
        <v>6</v>
      </c>
      <c r="G83" s="3">
        <v>3</v>
      </c>
      <c r="H83" s="3">
        <v>118</v>
      </c>
      <c r="I83" s="3">
        <v>3</v>
      </c>
      <c r="J83" s="3">
        <v>118</v>
      </c>
      <c r="K83" s="3">
        <v>1</v>
      </c>
      <c r="L83" s="3">
        <v>1</v>
      </c>
      <c r="M83" s="3">
        <v>2</v>
      </c>
      <c r="N83" s="3">
        <v>3</v>
      </c>
      <c r="O83" s="3">
        <v>6</v>
      </c>
      <c r="P83" s="3">
        <v>1</v>
      </c>
      <c r="Q83" s="3">
        <v>3</v>
      </c>
      <c r="R83" s="3">
        <v>1</v>
      </c>
      <c r="S83" s="3">
        <v>1</v>
      </c>
      <c r="T83" s="3">
        <v>1</v>
      </c>
      <c r="U83" s="3">
        <v>3</v>
      </c>
      <c r="V83" s="3">
        <v>1</v>
      </c>
      <c r="W83" s="3">
        <v>5</v>
      </c>
      <c r="X83" s="3">
        <v>118</v>
      </c>
      <c r="Y83" s="3">
        <v>6</v>
      </c>
      <c r="Z83" s="3">
        <v>6</v>
      </c>
      <c r="AA83" s="3">
        <v>1</v>
      </c>
      <c r="AB83" s="3">
        <v>5</v>
      </c>
      <c r="AC83" s="3">
        <v>5</v>
      </c>
      <c r="AD83" s="3">
        <v>1</v>
      </c>
      <c r="AE83" s="3">
        <v>1</v>
      </c>
      <c r="AF83" s="3">
        <v>543</v>
      </c>
      <c r="AG83">
        <v>0</v>
      </c>
      <c r="AH83">
        <f>VLOOKUP(A83,Kits!D84:I284,4,FALSE)</f>
        <v>36.470199999999998</v>
      </c>
      <c r="AI83" s="8">
        <v>0</v>
      </c>
      <c r="AJ83">
        <f t="shared" si="1"/>
        <v>0</v>
      </c>
      <c r="AK83" t="s">
        <v>402</v>
      </c>
    </row>
    <row r="84" spans="1:37" x14ac:dyDescent="0.2">
      <c r="A84" s="5" t="s">
        <v>67</v>
      </c>
      <c r="B84" s="3">
        <v>1</v>
      </c>
      <c r="C84" s="3">
        <v>1</v>
      </c>
      <c r="D84" s="3">
        <v>2</v>
      </c>
      <c r="E84" s="3">
        <v>1</v>
      </c>
      <c r="F84" s="3">
        <v>6</v>
      </c>
      <c r="G84" s="3">
        <v>1</v>
      </c>
      <c r="H84" s="3">
        <v>4</v>
      </c>
      <c r="I84" s="3">
        <v>2</v>
      </c>
      <c r="J84" s="3">
        <v>1</v>
      </c>
      <c r="K84" s="3">
        <v>1</v>
      </c>
      <c r="L84" s="3">
        <v>5</v>
      </c>
      <c r="M84" s="3">
        <v>3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2</v>
      </c>
      <c r="U84" s="3">
        <v>1</v>
      </c>
      <c r="V84" s="3">
        <v>1</v>
      </c>
      <c r="W84" s="3">
        <v>1</v>
      </c>
      <c r="X84" s="3">
        <v>1</v>
      </c>
      <c r="Y84" s="3">
        <v>2</v>
      </c>
      <c r="Z84" s="3">
        <v>5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52</v>
      </c>
      <c r="AG84">
        <v>80</v>
      </c>
      <c r="AH84">
        <f>VLOOKUP(A84,Kits!D85:I285,4,FALSE)</f>
        <v>49.678567679999993</v>
      </c>
      <c r="AI84" s="8">
        <v>52</v>
      </c>
      <c r="AJ84">
        <f t="shared" si="1"/>
        <v>2583.2855193599999</v>
      </c>
      <c r="AK84" t="s">
        <v>401</v>
      </c>
    </row>
    <row r="85" spans="1:37" x14ac:dyDescent="0.2">
      <c r="A85" s="5" t="s">
        <v>137</v>
      </c>
      <c r="B85" s="3">
        <v>3</v>
      </c>
      <c r="C85" s="3">
        <v>1</v>
      </c>
      <c r="D85" s="3">
        <v>2</v>
      </c>
      <c r="E85" s="3">
        <v>1</v>
      </c>
      <c r="F85" s="3">
        <v>1</v>
      </c>
      <c r="G85" s="3">
        <v>5</v>
      </c>
      <c r="H85" s="3">
        <v>3</v>
      </c>
      <c r="I85" s="3">
        <v>3</v>
      </c>
      <c r="J85" s="3">
        <v>3</v>
      </c>
      <c r="K85" s="3">
        <v>1</v>
      </c>
      <c r="L85" s="3">
        <v>1</v>
      </c>
      <c r="M85" s="3">
        <v>6</v>
      </c>
      <c r="N85" s="3">
        <v>2</v>
      </c>
      <c r="O85" s="3">
        <v>1</v>
      </c>
      <c r="P85" s="3">
        <v>4</v>
      </c>
      <c r="Q85" s="3">
        <v>5</v>
      </c>
      <c r="R85" s="3">
        <v>1</v>
      </c>
      <c r="S85" s="3">
        <v>1</v>
      </c>
      <c r="T85" s="3">
        <v>3</v>
      </c>
      <c r="U85" s="3">
        <v>2</v>
      </c>
      <c r="V85" s="3">
        <v>4</v>
      </c>
      <c r="W85" s="3">
        <v>1</v>
      </c>
      <c r="X85" s="3">
        <v>3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64</v>
      </c>
      <c r="AG85">
        <v>38</v>
      </c>
      <c r="AH85">
        <f>VLOOKUP(A85,Kits!D86:I286,4,FALSE)</f>
        <v>252.98431871999998</v>
      </c>
      <c r="AI85" s="8">
        <v>38</v>
      </c>
      <c r="AJ85">
        <f t="shared" si="1"/>
        <v>9613.4041113599997</v>
      </c>
      <c r="AK85" t="s">
        <v>401</v>
      </c>
    </row>
    <row r="86" spans="1:37" x14ac:dyDescent="0.2">
      <c r="A86" s="5" t="s">
        <v>142</v>
      </c>
      <c r="B86" s="3">
        <v>3</v>
      </c>
      <c r="C86" s="3">
        <v>3</v>
      </c>
      <c r="D86" s="3">
        <v>1</v>
      </c>
      <c r="E86" s="3">
        <v>5</v>
      </c>
      <c r="F86" s="3">
        <v>1</v>
      </c>
      <c r="G86" s="3">
        <v>3</v>
      </c>
      <c r="H86" s="3">
        <v>6</v>
      </c>
      <c r="I86" s="3">
        <v>4</v>
      </c>
      <c r="J86" s="3">
        <v>3</v>
      </c>
      <c r="K86" s="3">
        <v>3</v>
      </c>
      <c r="L86" s="3">
        <v>1</v>
      </c>
      <c r="M86" s="3">
        <v>4</v>
      </c>
      <c r="N86" s="3">
        <v>2</v>
      </c>
      <c r="O86" s="3">
        <v>5</v>
      </c>
      <c r="P86" s="3">
        <v>3</v>
      </c>
      <c r="Q86" s="3">
        <v>2</v>
      </c>
      <c r="R86" s="3">
        <v>6</v>
      </c>
      <c r="S86" s="3">
        <v>1</v>
      </c>
      <c r="T86" s="3">
        <v>1</v>
      </c>
      <c r="U86" s="3">
        <v>2</v>
      </c>
      <c r="V86" s="3">
        <v>3</v>
      </c>
      <c r="W86" s="3">
        <v>1</v>
      </c>
      <c r="X86" s="3">
        <v>3</v>
      </c>
      <c r="Y86" s="3">
        <v>4</v>
      </c>
      <c r="Z86" s="3">
        <v>2</v>
      </c>
      <c r="AA86" s="3">
        <v>2</v>
      </c>
      <c r="AB86" s="3">
        <v>4</v>
      </c>
      <c r="AC86" s="3">
        <v>1</v>
      </c>
      <c r="AD86" s="3">
        <v>2</v>
      </c>
      <c r="AE86" s="3">
        <v>2</v>
      </c>
      <c r="AF86" s="3">
        <v>83</v>
      </c>
      <c r="AG86">
        <v>0</v>
      </c>
      <c r="AH86">
        <f>VLOOKUP(A86,Kits!D87:I287,4,FALSE)</f>
        <v>18141.642</v>
      </c>
      <c r="AI86" s="8">
        <v>0</v>
      </c>
      <c r="AJ86">
        <f t="shared" si="1"/>
        <v>0</v>
      </c>
      <c r="AK86" t="s">
        <v>402</v>
      </c>
    </row>
    <row r="87" spans="1:37" x14ac:dyDescent="0.2">
      <c r="A87" s="5" t="s">
        <v>144</v>
      </c>
      <c r="B87" s="3">
        <v>2</v>
      </c>
      <c r="C87" s="3">
        <v>1</v>
      </c>
      <c r="D87" s="3">
        <v>3</v>
      </c>
      <c r="E87" s="3">
        <v>1</v>
      </c>
      <c r="F87" s="3">
        <v>4</v>
      </c>
      <c r="G87" s="3">
        <v>6</v>
      </c>
      <c r="H87" s="3">
        <v>1</v>
      </c>
      <c r="I87" s="3">
        <v>1</v>
      </c>
      <c r="J87" s="3">
        <v>2</v>
      </c>
      <c r="K87" s="3">
        <v>1</v>
      </c>
      <c r="L87" s="3">
        <v>5</v>
      </c>
      <c r="M87" s="3">
        <v>3</v>
      </c>
      <c r="N87" s="3">
        <v>1</v>
      </c>
      <c r="O87" s="3">
        <v>1</v>
      </c>
      <c r="P87" s="3">
        <v>2</v>
      </c>
      <c r="Q87" s="3">
        <v>3</v>
      </c>
      <c r="R87" s="3">
        <v>6</v>
      </c>
      <c r="S87" s="3">
        <v>1</v>
      </c>
      <c r="T87" s="3">
        <v>3</v>
      </c>
      <c r="U87" s="3">
        <v>1</v>
      </c>
      <c r="V87" s="3">
        <v>2</v>
      </c>
      <c r="W87" s="3">
        <v>5</v>
      </c>
      <c r="X87" s="3">
        <v>2</v>
      </c>
      <c r="Y87" s="3">
        <v>1</v>
      </c>
      <c r="Z87" s="3">
        <v>3</v>
      </c>
      <c r="AA87" s="3">
        <v>2</v>
      </c>
      <c r="AB87" s="3">
        <v>3</v>
      </c>
      <c r="AC87" s="3">
        <v>5</v>
      </c>
      <c r="AD87" s="3">
        <v>2</v>
      </c>
      <c r="AE87" s="3">
        <v>2</v>
      </c>
      <c r="AF87" s="3">
        <v>75</v>
      </c>
      <c r="AG87">
        <v>0</v>
      </c>
      <c r="AH87">
        <f>VLOOKUP(A87,Kits!D88:I288,4,FALSE)</f>
        <v>7346.6769230769241</v>
      </c>
      <c r="AI87" s="8">
        <v>0</v>
      </c>
      <c r="AJ87">
        <f t="shared" si="1"/>
        <v>0</v>
      </c>
      <c r="AK87" t="s">
        <v>402</v>
      </c>
    </row>
    <row r="88" spans="1:37" x14ac:dyDescent="0.2">
      <c r="A88" s="5" t="s">
        <v>149</v>
      </c>
      <c r="B88" s="3">
        <v>3</v>
      </c>
      <c r="C88" s="3">
        <v>1</v>
      </c>
      <c r="D88" s="3">
        <v>1</v>
      </c>
      <c r="E88" s="3">
        <v>1</v>
      </c>
      <c r="F88" s="3">
        <v>3</v>
      </c>
      <c r="G88" s="3">
        <v>5</v>
      </c>
      <c r="H88" s="3">
        <v>3</v>
      </c>
      <c r="I88" s="3">
        <v>0</v>
      </c>
      <c r="J88" s="3">
        <v>3</v>
      </c>
      <c r="K88" s="3">
        <v>1</v>
      </c>
      <c r="L88" s="3">
        <v>1</v>
      </c>
      <c r="M88" s="3">
        <v>6</v>
      </c>
      <c r="N88" s="3">
        <v>2</v>
      </c>
      <c r="O88" s="3">
        <v>1</v>
      </c>
      <c r="P88" s="3">
        <v>3</v>
      </c>
      <c r="Q88" s="3">
        <v>0</v>
      </c>
      <c r="R88" s="3">
        <v>5</v>
      </c>
      <c r="S88" s="3">
        <v>1</v>
      </c>
      <c r="T88" s="3">
        <v>0</v>
      </c>
      <c r="U88" s="3">
        <v>2</v>
      </c>
      <c r="V88" s="3">
        <v>3</v>
      </c>
      <c r="W88" s="3">
        <v>0</v>
      </c>
      <c r="X88" s="3">
        <v>3</v>
      </c>
      <c r="Y88" s="3">
        <v>1</v>
      </c>
      <c r="Z88" s="3">
        <v>1</v>
      </c>
      <c r="AA88" s="3">
        <v>1</v>
      </c>
      <c r="AB88" s="3">
        <v>6</v>
      </c>
      <c r="AC88" s="3">
        <v>0</v>
      </c>
      <c r="AD88" s="3">
        <v>1</v>
      </c>
      <c r="AE88" s="3">
        <v>1</v>
      </c>
      <c r="AF88" s="3">
        <v>59</v>
      </c>
      <c r="AG88">
        <v>6</v>
      </c>
      <c r="AH88">
        <f>VLOOKUP(A88,Kits!D89:I289,4,FALSE)</f>
        <v>0.7054999999999999</v>
      </c>
      <c r="AI88" s="8">
        <v>6</v>
      </c>
      <c r="AJ88">
        <f t="shared" si="1"/>
        <v>4.2329999999999997</v>
      </c>
      <c r="AK88" t="s">
        <v>401</v>
      </c>
    </row>
    <row r="89" spans="1:37" x14ac:dyDescent="0.2">
      <c r="A89" s="5" t="s">
        <v>73</v>
      </c>
      <c r="B89" s="3">
        <v>5</v>
      </c>
      <c r="C89" s="3">
        <v>2</v>
      </c>
      <c r="D89" s="3">
        <v>1</v>
      </c>
      <c r="E89" s="3">
        <v>5</v>
      </c>
      <c r="F89" s="3">
        <v>3</v>
      </c>
      <c r="G89" s="3">
        <v>4</v>
      </c>
      <c r="H89" s="3">
        <v>1</v>
      </c>
      <c r="I89" s="3">
        <v>5</v>
      </c>
      <c r="J89" s="3">
        <v>5</v>
      </c>
      <c r="K89" s="3">
        <v>2</v>
      </c>
      <c r="L89" s="3">
        <v>3</v>
      </c>
      <c r="M89" s="3">
        <v>6</v>
      </c>
      <c r="N89" s="3">
        <v>3</v>
      </c>
      <c r="O89" s="3">
        <v>3</v>
      </c>
      <c r="P89" s="3">
        <v>5</v>
      </c>
      <c r="Q89" s="3">
        <v>1</v>
      </c>
      <c r="R89" s="3">
        <v>3</v>
      </c>
      <c r="S89" s="3">
        <v>1</v>
      </c>
      <c r="T89" s="3">
        <v>6</v>
      </c>
      <c r="U89" s="3">
        <v>1</v>
      </c>
      <c r="V89" s="3">
        <v>5</v>
      </c>
      <c r="W89" s="3">
        <v>2</v>
      </c>
      <c r="X89" s="3">
        <v>5</v>
      </c>
      <c r="Y89" s="3">
        <v>5</v>
      </c>
      <c r="Z89" s="3">
        <v>1</v>
      </c>
      <c r="AA89" s="3">
        <v>4</v>
      </c>
      <c r="AB89" s="3">
        <v>5</v>
      </c>
      <c r="AC89" s="3">
        <v>5</v>
      </c>
      <c r="AD89" s="3">
        <v>5</v>
      </c>
      <c r="AE89" s="3">
        <v>5</v>
      </c>
      <c r="AF89" s="3">
        <v>107</v>
      </c>
      <c r="AG89">
        <v>4</v>
      </c>
      <c r="AH89">
        <f>VLOOKUP(A89,Kits!D90:I290,4,FALSE)</f>
        <v>0.57783935999999991</v>
      </c>
      <c r="AI89" s="8">
        <v>4</v>
      </c>
      <c r="AJ89">
        <f t="shared" si="1"/>
        <v>2.3113574399999997</v>
      </c>
      <c r="AK89" t="s">
        <v>401</v>
      </c>
    </row>
    <row r="90" spans="1:37" x14ac:dyDescent="0.2">
      <c r="A90" s="5" t="s">
        <v>81</v>
      </c>
      <c r="B90" s="3">
        <v>65</v>
      </c>
      <c r="C90" s="3">
        <v>3</v>
      </c>
      <c r="D90" s="3">
        <v>2</v>
      </c>
      <c r="E90" s="3">
        <v>1</v>
      </c>
      <c r="F90" s="3">
        <v>5</v>
      </c>
      <c r="G90" s="3">
        <v>1</v>
      </c>
      <c r="H90" s="3">
        <v>1</v>
      </c>
      <c r="I90" s="3">
        <v>1</v>
      </c>
      <c r="J90" s="3">
        <v>65</v>
      </c>
      <c r="K90" s="3">
        <v>3</v>
      </c>
      <c r="L90" s="3">
        <v>1</v>
      </c>
      <c r="M90" s="3">
        <v>2</v>
      </c>
      <c r="N90" s="3">
        <v>1</v>
      </c>
      <c r="O90" s="3">
        <v>1</v>
      </c>
      <c r="P90" s="3">
        <v>65</v>
      </c>
      <c r="Q90" s="3">
        <v>3</v>
      </c>
      <c r="R90" s="3">
        <v>1</v>
      </c>
      <c r="S90" s="3">
        <v>1</v>
      </c>
      <c r="T90" s="3">
        <v>3</v>
      </c>
      <c r="U90" s="3">
        <v>6</v>
      </c>
      <c r="V90" s="3">
        <v>65</v>
      </c>
      <c r="W90" s="3">
        <v>5</v>
      </c>
      <c r="X90" s="3">
        <v>65</v>
      </c>
      <c r="Y90" s="3">
        <v>1</v>
      </c>
      <c r="Z90" s="3">
        <v>4</v>
      </c>
      <c r="AA90" s="3">
        <v>1</v>
      </c>
      <c r="AB90" s="3">
        <v>65</v>
      </c>
      <c r="AC90" s="3">
        <v>65</v>
      </c>
      <c r="AD90" s="3">
        <v>65</v>
      </c>
      <c r="AE90" s="3">
        <v>65</v>
      </c>
      <c r="AF90" s="3">
        <v>632</v>
      </c>
      <c r="AG90">
        <v>0</v>
      </c>
      <c r="AH90">
        <f>VLOOKUP(A90,Kits!D91:I291,4,FALSE)</f>
        <v>0.76359999999999995</v>
      </c>
      <c r="AI90" s="8">
        <v>0</v>
      </c>
      <c r="AJ90">
        <f t="shared" si="1"/>
        <v>0</v>
      </c>
      <c r="AK90" t="s">
        <v>402</v>
      </c>
    </row>
    <row r="91" spans="1:37" x14ac:dyDescent="0.2">
      <c r="A91" s="5" t="s">
        <v>216</v>
      </c>
      <c r="B91" s="3">
        <v>1</v>
      </c>
      <c r="C91" s="3">
        <v>3</v>
      </c>
      <c r="D91" s="3">
        <v>3</v>
      </c>
      <c r="E91" s="3">
        <v>1</v>
      </c>
      <c r="F91" s="3">
        <v>6</v>
      </c>
      <c r="G91" s="3">
        <v>5</v>
      </c>
      <c r="H91" s="3">
        <v>1</v>
      </c>
      <c r="I91" s="3">
        <v>3</v>
      </c>
      <c r="J91" s="3">
        <v>1</v>
      </c>
      <c r="K91" s="3">
        <v>3</v>
      </c>
      <c r="L91" s="3">
        <v>3</v>
      </c>
      <c r="M91" s="3">
        <v>2</v>
      </c>
      <c r="N91" s="3">
        <v>3</v>
      </c>
      <c r="O91" s="3">
        <v>118</v>
      </c>
      <c r="P91" s="3">
        <v>1</v>
      </c>
      <c r="Q91" s="3">
        <v>5</v>
      </c>
      <c r="R91" s="3">
        <v>1</v>
      </c>
      <c r="S91" s="3">
        <v>1</v>
      </c>
      <c r="T91" s="3">
        <v>1</v>
      </c>
      <c r="U91" s="3">
        <v>4</v>
      </c>
      <c r="V91" s="3">
        <v>1</v>
      </c>
      <c r="W91" s="3">
        <v>1</v>
      </c>
      <c r="X91" s="3">
        <v>1</v>
      </c>
      <c r="Y91" s="3">
        <v>3</v>
      </c>
      <c r="Z91" s="3">
        <v>5</v>
      </c>
      <c r="AA91" s="3">
        <v>3</v>
      </c>
      <c r="AB91" s="3">
        <v>3</v>
      </c>
      <c r="AC91" s="3">
        <v>1</v>
      </c>
      <c r="AD91" s="3">
        <v>3</v>
      </c>
      <c r="AE91" s="3">
        <v>3</v>
      </c>
      <c r="AF91" s="3">
        <v>190</v>
      </c>
      <c r="AG91">
        <v>18</v>
      </c>
      <c r="AH91">
        <f>VLOOKUP(A91,Kits!D92:I292,4,FALSE)</f>
        <v>0.66400000000000003</v>
      </c>
      <c r="AI91" s="8">
        <v>18</v>
      </c>
      <c r="AJ91">
        <f t="shared" si="1"/>
        <v>11.952</v>
      </c>
      <c r="AK91" t="s">
        <v>401</v>
      </c>
    </row>
    <row r="92" spans="1:37" x14ac:dyDescent="0.2">
      <c r="A92" s="5" t="s">
        <v>207</v>
      </c>
      <c r="B92" s="3">
        <v>3</v>
      </c>
      <c r="C92" s="3">
        <v>6</v>
      </c>
      <c r="D92" s="3">
        <v>1</v>
      </c>
      <c r="E92" s="3">
        <v>118</v>
      </c>
      <c r="F92" s="3">
        <v>1</v>
      </c>
      <c r="G92" s="3">
        <v>5</v>
      </c>
      <c r="H92" s="3">
        <v>3</v>
      </c>
      <c r="I92" s="3">
        <v>6</v>
      </c>
      <c r="J92" s="3">
        <v>3</v>
      </c>
      <c r="K92" s="3">
        <v>6</v>
      </c>
      <c r="L92" s="3">
        <v>4</v>
      </c>
      <c r="M92" s="3">
        <v>3</v>
      </c>
      <c r="N92" s="3">
        <v>4</v>
      </c>
      <c r="O92" s="3">
        <v>1</v>
      </c>
      <c r="P92" s="3">
        <v>3</v>
      </c>
      <c r="Q92" s="3">
        <v>1</v>
      </c>
      <c r="R92" s="3">
        <v>1</v>
      </c>
      <c r="S92" s="3">
        <v>2</v>
      </c>
      <c r="T92" s="3">
        <v>1</v>
      </c>
      <c r="U92" s="3">
        <v>4</v>
      </c>
      <c r="V92" s="3">
        <v>3</v>
      </c>
      <c r="W92" s="3">
        <v>3</v>
      </c>
      <c r="X92" s="3">
        <v>3</v>
      </c>
      <c r="Y92" s="3">
        <v>6</v>
      </c>
      <c r="Z92" s="3">
        <v>2</v>
      </c>
      <c r="AA92" s="3">
        <v>2</v>
      </c>
      <c r="AB92" s="3">
        <v>3</v>
      </c>
      <c r="AC92" s="3">
        <v>3</v>
      </c>
      <c r="AD92" s="3">
        <v>2</v>
      </c>
      <c r="AE92" s="3">
        <v>2</v>
      </c>
      <c r="AF92" s="3">
        <v>205</v>
      </c>
      <c r="AG92">
        <v>486</v>
      </c>
      <c r="AH92">
        <f>VLOOKUP(A92,Kits!D93:I293,4,FALSE)</f>
        <v>4.6314000000000002</v>
      </c>
      <c r="AI92" s="8">
        <v>205</v>
      </c>
      <c r="AJ92">
        <f t="shared" si="1"/>
        <v>949.43700000000001</v>
      </c>
      <c r="AK92" t="s">
        <v>401</v>
      </c>
    </row>
    <row r="93" spans="1:37" x14ac:dyDescent="0.2">
      <c r="A93" s="5" t="s">
        <v>215</v>
      </c>
      <c r="B93" s="3">
        <v>1</v>
      </c>
      <c r="C93" s="3">
        <v>1</v>
      </c>
      <c r="D93" s="3">
        <v>3</v>
      </c>
      <c r="E93" s="3">
        <v>1</v>
      </c>
      <c r="F93" s="3">
        <v>2</v>
      </c>
      <c r="G93" s="3">
        <v>1</v>
      </c>
      <c r="H93" s="3">
        <v>5</v>
      </c>
      <c r="I93" s="3">
        <v>1</v>
      </c>
      <c r="J93" s="3">
        <v>1</v>
      </c>
      <c r="K93" s="3">
        <v>1</v>
      </c>
      <c r="L93" s="3">
        <v>1</v>
      </c>
      <c r="M93" s="3">
        <v>3</v>
      </c>
      <c r="N93" s="3">
        <v>6</v>
      </c>
      <c r="O93" s="3">
        <v>4</v>
      </c>
      <c r="P93" s="3">
        <v>1</v>
      </c>
      <c r="Q93" s="3">
        <v>1</v>
      </c>
      <c r="R93" s="3">
        <v>5</v>
      </c>
      <c r="S93" s="3">
        <v>118</v>
      </c>
      <c r="T93" s="3">
        <v>1</v>
      </c>
      <c r="U93" s="3">
        <v>3</v>
      </c>
      <c r="V93" s="3">
        <v>1</v>
      </c>
      <c r="W93" s="3">
        <v>1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1</v>
      </c>
      <c r="AD93" s="3">
        <v>1</v>
      </c>
      <c r="AE93" s="3">
        <v>1</v>
      </c>
      <c r="AF93" s="3">
        <v>170</v>
      </c>
      <c r="AG93">
        <v>92</v>
      </c>
      <c r="AH93">
        <f>VLOOKUP(A93,Kits!D94:I294,4,FALSE)</f>
        <v>1.42898112</v>
      </c>
      <c r="AI93" s="8">
        <v>92</v>
      </c>
      <c r="AJ93">
        <f t="shared" si="1"/>
        <v>131.46626304</v>
      </c>
      <c r="AK93" t="s">
        <v>401</v>
      </c>
    </row>
    <row r="94" spans="1:37" x14ac:dyDescent="0.2">
      <c r="A94" s="5" t="s">
        <v>198</v>
      </c>
      <c r="B94" s="3">
        <v>1</v>
      </c>
      <c r="C94" s="3">
        <v>3</v>
      </c>
      <c r="D94" s="3">
        <v>1</v>
      </c>
      <c r="E94" s="3">
        <v>4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3</v>
      </c>
      <c r="L94" s="3">
        <v>1</v>
      </c>
      <c r="M94" s="3">
        <v>3</v>
      </c>
      <c r="N94" s="3">
        <v>1</v>
      </c>
      <c r="O94" s="3">
        <v>1</v>
      </c>
      <c r="P94" s="3">
        <v>1</v>
      </c>
      <c r="Q94" s="3">
        <v>6</v>
      </c>
      <c r="R94" s="3">
        <v>3</v>
      </c>
      <c r="S94" s="3">
        <v>5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1</v>
      </c>
      <c r="Z94" s="3">
        <v>6</v>
      </c>
      <c r="AA94" s="3">
        <v>4</v>
      </c>
      <c r="AB94" s="3">
        <v>3</v>
      </c>
      <c r="AC94" s="3">
        <v>1</v>
      </c>
      <c r="AD94" s="3">
        <v>4</v>
      </c>
      <c r="AE94" s="3">
        <v>4</v>
      </c>
      <c r="AF94" s="3">
        <v>66</v>
      </c>
      <c r="AG94">
        <v>116</v>
      </c>
      <c r="AH94">
        <f>VLOOKUP(A94,Kits!D95:I295,4,FALSE)</f>
        <v>0.66373439999999995</v>
      </c>
      <c r="AI94" s="8">
        <v>66</v>
      </c>
      <c r="AJ94">
        <f t="shared" si="1"/>
        <v>43.806470399999995</v>
      </c>
      <c r="AK94" t="s">
        <v>401</v>
      </c>
    </row>
    <row r="95" spans="1:37" x14ac:dyDescent="0.2">
      <c r="A95" s="5" t="s">
        <v>219</v>
      </c>
      <c r="B95" s="3">
        <v>2</v>
      </c>
      <c r="C95" s="3">
        <v>2</v>
      </c>
      <c r="D95" s="3">
        <v>1</v>
      </c>
      <c r="E95" s="3">
        <v>6</v>
      </c>
      <c r="F95" s="3">
        <v>3</v>
      </c>
      <c r="G95" s="3">
        <v>4</v>
      </c>
      <c r="H95" s="3">
        <v>1</v>
      </c>
      <c r="I95" s="3">
        <v>5</v>
      </c>
      <c r="J95" s="3">
        <v>2</v>
      </c>
      <c r="K95" s="3">
        <v>2</v>
      </c>
      <c r="L95" s="3">
        <v>3</v>
      </c>
      <c r="M95" s="3">
        <v>6</v>
      </c>
      <c r="N95" s="3">
        <v>3</v>
      </c>
      <c r="O95" s="3">
        <v>3</v>
      </c>
      <c r="P95" s="3">
        <v>2</v>
      </c>
      <c r="Q95" s="3">
        <v>1</v>
      </c>
      <c r="R95" s="3">
        <v>3</v>
      </c>
      <c r="S95" s="3">
        <v>2</v>
      </c>
      <c r="T95" s="3">
        <v>6</v>
      </c>
      <c r="U95" s="3">
        <v>1</v>
      </c>
      <c r="V95" s="3">
        <v>2</v>
      </c>
      <c r="W95" s="3">
        <v>2</v>
      </c>
      <c r="X95" s="3">
        <v>2</v>
      </c>
      <c r="Y95" s="3">
        <v>5</v>
      </c>
      <c r="Z95" s="3">
        <v>1</v>
      </c>
      <c r="AA95" s="3">
        <v>3</v>
      </c>
      <c r="AB95" s="3">
        <v>3</v>
      </c>
      <c r="AC95" s="3">
        <v>2</v>
      </c>
      <c r="AD95" s="3">
        <v>3</v>
      </c>
      <c r="AE95" s="3">
        <v>3</v>
      </c>
      <c r="AF95" s="3">
        <v>84</v>
      </c>
      <c r="AG95">
        <v>69</v>
      </c>
      <c r="AH95">
        <f>VLOOKUP(A95,Kits!D96:I296,4,FALSE)</f>
        <v>1.4774</v>
      </c>
      <c r="AI95" s="8">
        <v>69</v>
      </c>
      <c r="AJ95">
        <f t="shared" si="1"/>
        <v>101.9406</v>
      </c>
      <c r="AK95" t="s">
        <v>401</v>
      </c>
    </row>
    <row r="96" spans="1:37" x14ac:dyDescent="0.2">
      <c r="A96" s="5" t="s">
        <v>217</v>
      </c>
      <c r="B96" s="3">
        <v>1</v>
      </c>
      <c r="C96" s="3">
        <v>1</v>
      </c>
      <c r="D96" s="3">
        <v>2</v>
      </c>
      <c r="E96" s="3">
        <v>3</v>
      </c>
      <c r="F96" s="3">
        <v>6</v>
      </c>
      <c r="G96" s="3">
        <v>1</v>
      </c>
      <c r="H96" s="3">
        <v>4</v>
      </c>
      <c r="I96" s="3">
        <v>2</v>
      </c>
      <c r="J96" s="3">
        <v>1</v>
      </c>
      <c r="K96" s="3">
        <v>1</v>
      </c>
      <c r="L96" s="3">
        <v>1</v>
      </c>
      <c r="M96" s="3">
        <v>3</v>
      </c>
      <c r="N96" s="3">
        <v>1</v>
      </c>
      <c r="O96" s="3">
        <v>1</v>
      </c>
      <c r="P96" s="3">
        <v>1</v>
      </c>
      <c r="Q96" s="3">
        <v>5</v>
      </c>
      <c r="R96" s="3">
        <v>1</v>
      </c>
      <c r="S96" s="3">
        <v>3</v>
      </c>
      <c r="T96" s="3">
        <v>2</v>
      </c>
      <c r="U96" s="3">
        <v>1</v>
      </c>
      <c r="V96" s="3">
        <v>1</v>
      </c>
      <c r="W96" s="3">
        <v>1</v>
      </c>
      <c r="X96" s="3">
        <v>1</v>
      </c>
      <c r="Y96" s="3">
        <v>2</v>
      </c>
      <c r="Z96" s="3">
        <v>5</v>
      </c>
      <c r="AA96" s="3">
        <v>1</v>
      </c>
      <c r="AB96" s="3">
        <v>3</v>
      </c>
      <c r="AC96" s="3">
        <v>1</v>
      </c>
      <c r="AD96" s="3">
        <v>1</v>
      </c>
      <c r="AE96" s="3">
        <v>1</v>
      </c>
      <c r="AF96" s="3">
        <v>58</v>
      </c>
      <c r="AG96">
        <v>142</v>
      </c>
      <c r="AH96">
        <f>VLOOKUP(A96,Kits!D97:I297,4,FALSE)</f>
        <v>4.2164000000000001</v>
      </c>
      <c r="AI96" s="8">
        <v>58</v>
      </c>
      <c r="AJ96">
        <f t="shared" si="1"/>
        <v>244.55119999999999</v>
      </c>
      <c r="AK96" t="s">
        <v>401</v>
      </c>
    </row>
    <row r="97" spans="1:37" x14ac:dyDescent="0.2">
      <c r="A97" s="5" t="s">
        <v>122</v>
      </c>
      <c r="B97" s="3">
        <v>9</v>
      </c>
      <c r="C97" s="3">
        <v>2</v>
      </c>
      <c r="D97" s="3">
        <v>10</v>
      </c>
      <c r="E97" s="3">
        <v>4</v>
      </c>
      <c r="F97" s="3">
        <v>9</v>
      </c>
      <c r="G97" s="3">
        <v>4</v>
      </c>
      <c r="H97" s="3">
        <v>6</v>
      </c>
      <c r="I97" s="3">
        <v>2</v>
      </c>
      <c r="J97" s="3">
        <v>9</v>
      </c>
      <c r="K97" s="3">
        <v>3</v>
      </c>
      <c r="L97" s="3">
        <v>11</v>
      </c>
      <c r="M97" s="3">
        <v>4</v>
      </c>
      <c r="N97" s="3">
        <v>4</v>
      </c>
      <c r="O97" s="3">
        <v>16</v>
      </c>
      <c r="P97" s="3">
        <v>119</v>
      </c>
      <c r="Q97" s="3">
        <v>4</v>
      </c>
      <c r="R97" s="3">
        <v>4</v>
      </c>
      <c r="S97" s="3">
        <v>7</v>
      </c>
      <c r="T97" s="3">
        <v>5</v>
      </c>
      <c r="U97" s="3">
        <v>4</v>
      </c>
      <c r="V97" s="3">
        <v>2</v>
      </c>
      <c r="W97" s="3">
        <v>14</v>
      </c>
      <c r="X97" s="3">
        <v>9</v>
      </c>
      <c r="Y97" s="3">
        <v>5</v>
      </c>
      <c r="Z97" s="3">
        <v>9</v>
      </c>
      <c r="AA97" s="3">
        <v>18</v>
      </c>
      <c r="AB97" s="3">
        <v>13</v>
      </c>
      <c r="AC97" s="3">
        <v>14</v>
      </c>
      <c r="AD97" s="3">
        <v>18</v>
      </c>
      <c r="AE97" s="3">
        <v>18</v>
      </c>
      <c r="AF97" s="3">
        <v>356</v>
      </c>
      <c r="AG97">
        <v>1</v>
      </c>
      <c r="AH97">
        <f>VLOOKUP(A97,Kits!D98:I298,4,FALSE)</f>
        <v>14.915099999999999</v>
      </c>
      <c r="AI97" s="8">
        <v>1</v>
      </c>
      <c r="AJ97">
        <f t="shared" si="1"/>
        <v>14.915099999999999</v>
      </c>
      <c r="AK97" t="s">
        <v>401</v>
      </c>
    </row>
    <row r="98" spans="1:37" x14ac:dyDescent="0.2">
      <c r="A98" s="5" t="s">
        <v>231</v>
      </c>
      <c r="B98" s="3">
        <v>4</v>
      </c>
      <c r="C98" s="3">
        <v>6</v>
      </c>
      <c r="D98" s="3">
        <v>1</v>
      </c>
      <c r="E98" s="3">
        <v>1</v>
      </c>
      <c r="F98" s="3">
        <v>5</v>
      </c>
      <c r="G98" s="3">
        <v>3</v>
      </c>
      <c r="H98" s="3">
        <v>2</v>
      </c>
      <c r="I98" s="3">
        <v>1</v>
      </c>
      <c r="J98" s="3">
        <v>4</v>
      </c>
      <c r="K98" s="3">
        <v>6</v>
      </c>
      <c r="L98" s="3">
        <v>5</v>
      </c>
      <c r="M98" s="3">
        <v>5</v>
      </c>
      <c r="N98" s="3">
        <v>1</v>
      </c>
      <c r="O98" s="3">
        <v>3</v>
      </c>
      <c r="P98" s="3">
        <v>4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4</v>
      </c>
      <c r="W98" s="3">
        <v>1</v>
      </c>
      <c r="X98" s="3">
        <v>4</v>
      </c>
      <c r="Y98" s="3">
        <v>1</v>
      </c>
      <c r="Z98" s="3">
        <v>1</v>
      </c>
      <c r="AA98" s="3">
        <v>4</v>
      </c>
      <c r="AB98" s="3">
        <v>5</v>
      </c>
      <c r="AC98" s="3">
        <v>1</v>
      </c>
      <c r="AD98" s="3">
        <v>4</v>
      </c>
      <c r="AE98" s="3">
        <v>4</v>
      </c>
      <c r="AF98" s="3">
        <v>85</v>
      </c>
      <c r="AG98">
        <v>61</v>
      </c>
      <c r="AH98">
        <f>VLOOKUP(A98,Kits!D99:I299,4,FALSE)</f>
        <v>2.0832999999999999</v>
      </c>
      <c r="AI98" s="8">
        <v>61</v>
      </c>
      <c r="AJ98">
        <f t="shared" si="1"/>
        <v>127.0813</v>
      </c>
      <c r="AK98" t="s">
        <v>401</v>
      </c>
    </row>
    <row r="99" spans="1:37" x14ac:dyDescent="0.2">
      <c r="A99" s="5" t="s">
        <v>220</v>
      </c>
      <c r="B99" s="3">
        <v>1</v>
      </c>
      <c r="C99" s="3">
        <v>4</v>
      </c>
      <c r="D99" s="3">
        <v>118</v>
      </c>
      <c r="E99" s="3">
        <v>1</v>
      </c>
      <c r="F99" s="3">
        <v>1</v>
      </c>
      <c r="G99" s="3">
        <v>3</v>
      </c>
      <c r="H99" s="3">
        <v>3</v>
      </c>
      <c r="I99" s="3">
        <v>1</v>
      </c>
      <c r="J99" s="3">
        <v>1</v>
      </c>
      <c r="K99" s="3">
        <v>4</v>
      </c>
      <c r="L99" s="3">
        <v>6</v>
      </c>
      <c r="M99" s="3">
        <v>1</v>
      </c>
      <c r="N99" s="3">
        <v>2</v>
      </c>
      <c r="O99" s="3">
        <v>1</v>
      </c>
      <c r="P99" s="3">
        <v>1</v>
      </c>
      <c r="Q99" s="3">
        <v>4</v>
      </c>
      <c r="R99" s="3">
        <v>1</v>
      </c>
      <c r="S99" s="3">
        <v>3</v>
      </c>
      <c r="T99" s="3">
        <v>6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4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176</v>
      </c>
      <c r="AG99">
        <v>119</v>
      </c>
      <c r="AH99">
        <f>VLOOKUP(A99,Kits!D100:I300,4,FALSE)</f>
        <v>3.7267000000000001</v>
      </c>
      <c r="AI99" s="8">
        <v>119</v>
      </c>
      <c r="AJ99">
        <f t="shared" si="1"/>
        <v>443.47730000000001</v>
      </c>
      <c r="AK99" t="s">
        <v>401</v>
      </c>
    </row>
    <row r="100" spans="1:37" x14ac:dyDescent="0.2">
      <c r="A100" s="5" t="s">
        <v>275</v>
      </c>
      <c r="B100" s="3">
        <v>4</v>
      </c>
      <c r="C100" s="3">
        <v>11</v>
      </c>
      <c r="D100" s="3">
        <v>4</v>
      </c>
      <c r="E100" s="3">
        <v>121</v>
      </c>
      <c r="F100" s="3">
        <v>5</v>
      </c>
      <c r="G100" s="3">
        <v>9</v>
      </c>
      <c r="H100" s="3">
        <v>9</v>
      </c>
      <c r="I100" s="3">
        <v>5</v>
      </c>
      <c r="J100" s="3">
        <v>4</v>
      </c>
      <c r="K100" s="3">
        <v>4</v>
      </c>
      <c r="L100" s="3">
        <v>5</v>
      </c>
      <c r="M100" s="3">
        <v>8</v>
      </c>
      <c r="N100" s="3">
        <v>4</v>
      </c>
      <c r="O100" s="3">
        <v>5</v>
      </c>
      <c r="P100" s="3">
        <v>9</v>
      </c>
      <c r="Q100" s="3">
        <v>9</v>
      </c>
      <c r="R100" s="3">
        <v>7</v>
      </c>
      <c r="S100" s="3">
        <v>5</v>
      </c>
      <c r="T100" s="3">
        <v>3</v>
      </c>
      <c r="U100" s="3">
        <v>4</v>
      </c>
      <c r="V100" s="3">
        <v>9</v>
      </c>
      <c r="W100" s="3">
        <v>8</v>
      </c>
      <c r="X100" s="3">
        <v>4</v>
      </c>
      <c r="Y100" s="3">
        <v>5</v>
      </c>
      <c r="Z100" s="3">
        <v>5</v>
      </c>
      <c r="AA100" s="3">
        <v>3</v>
      </c>
      <c r="AB100" s="3">
        <v>3</v>
      </c>
      <c r="AC100" s="3">
        <v>8</v>
      </c>
      <c r="AD100" s="3">
        <v>3</v>
      </c>
      <c r="AE100" s="3">
        <v>3</v>
      </c>
      <c r="AF100" s="3">
        <v>286</v>
      </c>
      <c r="AG100">
        <v>23</v>
      </c>
      <c r="AH100">
        <f>VLOOKUP(A100,Kits!D101:I301,4,FALSE)</f>
        <v>9.0814483199999998</v>
      </c>
      <c r="AI100" s="8">
        <v>23</v>
      </c>
      <c r="AJ100">
        <f t="shared" si="1"/>
        <v>208.87331136</v>
      </c>
      <c r="AK100" t="s">
        <v>401</v>
      </c>
    </row>
    <row r="101" spans="1:37" x14ac:dyDescent="0.2">
      <c r="A101" s="5" t="s">
        <v>159</v>
      </c>
      <c r="B101" s="3">
        <v>5</v>
      </c>
      <c r="C101" s="3">
        <v>1</v>
      </c>
      <c r="D101" s="3">
        <v>1</v>
      </c>
      <c r="E101" s="3">
        <v>3</v>
      </c>
      <c r="F101" s="3">
        <v>4</v>
      </c>
      <c r="G101" s="3">
        <v>1</v>
      </c>
      <c r="H101" s="3">
        <v>5</v>
      </c>
      <c r="I101" s="3">
        <v>0</v>
      </c>
      <c r="J101" s="3">
        <v>5</v>
      </c>
      <c r="K101" s="3">
        <v>1</v>
      </c>
      <c r="L101" s="3">
        <v>6</v>
      </c>
      <c r="M101" s="3">
        <v>3</v>
      </c>
      <c r="N101" s="3">
        <v>3</v>
      </c>
      <c r="O101" s="3">
        <v>2</v>
      </c>
      <c r="P101" s="3">
        <v>5</v>
      </c>
      <c r="Q101" s="3">
        <v>0</v>
      </c>
      <c r="R101" s="3">
        <v>3</v>
      </c>
      <c r="S101" s="3">
        <v>6</v>
      </c>
      <c r="T101" s="3">
        <v>0</v>
      </c>
      <c r="U101" s="3">
        <v>3</v>
      </c>
      <c r="V101" s="3">
        <v>5</v>
      </c>
      <c r="W101" s="3">
        <v>0</v>
      </c>
      <c r="X101" s="3">
        <v>5</v>
      </c>
      <c r="Y101" s="3">
        <v>4</v>
      </c>
      <c r="Z101" s="3">
        <v>4</v>
      </c>
      <c r="AA101" s="3">
        <v>3</v>
      </c>
      <c r="AB101" s="3">
        <v>3</v>
      </c>
      <c r="AC101" s="3">
        <v>0</v>
      </c>
      <c r="AD101" s="3">
        <v>3</v>
      </c>
      <c r="AE101" s="3">
        <v>3</v>
      </c>
      <c r="AF101" s="3">
        <v>87</v>
      </c>
      <c r="AG101">
        <v>1690</v>
      </c>
      <c r="AH101">
        <f>VLOOKUP(A101,Kits!D102:I302,4,FALSE)</f>
        <v>11.976899999999999</v>
      </c>
      <c r="AI101" s="8">
        <v>87</v>
      </c>
      <c r="AJ101">
        <f t="shared" si="1"/>
        <v>1041.9902999999999</v>
      </c>
      <c r="AK101" t="s">
        <v>401</v>
      </c>
    </row>
    <row r="102" spans="1:37" x14ac:dyDescent="0.2">
      <c r="A102" s="5" t="s">
        <v>120</v>
      </c>
      <c r="B102" s="3">
        <v>5</v>
      </c>
      <c r="C102" s="3">
        <v>8</v>
      </c>
      <c r="D102" s="3">
        <v>2</v>
      </c>
      <c r="E102" s="3">
        <v>7</v>
      </c>
      <c r="F102" s="3">
        <v>6</v>
      </c>
      <c r="G102" s="3">
        <v>5</v>
      </c>
      <c r="H102" s="3">
        <v>5</v>
      </c>
      <c r="I102" s="3">
        <v>6</v>
      </c>
      <c r="J102" s="3">
        <v>5</v>
      </c>
      <c r="K102" s="3">
        <v>6</v>
      </c>
      <c r="L102" s="3">
        <v>4</v>
      </c>
      <c r="M102" s="3">
        <v>4</v>
      </c>
      <c r="N102" s="3">
        <v>119</v>
      </c>
      <c r="O102" s="3">
        <v>26</v>
      </c>
      <c r="P102" s="3">
        <v>2</v>
      </c>
      <c r="Q102" s="3">
        <v>5</v>
      </c>
      <c r="R102" s="3">
        <v>3</v>
      </c>
      <c r="S102" s="3">
        <v>7</v>
      </c>
      <c r="T102" s="3">
        <v>119</v>
      </c>
      <c r="U102" s="3">
        <v>119</v>
      </c>
      <c r="V102" s="3">
        <v>4</v>
      </c>
      <c r="W102" s="3">
        <v>28</v>
      </c>
      <c r="X102" s="3">
        <v>5</v>
      </c>
      <c r="Y102" s="3">
        <v>2</v>
      </c>
      <c r="Z102" s="3">
        <v>6</v>
      </c>
      <c r="AA102" s="3">
        <v>31</v>
      </c>
      <c r="AB102" s="3">
        <v>26</v>
      </c>
      <c r="AC102" s="3">
        <v>28</v>
      </c>
      <c r="AD102" s="3">
        <v>31</v>
      </c>
      <c r="AE102" s="3">
        <v>31</v>
      </c>
      <c r="AF102" s="3">
        <v>655</v>
      </c>
      <c r="AG102">
        <v>8</v>
      </c>
      <c r="AH102">
        <f>VLOOKUP(A102,Kits!D103:I303,4,FALSE)</f>
        <v>1.5603999999999998</v>
      </c>
      <c r="AI102" s="8">
        <v>8</v>
      </c>
      <c r="AJ102">
        <f t="shared" si="1"/>
        <v>12.483199999999998</v>
      </c>
      <c r="AK102" t="s">
        <v>401</v>
      </c>
    </row>
    <row r="103" spans="1:37" x14ac:dyDescent="0.2">
      <c r="A103" s="5" t="s">
        <v>200</v>
      </c>
      <c r="B103" s="3">
        <v>121</v>
      </c>
      <c r="C103" s="3">
        <v>6</v>
      </c>
      <c r="D103" s="3">
        <v>6</v>
      </c>
      <c r="E103" s="3">
        <v>8</v>
      </c>
      <c r="F103" s="3">
        <v>6</v>
      </c>
      <c r="G103" s="3">
        <v>8</v>
      </c>
      <c r="H103" s="3">
        <v>2</v>
      </c>
      <c r="I103" s="3">
        <v>2</v>
      </c>
      <c r="J103" s="3">
        <v>121</v>
      </c>
      <c r="K103" s="3">
        <v>6</v>
      </c>
      <c r="L103" s="3">
        <v>2</v>
      </c>
      <c r="M103" s="3">
        <v>3</v>
      </c>
      <c r="N103" s="3">
        <v>2</v>
      </c>
      <c r="O103" s="3">
        <v>6</v>
      </c>
      <c r="P103" s="3">
        <v>121</v>
      </c>
      <c r="Q103" s="3">
        <v>2</v>
      </c>
      <c r="R103" s="3">
        <v>6</v>
      </c>
      <c r="S103" s="3">
        <v>2</v>
      </c>
      <c r="T103" s="3">
        <v>8</v>
      </c>
      <c r="U103" s="3">
        <v>3</v>
      </c>
      <c r="V103" s="3">
        <v>121</v>
      </c>
      <c r="W103" s="3">
        <v>4</v>
      </c>
      <c r="X103" s="3">
        <v>121</v>
      </c>
      <c r="Y103" s="3">
        <v>2</v>
      </c>
      <c r="Z103" s="3">
        <v>5</v>
      </c>
      <c r="AA103" s="3">
        <v>7</v>
      </c>
      <c r="AB103" s="3">
        <v>5</v>
      </c>
      <c r="AC103" s="3">
        <v>4</v>
      </c>
      <c r="AD103" s="3">
        <v>7</v>
      </c>
      <c r="AE103" s="3">
        <v>7</v>
      </c>
      <c r="AF103" s="3">
        <v>724</v>
      </c>
      <c r="AG103">
        <v>141</v>
      </c>
      <c r="AH103">
        <f>VLOOKUP(A103,Kits!D104:I304,4,FALSE)</f>
        <v>0.66373439999999995</v>
      </c>
      <c r="AI103" s="8">
        <v>141</v>
      </c>
      <c r="AJ103">
        <f t="shared" si="1"/>
        <v>93.586550399999993</v>
      </c>
      <c r="AK103" t="s">
        <v>401</v>
      </c>
    </row>
    <row r="104" spans="1:37" x14ac:dyDescent="0.2">
      <c r="A104" s="5" t="s">
        <v>221</v>
      </c>
      <c r="B104" s="3">
        <v>5</v>
      </c>
      <c r="C104" s="3">
        <v>1</v>
      </c>
      <c r="D104" s="3">
        <v>1</v>
      </c>
      <c r="E104" s="3">
        <v>3</v>
      </c>
      <c r="F104" s="3">
        <v>1</v>
      </c>
      <c r="G104" s="3">
        <v>1</v>
      </c>
      <c r="H104" s="3">
        <v>2</v>
      </c>
      <c r="I104" s="3">
        <v>1</v>
      </c>
      <c r="J104" s="3">
        <v>5</v>
      </c>
      <c r="K104" s="3">
        <v>1</v>
      </c>
      <c r="L104" s="3">
        <v>6</v>
      </c>
      <c r="M104" s="3">
        <v>6</v>
      </c>
      <c r="N104" s="3">
        <v>1</v>
      </c>
      <c r="O104" s="3">
        <v>2</v>
      </c>
      <c r="P104" s="3">
        <v>5</v>
      </c>
      <c r="Q104" s="3">
        <v>3</v>
      </c>
      <c r="R104" s="3">
        <v>3</v>
      </c>
      <c r="S104" s="3">
        <v>6</v>
      </c>
      <c r="T104" s="3">
        <v>6</v>
      </c>
      <c r="U104" s="3">
        <v>3</v>
      </c>
      <c r="V104" s="3">
        <v>5</v>
      </c>
      <c r="W104" s="3">
        <v>5</v>
      </c>
      <c r="X104" s="3">
        <v>5</v>
      </c>
      <c r="Y104" s="3">
        <v>1</v>
      </c>
      <c r="Z104" s="3">
        <v>3</v>
      </c>
      <c r="AA104" s="3">
        <v>6</v>
      </c>
      <c r="AB104" s="3">
        <v>6</v>
      </c>
      <c r="AC104" s="3">
        <v>5</v>
      </c>
      <c r="AD104" s="3">
        <v>6</v>
      </c>
      <c r="AE104" s="3">
        <v>6</v>
      </c>
      <c r="AF104" s="3">
        <v>110</v>
      </c>
      <c r="AG104">
        <v>39</v>
      </c>
      <c r="AH104">
        <f>VLOOKUP(A104,Kits!D105:I305,4,FALSE)</f>
        <v>0.97939999999999994</v>
      </c>
      <c r="AI104" s="8">
        <v>39</v>
      </c>
      <c r="AJ104">
        <f t="shared" si="1"/>
        <v>38.196599999999997</v>
      </c>
      <c r="AK104" t="s">
        <v>401</v>
      </c>
    </row>
    <row r="105" spans="1:37" x14ac:dyDescent="0.2">
      <c r="A105" s="5" t="s">
        <v>75</v>
      </c>
      <c r="B105" s="3">
        <v>89</v>
      </c>
      <c r="C105" s="3">
        <v>8</v>
      </c>
      <c r="D105" s="3">
        <v>241</v>
      </c>
      <c r="E105" s="3">
        <v>9</v>
      </c>
      <c r="F105" s="3">
        <v>120</v>
      </c>
      <c r="G105" s="3">
        <v>8</v>
      </c>
      <c r="H105" s="3">
        <v>11</v>
      </c>
      <c r="I105" s="3">
        <v>5</v>
      </c>
      <c r="J105" s="3">
        <v>89</v>
      </c>
      <c r="K105" s="3">
        <v>9</v>
      </c>
      <c r="L105" s="3">
        <v>10</v>
      </c>
      <c r="M105" s="3">
        <v>9</v>
      </c>
      <c r="N105" s="3">
        <v>7</v>
      </c>
      <c r="O105" s="3">
        <v>8</v>
      </c>
      <c r="P105" s="3">
        <v>84</v>
      </c>
      <c r="Q105" s="3">
        <v>6</v>
      </c>
      <c r="R105" s="3">
        <v>9</v>
      </c>
      <c r="S105" s="3">
        <v>5</v>
      </c>
      <c r="T105" s="3">
        <v>11</v>
      </c>
      <c r="U105" s="3">
        <v>5</v>
      </c>
      <c r="V105" s="3">
        <v>86</v>
      </c>
      <c r="W105" s="3">
        <v>5</v>
      </c>
      <c r="X105" s="3">
        <v>89</v>
      </c>
      <c r="Y105" s="3">
        <v>9</v>
      </c>
      <c r="Z105" s="3">
        <v>8</v>
      </c>
      <c r="AA105" s="3">
        <v>14</v>
      </c>
      <c r="AB105" s="3">
        <v>86</v>
      </c>
      <c r="AC105" s="3">
        <v>86</v>
      </c>
      <c r="AD105" s="3">
        <v>86</v>
      </c>
      <c r="AE105" s="3">
        <v>86</v>
      </c>
      <c r="AF105" s="3">
        <v>1298</v>
      </c>
      <c r="AG105">
        <v>48</v>
      </c>
      <c r="AH105">
        <f>VLOOKUP(A105,Kits!D106:I306,4,FALSE)</f>
        <v>0.1153846153846154</v>
      </c>
      <c r="AI105" s="8">
        <v>48</v>
      </c>
      <c r="AJ105">
        <f t="shared" si="1"/>
        <v>5.5384615384615392</v>
      </c>
      <c r="AK105" t="s">
        <v>401</v>
      </c>
    </row>
    <row r="106" spans="1:37" x14ac:dyDescent="0.2">
      <c r="A106" s="5" t="s">
        <v>300</v>
      </c>
      <c r="B106" s="3">
        <v>1</v>
      </c>
      <c r="C106" s="3">
        <v>2</v>
      </c>
      <c r="D106" s="3">
        <v>1</v>
      </c>
      <c r="E106" s="3">
        <v>5</v>
      </c>
      <c r="F106" s="3">
        <v>1</v>
      </c>
      <c r="G106" s="3">
        <v>2</v>
      </c>
      <c r="H106" s="3">
        <v>2</v>
      </c>
      <c r="I106" s="3">
        <v>1</v>
      </c>
      <c r="J106" s="3">
        <v>1</v>
      </c>
      <c r="K106" s="3">
        <v>5</v>
      </c>
      <c r="L106" s="3">
        <v>3</v>
      </c>
      <c r="M106" s="3">
        <v>1</v>
      </c>
      <c r="N106" s="3">
        <v>1</v>
      </c>
      <c r="O106" s="3">
        <v>12</v>
      </c>
      <c r="P106" s="3">
        <v>1</v>
      </c>
      <c r="Q106" s="3">
        <v>2</v>
      </c>
      <c r="R106" s="3">
        <v>1</v>
      </c>
      <c r="S106" s="3">
        <v>1</v>
      </c>
      <c r="T106" s="3">
        <v>118</v>
      </c>
      <c r="U106" s="3">
        <v>1</v>
      </c>
      <c r="V106" s="3">
        <v>2</v>
      </c>
      <c r="W106" s="3">
        <v>12</v>
      </c>
      <c r="X106" s="3">
        <v>1</v>
      </c>
      <c r="Y106" s="3">
        <v>3</v>
      </c>
      <c r="Z106" s="3">
        <v>1</v>
      </c>
      <c r="AA106" s="3">
        <v>12</v>
      </c>
      <c r="AB106" s="3">
        <v>12</v>
      </c>
      <c r="AC106" s="3">
        <v>12</v>
      </c>
      <c r="AD106" s="3">
        <v>12</v>
      </c>
      <c r="AE106" s="3">
        <v>12</v>
      </c>
      <c r="AF106" s="3">
        <v>241</v>
      </c>
      <c r="AG106">
        <v>7</v>
      </c>
      <c r="AH106">
        <f>VLOOKUP(A106,Kits!D107:I307,4,FALSE)</f>
        <v>60.589999999999996</v>
      </c>
      <c r="AI106" s="8">
        <v>7</v>
      </c>
      <c r="AJ106">
        <f t="shared" si="1"/>
        <v>424.13</v>
      </c>
      <c r="AK106" t="s">
        <v>401</v>
      </c>
    </row>
    <row r="107" spans="1:37" x14ac:dyDescent="0.2">
      <c r="A107" s="5" t="s">
        <v>310</v>
      </c>
      <c r="B107" s="3">
        <v>1</v>
      </c>
      <c r="C107" s="3">
        <v>3</v>
      </c>
      <c r="D107" s="3">
        <v>3</v>
      </c>
      <c r="E107" s="3">
        <v>4</v>
      </c>
      <c r="F107" s="3">
        <v>118</v>
      </c>
      <c r="G107" s="3">
        <v>2</v>
      </c>
      <c r="H107" s="3">
        <v>1</v>
      </c>
      <c r="I107" s="3">
        <v>1</v>
      </c>
      <c r="J107" s="3">
        <v>1</v>
      </c>
      <c r="K107" s="3">
        <v>3</v>
      </c>
      <c r="L107" s="3">
        <v>1</v>
      </c>
      <c r="M107" s="3">
        <v>5</v>
      </c>
      <c r="N107" s="3">
        <v>3</v>
      </c>
      <c r="O107" s="3">
        <v>1</v>
      </c>
      <c r="P107" s="3">
        <v>1</v>
      </c>
      <c r="Q107" s="3">
        <v>2</v>
      </c>
      <c r="R107" s="3">
        <v>4</v>
      </c>
      <c r="S107" s="3">
        <v>2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</v>
      </c>
      <c r="Z107" s="3">
        <v>118</v>
      </c>
      <c r="AA107" s="3">
        <v>1</v>
      </c>
      <c r="AB107" s="3">
        <v>1</v>
      </c>
      <c r="AC107" s="3">
        <v>1</v>
      </c>
      <c r="AD107" s="3">
        <v>1</v>
      </c>
      <c r="AE107" s="3">
        <v>1</v>
      </c>
      <c r="AF107" s="3">
        <v>285</v>
      </c>
      <c r="AG107">
        <v>24</v>
      </c>
      <c r="AH107">
        <f>VLOOKUP(A107,Kits!D108:I308,4,FALSE)</f>
        <v>0.33200000000000002</v>
      </c>
      <c r="AI107" s="8">
        <v>24</v>
      </c>
      <c r="AJ107">
        <f t="shared" si="1"/>
        <v>7.968</v>
      </c>
      <c r="AK107" t="s">
        <v>401</v>
      </c>
    </row>
    <row r="108" spans="1:37" x14ac:dyDescent="0.2">
      <c r="A108" s="5" t="s">
        <v>314</v>
      </c>
      <c r="B108" s="3">
        <v>4</v>
      </c>
      <c r="C108" s="3">
        <v>2</v>
      </c>
      <c r="D108" s="3">
        <v>2</v>
      </c>
      <c r="E108" s="3">
        <v>4</v>
      </c>
      <c r="F108" s="3">
        <v>5</v>
      </c>
      <c r="G108" s="3">
        <v>12</v>
      </c>
      <c r="H108" s="3">
        <v>6</v>
      </c>
      <c r="I108" s="3">
        <v>119</v>
      </c>
      <c r="J108" s="3">
        <v>4</v>
      </c>
      <c r="K108" s="3">
        <v>119</v>
      </c>
      <c r="L108" s="3">
        <v>10</v>
      </c>
      <c r="M108" s="3">
        <v>4</v>
      </c>
      <c r="N108" s="3">
        <v>6</v>
      </c>
      <c r="O108" s="3">
        <v>48</v>
      </c>
      <c r="P108" s="3">
        <v>6</v>
      </c>
      <c r="Q108" s="3">
        <v>6</v>
      </c>
      <c r="R108" s="3">
        <v>5</v>
      </c>
      <c r="S108" s="3">
        <v>6</v>
      </c>
      <c r="T108" s="3">
        <v>3</v>
      </c>
      <c r="U108" s="3">
        <v>48</v>
      </c>
      <c r="V108" s="3">
        <v>6</v>
      </c>
      <c r="W108" s="3">
        <v>48</v>
      </c>
      <c r="X108" s="3">
        <v>4</v>
      </c>
      <c r="Y108" s="3">
        <v>4</v>
      </c>
      <c r="Z108" s="3">
        <v>5</v>
      </c>
      <c r="AA108" s="3">
        <v>48</v>
      </c>
      <c r="AB108" s="3">
        <v>48</v>
      </c>
      <c r="AC108" s="3">
        <v>48</v>
      </c>
      <c r="AD108" s="3">
        <v>48</v>
      </c>
      <c r="AE108" s="3">
        <v>48</v>
      </c>
      <c r="AF108" s="3">
        <v>726</v>
      </c>
      <c r="AG108">
        <v>860</v>
      </c>
      <c r="AH108">
        <f>VLOOKUP(A108,Kits!D109:I309,4,FALSE)</f>
        <v>0.45650000000000002</v>
      </c>
      <c r="AI108" s="8">
        <v>726</v>
      </c>
      <c r="AJ108">
        <f t="shared" si="1"/>
        <v>331.41900000000004</v>
      </c>
      <c r="AK108" t="s">
        <v>401</v>
      </c>
    </row>
    <row r="109" spans="1:37" x14ac:dyDescent="0.2">
      <c r="A109" s="5" t="s">
        <v>245</v>
      </c>
      <c r="B109" s="3">
        <v>8</v>
      </c>
      <c r="C109" s="3">
        <v>1</v>
      </c>
      <c r="D109" s="3">
        <v>1</v>
      </c>
      <c r="E109" s="3">
        <v>1</v>
      </c>
      <c r="F109" s="3">
        <v>1</v>
      </c>
      <c r="G109" s="3">
        <v>3</v>
      </c>
      <c r="H109" s="3">
        <v>1</v>
      </c>
      <c r="I109" s="3">
        <v>2</v>
      </c>
      <c r="J109" s="3">
        <v>8</v>
      </c>
      <c r="K109" s="3">
        <v>1</v>
      </c>
      <c r="L109" s="3">
        <v>1</v>
      </c>
      <c r="M109" s="3">
        <v>2</v>
      </c>
      <c r="N109" s="3">
        <v>1</v>
      </c>
      <c r="O109" s="3">
        <v>1</v>
      </c>
      <c r="P109" s="3">
        <v>8</v>
      </c>
      <c r="Q109" s="3">
        <v>1</v>
      </c>
      <c r="R109" s="3">
        <v>2</v>
      </c>
      <c r="S109" s="3">
        <v>3</v>
      </c>
      <c r="T109" s="3">
        <v>3</v>
      </c>
      <c r="U109" s="3">
        <v>5</v>
      </c>
      <c r="V109" s="3">
        <v>8</v>
      </c>
      <c r="W109" s="3">
        <v>3</v>
      </c>
      <c r="X109" s="3">
        <v>8</v>
      </c>
      <c r="Y109" s="3">
        <v>2</v>
      </c>
      <c r="Z109" s="3">
        <v>1</v>
      </c>
      <c r="AA109" s="3">
        <v>8</v>
      </c>
      <c r="AB109" s="3">
        <v>8</v>
      </c>
      <c r="AC109" s="3">
        <v>8</v>
      </c>
      <c r="AD109" s="3">
        <v>8</v>
      </c>
      <c r="AE109" s="3">
        <v>8</v>
      </c>
      <c r="AF109" s="3">
        <v>116</v>
      </c>
      <c r="AG109">
        <v>-1</v>
      </c>
      <c r="AH109">
        <f>VLOOKUP(A109,Kits!D110:I310,4,FALSE)</f>
        <v>0.44819999999999999</v>
      </c>
      <c r="AI109" s="8">
        <v>0</v>
      </c>
      <c r="AJ109">
        <f t="shared" si="1"/>
        <v>0</v>
      </c>
      <c r="AK109" t="s">
        <v>400</v>
      </c>
    </row>
    <row r="110" spans="1:37" x14ac:dyDescent="0.2">
      <c r="A110" s="5" t="s">
        <v>311</v>
      </c>
      <c r="B110" s="3">
        <v>3</v>
      </c>
      <c r="C110" s="3">
        <v>6</v>
      </c>
      <c r="D110" s="3">
        <v>4</v>
      </c>
      <c r="E110" s="3">
        <v>118</v>
      </c>
      <c r="F110" s="3">
        <v>1</v>
      </c>
      <c r="G110" s="3">
        <v>5</v>
      </c>
      <c r="H110" s="3">
        <v>3</v>
      </c>
      <c r="I110" s="3">
        <v>2</v>
      </c>
      <c r="J110" s="3">
        <v>3</v>
      </c>
      <c r="K110" s="3">
        <v>3</v>
      </c>
      <c r="L110" s="3">
        <v>1</v>
      </c>
      <c r="M110" s="3">
        <v>1</v>
      </c>
      <c r="N110" s="3">
        <v>1</v>
      </c>
      <c r="O110" s="3">
        <v>52</v>
      </c>
      <c r="P110" s="3">
        <v>3</v>
      </c>
      <c r="Q110" s="3">
        <v>5</v>
      </c>
      <c r="R110" s="3">
        <v>1</v>
      </c>
      <c r="S110" s="3">
        <v>5</v>
      </c>
      <c r="T110" s="3">
        <v>1</v>
      </c>
      <c r="U110" s="3">
        <v>52</v>
      </c>
      <c r="V110" s="3">
        <v>3</v>
      </c>
      <c r="W110" s="3">
        <v>52</v>
      </c>
      <c r="X110" s="3">
        <v>3</v>
      </c>
      <c r="Y110" s="3">
        <v>2</v>
      </c>
      <c r="Z110" s="3">
        <v>1</v>
      </c>
      <c r="AA110" s="3">
        <v>52</v>
      </c>
      <c r="AB110" s="3">
        <v>52</v>
      </c>
      <c r="AC110" s="3">
        <v>52</v>
      </c>
      <c r="AD110" s="3">
        <v>52</v>
      </c>
      <c r="AE110" s="3">
        <v>52</v>
      </c>
      <c r="AF110" s="3">
        <v>591</v>
      </c>
      <c r="AG110">
        <v>164</v>
      </c>
      <c r="AH110">
        <f>VLOOKUP(A110,Kits!D111:I311,4,FALSE)</f>
        <v>1.5935999999999999</v>
      </c>
      <c r="AI110" s="8">
        <v>164</v>
      </c>
      <c r="AJ110">
        <f t="shared" si="1"/>
        <v>261.35039999999998</v>
      </c>
      <c r="AK110" t="s">
        <v>401</v>
      </c>
    </row>
    <row r="111" spans="1:37" x14ac:dyDescent="0.2">
      <c r="A111" s="5" t="s">
        <v>232</v>
      </c>
      <c r="B111" s="3">
        <v>3</v>
      </c>
      <c r="C111" s="3">
        <v>6</v>
      </c>
      <c r="D111" s="3">
        <v>3</v>
      </c>
      <c r="E111" s="3">
        <v>1</v>
      </c>
      <c r="F111" s="3">
        <v>5</v>
      </c>
      <c r="G111" s="3">
        <v>1</v>
      </c>
      <c r="H111" s="3">
        <v>3</v>
      </c>
      <c r="I111" s="3">
        <v>3</v>
      </c>
      <c r="J111" s="3">
        <v>3</v>
      </c>
      <c r="K111" s="3">
        <v>6</v>
      </c>
      <c r="L111" s="3">
        <v>1</v>
      </c>
      <c r="M111" s="3">
        <v>1</v>
      </c>
      <c r="N111" s="3">
        <v>1</v>
      </c>
      <c r="O111" s="3">
        <v>2</v>
      </c>
      <c r="P111" s="3">
        <v>3</v>
      </c>
      <c r="Q111" s="3">
        <v>3</v>
      </c>
      <c r="R111" s="3">
        <v>2</v>
      </c>
      <c r="S111" s="3">
        <v>5</v>
      </c>
      <c r="T111" s="3">
        <v>3</v>
      </c>
      <c r="U111" s="3">
        <v>1</v>
      </c>
      <c r="V111" s="3">
        <v>3</v>
      </c>
      <c r="W111" s="3">
        <v>3</v>
      </c>
      <c r="X111" s="3">
        <v>3</v>
      </c>
      <c r="Y111" s="3">
        <v>3</v>
      </c>
      <c r="Z111" s="3">
        <v>3</v>
      </c>
      <c r="AA111" s="3">
        <v>7</v>
      </c>
      <c r="AB111" s="3">
        <v>1</v>
      </c>
      <c r="AC111" s="3">
        <v>3</v>
      </c>
      <c r="AD111" s="3">
        <v>7</v>
      </c>
      <c r="AE111" s="3">
        <v>7</v>
      </c>
      <c r="AF111" s="3">
        <v>96</v>
      </c>
      <c r="AG111">
        <v>153</v>
      </c>
      <c r="AH111">
        <f>VLOOKUP(A111,Kits!D112:I312,4,FALSE)</f>
        <v>1.5935999999999999</v>
      </c>
      <c r="AI111" s="8">
        <v>96</v>
      </c>
      <c r="AJ111">
        <f t="shared" si="1"/>
        <v>152.98559999999998</v>
      </c>
      <c r="AK111" t="s">
        <v>401</v>
      </c>
    </row>
    <row r="112" spans="1:37" x14ac:dyDescent="0.2">
      <c r="A112" s="5" t="s">
        <v>118</v>
      </c>
      <c r="B112" s="3">
        <v>3</v>
      </c>
      <c r="C112" s="3">
        <v>1</v>
      </c>
      <c r="D112" s="3">
        <v>1</v>
      </c>
      <c r="E112" s="3">
        <v>6</v>
      </c>
      <c r="F112" s="3">
        <v>5</v>
      </c>
      <c r="G112" s="3">
        <v>1</v>
      </c>
      <c r="H112" s="3">
        <v>3</v>
      </c>
      <c r="I112" s="3">
        <v>5</v>
      </c>
      <c r="J112" s="3">
        <v>3</v>
      </c>
      <c r="K112" s="3">
        <v>1</v>
      </c>
      <c r="L112" s="3">
        <v>2</v>
      </c>
      <c r="M112" s="3">
        <v>3</v>
      </c>
      <c r="N112" s="3">
        <v>118</v>
      </c>
      <c r="O112" s="3">
        <v>5</v>
      </c>
      <c r="P112" s="3">
        <v>1</v>
      </c>
      <c r="Q112" s="3">
        <v>1</v>
      </c>
      <c r="R112" s="3">
        <v>2</v>
      </c>
      <c r="S112" s="3">
        <v>1</v>
      </c>
      <c r="T112" s="3">
        <v>1</v>
      </c>
      <c r="U112" s="3">
        <v>118</v>
      </c>
      <c r="V112" s="3">
        <v>1</v>
      </c>
      <c r="W112" s="3">
        <v>1</v>
      </c>
      <c r="X112" s="3">
        <v>3</v>
      </c>
      <c r="Y112" s="3">
        <v>5</v>
      </c>
      <c r="Z112" s="3">
        <v>5</v>
      </c>
      <c r="AA112" s="3">
        <v>1</v>
      </c>
      <c r="AB112" s="3">
        <v>4</v>
      </c>
      <c r="AC112" s="3">
        <v>1</v>
      </c>
      <c r="AD112" s="3">
        <v>1</v>
      </c>
      <c r="AE112" s="3">
        <v>1</v>
      </c>
      <c r="AF112" s="3">
        <v>304</v>
      </c>
      <c r="AG112">
        <v>195</v>
      </c>
      <c r="AH112">
        <f>VLOOKUP(A112,Kits!D113:I313,4,FALSE)</f>
        <v>0.83</v>
      </c>
      <c r="AI112" s="8">
        <v>195</v>
      </c>
      <c r="AJ112">
        <f t="shared" si="1"/>
        <v>161.85</v>
      </c>
      <c r="AK112" t="s">
        <v>401</v>
      </c>
    </row>
    <row r="113" spans="1:37" x14ac:dyDescent="0.2">
      <c r="A113" s="5" t="s">
        <v>153</v>
      </c>
      <c r="B113" s="3">
        <v>1</v>
      </c>
      <c r="C113" s="3">
        <v>2</v>
      </c>
      <c r="D113" s="3">
        <v>2</v>
      </c>
      <c r="E113" s="3">
        <v>3</v>
      </c>
      <c r="F113" s="3">
        <v>6</v>
      </c>
      <c r="G113" s="3">
        <v>1</v>
      </c>
      <c r="H113" s="3">
        <v>1</v>
      </c>
      <c r="I113" s="3">
        <v>0</v>
      </c>
      <c r="J113" s="3">
        <v>1</v>
      </c>
      <c r="K113" s="3">
        <v>2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0</v>
      </c>
      <c r="R113" s="3">
        <v>1</v>
      </c>
      <c r="S113" s="3">
        <v>3</v>
      </c>
      <c r="T113" s="3">
        <v>0</v>
      </c>
      <c r="U113" s="3">
        <v>1</v>
      </c>
      <c r="V113" s="3">
        <v>1</v>
      </c>
      <c r="W113" s="3">
        <v>0</v>
      </c>
      <c r="X113" s="3">
        <v>1</v>
      </c>
      <c r="Y113" s="3">
        <v>5</v>
      </c>
      <c r="Z113" s="3">
        <v>5</v>
      </c>
      <c r="AA113" s="3">
        <v>5</v>
      </c>
      <c r="AB113" s="3">
        <v>1</v>
      </c>
      <c r="AC113" s="3">
        <v>0</v>
      </c>
      <c r="AD113" s="3">
        <v>5</v>
      </c>
      <c r="AE113" s="3">
        <v>5</v>
      </c>
      <c r="AF113" s="3">
        <v>57</v>
      </c>
      <c r="AG113">
        <v>112</v>
      </c>
      <c r="AH113">
        <f>VLOOKUP(A113,Kits!D114:I314,4,FALSE)</f>
        <v>1.11663552</v>
      </c>
      <c r="AI113" s="8">
        <v>57</v>
      </c>
      <c r="AJ113">
        <f t="shared" si="1"/>
        <v>63.648224640000002</v>
      </c>
      <c r="AK113" t="s">
        <v>401</v>
      </c>
    </row>
    <row r="114" spans="1:37" x14ac:dyDescent="0.2">
      <c r="A114" s="5" t="s">
        <v>174</v>
      </c>
      <c r="B114" s="3">
        <v>1</v>
      </c>
      <c r="C114" s="3">
        <v>2</v>
      </c>
      <c r="D114" s="3">
        <v>1</v>
      </c>
      <c r="E114" s="3">
        <v>5</v>
      </c>
      <c r="F114" s="3">
        <v>3</v>
      </c>
      <c r="G114" s="3">
        <v>2</v>
      </c>
      <c r="H114" s="3">
        <v>1</v>
      </c>
      <c r="I114" s="3">
        <v>0</v>
      </c>
      <c r="J114" s="3">
        <v>1</v>
      </c>
      <c r="K114" s="3">
        <v>2</v>
      </c>
      <c r="L114" s="3">
        <v>1</v>
      </c>
      <c r="M114" s="3">
        <v>1</v>
      </c>
      <c r="N114" s="3">
        <v>3</v>
      </c>
      <c r="O114" s="3">
        <v>1</v>
      </c>
      <c r="P114" s="3">
        <v>2</v>
      </c>
      <c r="Q114" s="3">
        <v>0</v>
      </c>
      <c r="R114" s="3">
        <v>3</v>
      </c>
      <c r="S114" s="3">
        <v>1</v>
      </c>
      <c r="T114" s="3">
        <v>0</v>
      </c>
      <c r="U114" s="3">
        <v>3</v>
      </c>
      <c r="V114" s="3">
        <v>2</v>
      </c>
      <c r="W114" s="3">
        <v>0</v>
      </c>
      <c r="X114" s="3">
        <v>1</v>
      </c>
      <c r="Y114" s="3">
        <v>3</v>
      </c>
      <c r="Z114" s="3">
        <v>3</v>
      </c>
      <c r="AA114" s="3">
        <v>118</v>
      </c>
      <c r="AB114" s="3">
        <v>1</v>
      </c>
      <c r="AC114" s="3">
        <v>0</v>
      </c>
      <c r="AD114" s="3">
        <v>118</v>
      </c>
      <c r="AE114" s="3">
        <v>118</v>
      </c>
      <c r="AF114" s="3">
        <v>397</v>
      </c>
      <c r="AG114">
        <v>635</v>
      </c>
      <c r="AH114">
        <f>VLOOKUP(A114,Kits!D115:I315,4,FALSE)</f>
        <v>1.2616000000000001</v>
      </c>
      <c r="AI114" s="8">
        <v>397</v>
      </c>
      <c r="AJ114">
        <f t="shared" si="1"/>
        <v>500.85520000000002</v>
      </c>
      <c r="AK114" t="s">
        <v>401</v>
      </c>
    </row>
    <row r="115" spans="1:37" x14ac:dyDescent="0.2">
      <c r="A115" s="5" t="s">
        <v>201</v>
      </c>
      <c r="B115" s="3">
        <v>1</v>
      </c>
      <c r="C115" s="3">
        <v>1</v>
      </c>
      <c r="D115" s="3">
        <v>1</v>
      </c>
      <c r="E115" s="3">
        <v>1</v>
      </c>
      <c r="F115" s="3">
        <v>2</v>
      </c>
      <c r="G115" s="3">
        <v>1</v>
      </c>
      <c r="H115" s="3">
        <v>3</v>
      </c>
      <c r="I115" s="3">
        <v>3</v>
      </c>
      <c r="J115" s="3">
        <v>1</v>
      </c>
      <c r="K115" s="3">
        <v>1</v>
      </c>
      <c r="L115" s="3">
        <v>4</v>
      </c>
      <c r="M115" s="3">
        <v>4</v>
      </c>
      <c r="N115" s="3">
        <v>1</v>
      </c>
      <c r="O115" s="3">
        <v>5</v>
      </c>
      <c r="P115" s="3">
        <v>1</v>
      </c>
      <c r="Q115" s="3">
        <v>3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5</v>
      </c>
      <c r="X115" s="3">
        <v>1</v>
      </c>
      <c r="Y115" s="3">
        <v>3</v>
      </c>
      <c r="Z115" s="3">
        <v>16</v>
      </c>
      <c r="AA115" s="3">
        <v>16</v>
      </c>
      <c r="AB115" s="3">
        <v>4</v>
      </c>
      <c r="AC115" s="3">
        <v>5</v>
      </c>
      <c r="AD115" s="3">
        <v>16</v>
      </c>
      <c r="AE115" s="3">
        <v>16</v>
      </c>
      <c r="AF115" s="3">
        <v>120</v>
      </c>
      <c r="AG115">
        <v>48</v>
      </c>
      <c r="AH115">
        <f>VLOOKUP(A115,Kits!D116:I316,4,FALSE)</f>
        <v>0.22645055999999994</v>
      </c>
      <c r="AI115" s="8">
        <v>48</v>
      </c>
      <c r="AJ115">
        <f t="shared" si="1"/>
        <v>10.869626879999997</v>
      </c>
      <c r="AK115" t="s">
        <v>401</v>
      </c>
    </row>
    <row r="116" spans="1:37" x14ac:dyDescent="0.2">
      <c r="A116" s="5" t="s">
        <v>166</v>
      </c>
      <c r="B116" s="3">
        <v>5</v>
      </c>
      <c r="C116" s="3">
        <v>1</v>
      </c>
      <c r="D116" s="3">
        <v>3</v>
      </c>
      <c r="E116" s="3">
        <v>1</v>
      </c>
      <c r="F116" s="3">
        <v>4</v>
      </c>
      <c r="G116" s="3">
        <v>118</v>
      </c>
      <c r="H116" s="3">
        <v>5</v>
      </c>
      <c r="I116" s="3">
        <v>0</v>
      </c>
      <c r="J116" s="3">
        <v>5</v>
      </c>
      <c r="K116" s="3">
        <v>1</v>
      </c>
      <c r="L116" s="3">
        <v>3</v>
      </c>
      <c r="M116" s="3">
        <v>1</v>
      </c>
      <c r="N116" s="3">
        <v>6</v>
      </c>
      <c r="O116" s="3">
        <v>3</v>
      </c>
      <c r="P116" s="3">
        <v>1</v>
      </c>
      <c r="Q116" s="3">
        <v>0</v>
      </c>
      <c r="R116" s="3">
        <v>1</v>
      </c>
      <c r="S116" s="3">
        <v>1</v>
      </c>
      <c r="T116" s="3">
        <v>0</v>
      </c>
      <c r="U116" s="3">
        <v>6</v>
      </c>
      <c r="V116" s="3">
        <v>1</v>
      </c>
      <c r="W116" s="3">
        <v>0</v>
      </c>
      <c r="X116" s="3">
        <v>5</v>
      </c>
      <c r="Y116" s="3">
        <v>4</v>
      </c>
      <c r="Z116" s="3">
        <v>4</v>
      </c>
      <c r="AA116" s="3">
        <v>84</v>
      </c>
      <c r="AB116" s="3">
        <v>3</v>
      </c>
      <c r="AC116" s="3">
        <v>0</v>
      </c>
      <c r="AD116" s="3">
        <v>84</v>
      </c>
      <c r="AE116" s="3">
        <v>84</v>
      </c>
      <c r="AF116" s="3">
        <v>434</v>
      </c>
      <c r="AG116">
        <v>573</v>
      </c>
      <c r="AH116">
        <f>VLOOKUP(A116,Kits!D117:I317,4,FALSE)</f>
        <v>0.97109999999999985</v>
      </c>
      <c r="AI116" s="8">
        <v>434</v>
      </c>
      <c r="AJ116">
        <f t="shared" si="1"/>
        <v>421.45739999999995</v>
      </c>
      <c r="AK116" t="s">
        <v>401</v>
      </c>
    </row>
    <row r="117" spans="1:37" x14ac:dyDescent="0.2">
      <c r="A117" s="5" t="s">
        <v>197</v>
      </c>
      <c r="B117" s="3">
        <v>14</v>
      </c>
      <c r="C117" s="3">
        <v>8</v>
      </c>
      <c r="D117" s="3">
        <v>9</v>
      </c>
      <c r="E117" s="3">
        <v>3</v>
      </c>
      <c r="F117" s="3">
        <v>5</v>
      </c>
      <c r="G117" s="3">
        <v>8</v>
      </c>
      <c r="H117" s="3">
        <v>8</v>
      </c>
      <c r="I117" s="3">
        <v>127</v>
      </c>
      <c r="J117" s="3">
        <v>14</v>
      </c>
      <c r="K117" s="3">
        <v>3</v>
      </c>
      <c r="L117" s="3">
        <v>12</v>
      </c>
      <c r="M117" s="3">
        <v>7</v>
      </c>
      <c r="N117" s="3">
        <v>7</v>
      </c>
      <c r="O117" s="3">
        <v>12</v>
      </c>
      <c r="P117" s="3">
        <v>13</v>
      </c>
      <c r="Q117" s="3">
        <v>9</v>
      </c>
      <c r="R117" s="3">
        <v>9</v>
      </c>
      <c r="S117" s="3">
        <v>9</v>
      </c>
      <c r="T117" s="3">
        <v>9</v>
      </c>
      <c r="U117" s="3">
        <v>14</v>
      </c>
      <c r="V117" s="3">
        <v>16</v>
      </c>
      <c r="W117" s="3">
        <v>11</v>
      </c>
      <c r="X117" s="3">
        <v>14</v>
      </c>
      <c r="Y117" s="3">
        <v>127</v>
      </c>
      <c r="Z117" s="3">
        <v>9</v>
      </c>
      <c r="AA117" s="3">
        <v>32</v>
      </c>
      <c r="AB117" s="3">
        <v>17</v>
      </c>
      <c r="AC117" s="3">
        <v>17</v>
      </c>
      <c r="AD117" s="3">
        <v>32</v>
      </c>
      <c r="AE117" s="3">
        <v>32</v>
      </c>
      <c r="AF117" s="3">
        <v>607</v>
      </c>
      <c r="AG117">
        <v>42</v>
      </c>
      <c r="AH117">
        <f>VLOOKUP(A117,Kits!D118:I318,4,FALSE)</f>
        <v>7.4699999999999989E-2</v>
      </c>
      <c r="AI117" s="8">
        <v>42</v>
      </c>
      <c r="AJ117">
        <f t="shared" si="1"/>
        <v>3.1373999999999995</v>
      </c>
      <c r="AK117" t="s">
        <v>401</v>
      </c>
    </row>
    <row r="118" spans="1:37" x14ac:dyDescent="0.2">
      <c r="A118" s="5" t="s">
        <v>116</v>
      </c>
      <c r="B118" s="3">
        <v>4</v>
      </c>
      <c r="C118" s="3">
        <v>8</v>
      </c>
      <c r="D118" s="3">
        <v>17</v>
      </c>
      <c r="E118" s="3">
        <v>13</v>
      </c>
      <c r="F118" s="3">
        <v>127</v>
      </c>
      <c r="G118" s="3">
        <v>7</v>
      </c>
      <c r="H118" s="3">
        <v>10</v>
      </c>
      <c r="I118" s="3">
        <v>8</v>
      </c>
      <c r="J118" s="3">
        <v>4</v>
      </c>
      <c r="K118" s="3">
        <v>8</v>
      </c>
      <c r="L118" s="3">
        <v>7</v>
      </c>
      <c r="M118" s="3">
        <v>5</v>
      </c>
      <c r="N118" s="3">
        <v>4</v>
      </c>
      <c r="O118" s="3">
        <v>13</v>
      </c>
      <c r="P118" s="3">
        <v>121</v>
      </c>
      <c r="Q118" s="3">
        <v>122</v>
      </c>
      <c r="R118" s="3">
        <v>7</v>
      </c>
      <c r="S118" s="3">
        <v>13</v>
      </c>
      <c r="T118" s="3">
        <v>15</v>
      </c>
      <c r="U118" s="3">
        <v>4</v>
      </c>
      <c r="V118" s="3">
        <v>121</v>
      </c>
      <c r="W118" s="3">
        <v>5</v>
      </c>
      <c r="X118" s="3">
        <v>4</v>
      </c>
      <c r="Y118" s="3">
        <v>15</v>
      </c>
      <c r="Z118" s="3">
        <v>134</v>
      </c>
      <c r="AA118" s="3">
        <v>184</v>
      </c>
      <c r="AB118" s="3">
        <v>6</v>
      </c>
      <c r="AC118" s="3">
        <v>5</v>
      </c>
      <c r="AD118" s="3">
        <v>184</v>
      </c>
      <c r="AE118" s="3">
        <v>184</v>
      </c>
      <c r="AF118" s="3">
        <v>1359</v>
      </c>
      <c r="AG118">
        <v>613</v>
      </c>
      <c r="AH118">
        <f>VLOOKUP(A118,Kits!D119:I319,4,FALSE)</f>
        <v>0.25729999999999997</v>
      </c>
      <c r="AI118" s="8">
        <v>613</v>
      </c>
      <c r="AJ118">
        <f t="shared" si="1"/>
        <v>157.72489999999999</v>
      </c>
      <c r="AK118" t="s">
        <v>401</v>
      </c>
    </row>
    <row r="119" spans="1:37" x14ac:dyDescent="0.2">
      <c r="A119" s="5" t="s">
        <v>154</v>
      </c>
      <c r="B119" s="3">
        <v>5</v>
      </c>
      <c r="C119" s="3">
        <v>7</v>
      </c>
      <c r="D119" s="3">
        <v>5</v>
      </c>
      <c r="E119" s="3">
        <v>7</v>
      </c>
      <c r="F119" s="3">
        <v>8</v>
      </c>
      <c r="G119" s="3">
        <v>2</v>
      </c>
      <c r="H119" s="3">
        <v>5</v>
      </c>
      <c r="I119" s="3">
        <v>6</v>
      </c>
      <c r="J119" s="3">
        <v>5</v>
      </c>
      <c r="K119" s="3">
        <v>7</v>
      </c>
      <c r="L119" s="3">
        <v>4</v>
      </c>
      <c r="M119" s="3">
        <v>4</v>
      </c>
      <c r="N119" s="3">
        <v>119</v>
      </c>
      <c r="O119" s="3">
        <v>4</v>
      </c>
      <c r="P119" s="3">
        <v>7</v>
      </c>
      <c r="Q119" s="3">
        <v>1</v>
      </c>
      <c r="R119" s="3">
        <v>7</v>
      </c>
      <c r="S119" s="3">
        <v>4</v>
      </c>
      <c r="T119" s="3">
        <v>1</v>
      </c>
      <c r="U119" s="3">
        <v>119</v>
      </c>
      <c r="V119" s="3">
        <v>7</v>
      </c>
      <c r="W119" s="3">
        <v>3</v>
      </c>
      <c r="X119" s="3">
        <v>5</v>
      </c>
      <c r="Y119" s="3">
        <v>8</v>
      </c>
      <c r="Z119" s="3">
        <v>8</v>
      </c>
      <c r="AA119" s="3">
        <v>6</v>
      </c>
      <c r="AB119" s="3">
        <v>8</v>
      </c>
      <c r="AC119" s="3">
        <v>3</v>
      </c>
      <c r="AD119" s="3">
        <v>6</v>
      </c>
      <c r="AE119" s="3">
        <v>6</v>
      </c>
      <c r="AF119" s="3">
        <v>387</v>
      </c>
      <c r="AG119">
        <v>282</v>
      </c>
      <c r="AH119">
        <f>VLOOKUP(A119,Kits!D120:I320,4,FALSE)</f>
        <v>4.3657999999999992</v>
      </c>
      <c r="AI119" s="8">
        <v>282</v>
      </c>
      <c r="AJ119">
        <f t="shared" si="1"/>
        <v>1231.1555999999998</v>
      </c>
      <c r="AK119" t="s">
        <v>401</v>
      </c>
    </row>
    <row r="120" spans="1:37" x14ac:dyDescent="0.2">
      <c r="A120" s="5" t="s">
        <v>78</v>
      </c>
      <c r="B120" s="3">
        <v>23</v>
      </c>
      <c r="C120" s="3">
        <v>127</v>
      </c>
      <c r="D120" s="3">
        <v>12</v>
      </c>
      <c r="E120" s="3">
        <v>3</v>
      </c>
      <c r="F120" s="3">
        <v>5</v>
      </c>
      <c r="G120" s="3">
        <v>5</v>
      </c>
      <c r="H120" s="3">
        <v>6</v>
      </c>
      <c r="I120" s="3">
        <v>10</v>
      </c>
      <c r="J120" s="3">
        <v>23</v>
      </c>
      <c r="K120" s="3">
        <v>127</v>
      </c>
      <c r="L120" s="3">
        <v>4</v>
      </c>
      <c r="M120" s="3">
        <v>7</v>
      </c>
      <c r="N120" s="3">
        <v>9</v>
      </c>
      <c r="O120" s="3">
        <v>7</v>
      </c>
      <c r="P120" s="3">
        <v>23</v>
      </c>
      <c r="Q120" s="3">
        <v>9</v>
      </c>
      <c r="R120" s="3">
        <v>9</v>
      </c>
      <c r="S120" s="3">
        <v>11</v>
      </c>
      <c r="T120" s="3">
        <v>14</v>
      </c>
      <c r="U120" s="3">
        <v>5</v>
      </c>
      <c r="V120" s="3">
        <v>23</v>
      </c>
      <c r="W120" s="3">
        <v>6</v>
      </c>
      <c r="X120" s="3">
        <v>23</v>
      </c>
      <c r="Y120" s="3">
        <v>10</v>
      </c>
      <c r="Z120" s="3">
        <v>10</v>
      </c>
      <c r="AA120" s="3">
        <v>18</v>
      </c>
      <c r="AB120" s="3">
        <v>26</v>
      </c>
      <c r="AC120" s="3">
        <v>25</v>
      </c>
      <c r="AD120" s="3">
        <v>35</v>
      </c>
      <c r="AE120" s="3">
        <v>35</v>
      </c>
      <c r="AF120" s="3">
        <v>650</v>
      </c>
      <c r="AG120">
        <v>67</v>
      </c>
      <c r="AH120">
        <f>VLOOKUP(A120,Kits!D121:I321,4,FALSE)</f>
        <v>0.71839487999999996</v>
      </c>
      <c r="AI120" s="8">
        <v>67</v>
      </c>
      <c r="AJ120">
        <f t="shared" si="1"/>
        <v>48.132456959999999</v>
      </c>
      <c r="AK120" t="s">
        <v>401</v>
      </c>
    </row>
    <row r="121" spans="1:37" x14ac:dyDescent="0.2">
      <c r="A121" s="5" t="s">
        <v>62</v>
      </c>
      <c r="B121" s="3">
        <v>2</v>
      </c>
      <c r="C121" s="3">
        <v>5</v>
      </c>
      <c r="D121" s="3">
        <v>4</v>
      </c>
      <c r="E121" s="3">
        <v>8</v>
      </c>
      <c r="F121" s="3">
        <v>6</v>
      </c>
      <c r="G121" s="3">
        <v>6</v>
      </c>
      <c r="H121" s="3">
        <v>2</v>
      </c>
      <c r="I121" s="3">
        <v>3</v>
      </c>
      <c r="J121" s="3">
        <v>2</v>
      </c>
      <c r="K121" s="3">
        <v>5</v>
      </c>
      <c r="L121" s="3">
        <v>5</v>
      </c>
      <c r="M121" s="3">
        <v>2</v>
      </c>
      <c r="N121" s="3">
        <v>7</v>
      </c>
      <c r="O121" s="3">
        <v>4</v>
      </c>
      <c r="P121" s="3">
        <v>6</v>
      </c>
      <c r="Q121" s="3">
        <v>119</v>
      </c>
      <c r="R121" s="3">
        <v>4</v>
      </c>
      <c r="S121" s="3">
        <v>7</v>
      </c>
      <c r="T121" s="3">
        <v>4</v>
      </c>
      <c r="U121" s="3">
        <v>8</v>
      </c>
      <c r="V121" s="3">
        <v>6</v>
      </c>
      <c r="W121" s="3">
        <v>4</v>
      </c>
      <c r="X121" s="3">
        <v>2</v>
      </c>
      <c r="Y121" s="3">
        <v>4</v>
      </c>
      <c r="Z121" s="3">
        <v>4</v>
      </c>
      <c r="AA121" s="3">
        <v>6</v>
      </c>
      <c r="AB121" s="3">
        <v>2</v>
      </c>
      <c r="AC121" s="3">
        <v>2</v>
      </c>
      <c r="AD121" s="3">
        <v>2</v>
      </c>
      <c r="AE121" s="3">
        <v>2</v>
      </c>
      <c r="AF121" s="3">
        <v>243</v>
      </c>
      <c r="AG121">
        <v>0</v>
      </c>
      <c r="AH121">
        <f>VLOOKUP(A121,Kits!D122:I322,4,FALSE)</f>
        <v>0.34860000000000002</v>
      </c>
      <c r="AI121" s="8">
        <v>0</v>
      </c>
      <c r="AJ121">
        <f t="shared" si="1"/>
        <v>0</v>
      </c>
      <c r="AK121" t="s">
        <v>400</v>
      </c>
    </row>
    <row r="122" spans="1:37" x14ac:dyDescent="0.2">
      <c r="A122" s="5" t="s">
        <v>288</v>
      </c>
      <c r="B122" s="3">
        <v>8</v>
      </c>
      <c r="C122" s="3">
        <v>6</v>
      </c>
      <c r="D122" s="3">
        <v>4</v>
      </c>
      <c r="E122" s="3">
        <v>7</v>
      </c>
      <c r="F122" s="3">
        <v>4</v>
      </c>
      <c r="G122" s="3">
        <v>5</v>
      </c>
      <c r="H122" s="3">
        <v>7</v>
      </c>
      <c r="I122" s="3">
        <v>5</v>
      </c>
      <c r="J122" s="3">
        <v>8</v>
      </c>
      <c r="K122" s="3">
        <v>2</v>
      </c>
      <c r="L122" s="3">
        <v>4</v>
      </c>
      <c r="M122" s="3">
        <v>2</v>
      </c>
      <c r="N122" s="3">
        <v>8</v>
      </c>
      <c r="O122" s="3">
        <v>3</v>
      </c>
      <c r="P122" s="3">
        <v>6</v>
      </c>
      <c r="Q122" s="3">
        <v>5</v>
      </c>
      <c r="R122" s="3">
        <v>9</v>
      </c>
      <c r="S122" s="3">
        <v>6</v>
      </c>
      <c r="T122" s="3">
        <v>5</v>
      </c>
      <c r="U122" s="3">
        <v>8</v>
      </c>
      <c r="V122" s="3">
        <v>2</v>
      </c>
      <c r="W122" s="3">
        <v>5</v>
      </c>
      <c r="X122" s="3">
        <v>8</v>
      </c>
      <c r="Y122" s="3">
        <v>2</v>
      </c>
      <c r="Z122" s="3">
        <v>4</v>
      </c>
      <c r="AA122" s="3">
        <v>3</v>
      </c>
      <c r="AB122" s="3">
        <v>3</v>
      </c>
      <c r="AC122" s="3">
        <v>5</v>
      </c>
      <c r="AD122" s="3">
        <v>3</v>
      </c>
      <c r="AE122" s="3">
        <v>3</v>
      </c>
      <c r="AF122" s="3">
        <v>150</v>
      </c>
      <c r="AG122">
        <v>20</v>
      </c>
      <c r="AH122">
        <f>VLOOKUP(A122,Kits!D123:I323,4,FALSE)</f>
        <v>7.3401215999999998</v>
      </c>
      <c r="AI122" s="8">
        <v>20</v>
      </c>
      <c r="AJ122">
        <f t="shared" si="1"/>
        <v>146.80243200000001</v>
      </c>
      <c r="AK122" t="s">
        <v>401</v>
      </c>
    </row>
    <row r="123" spans="1:37" x14ac:dyDescent="0.2">
      <c r="A123" s="5" t="s">
        <v>326</v>
      </c>
      <c r="B123" s="3">
        <v>1</v>
      </c>
      <c r="C123" s="3">
        <v>2</v>
      </c>
      <c r="D123" s="3">
        <v>5</v>
      </c>
      <c r="E123" s="3">
        <v>3</v>
      </c>
      <c r="F123" s="3">
        <v>5</v>
      </c>
      <c r="G123" s="3">
        <v>1</v>
      </c>
      <c r="H123" s="3">
        <v>1</v>
      </c>
      <c r="I123" s="3">
        <v>1</v>
      </c>
      <c r="J123" s="3">
        <v>1</v>
      </c>
      <c r="K123" s="3">
        <v>2</v>
      </c>
      <c r="L123" s="3">
        <v>1</v>
      </c>
      <c r="M123" s="3">
        <v>1</v>
      </c>
      <c r="N123" s="3">
        <v>1</v>
      </c>
      <c r="O123" s="3">
        <v>5</v>
      </c>
      <c r="P123" s="3">
        <v>118</v>
      </c>
      <c r="Q123" s="3">
        <v>1</v>
      </c>
      <c r="R123" s="3">
        <v>3</v>
      </c>
      <c r="S123" s="3">
        <v>3</v>
      </c>
      <c r="T123" s="3">
        <v>4</v>
      </c>
      <c r="U123" s="3">
        <v>1</v>
      </c>
      <c r="V123" s="3">
        <v>118</v>
      </c>
      <c r="W123" s="3">
        <v>1</v>
      </c>
      <c r="X123" s="3">
        <v>1</v>
      </c>
      <c r="Y123" s="3">
        <v>5</v>
      </c>
      <c r="Z123" s="3">
        <v>5</v>
      </c>
      <c r="AA123" s="3">
        <v>1</v>
      </c>
      <c r="AB123" s="3">
        <v>2</v>
      </c>
      <c r="AC123" s="3">
        <v>1</v>
      </c>
      <c r="AD123" s="3">
        <v>1</v>
      </c>
      <c r="AE123" s="3">
        <v>1</v>
      </c>
      <c r="AF123" s="3">
        <v>296</v>
      </c>
      <c r="AG123">
        <v>4</v>
      </c>
      <c r="AH123">
        <f>VLOOKUP(A123,Kits!D124:I324,4,FALSE)</f>
        <v>3.97459776</v>
      </c>
      <c r="AI123" s="8">
        <v>4</v>
      </c>
      <c r="AJ123">
        <f t="shared" si="1"/>
        <v>15.89839104</v>
      </c>
      <c r="AK123" t="s">
        <v>401</v>
      </c>
    </row>
    <row r="124" spans="1:37" x14ac:dyDescent="0.2">
      <c r="A124" s="5" t="s">
        <v>195</v>
      </c>
      <c r="B124" s="3">
        <v>6</v>
      </c>
      <c r="C124" s="3">
        <v>3</v>
      </c>
      <c r="D124" s="3">
        <v>1</v>
      </c>
      <c r="E124" s="3">
        <v>1</v>
      </c>
      <c r="F124" s="3">
        <v>5</v>
      </c>
      <c r="G124" s="3">
        <v>1</v>
      </c>
      <c r="H124" s="3">
        <v>6</v>
      </c>
      <c r="I124" s="3">
        <v>0</v>
      </c>
      <c r="J124" s="3">
        <v>6</v>
      </c>
      <c r="K124" s="3">
        <v>3</v>
      </c>
      <c r="L124" s="3">
        <v>118</v>
      </c>
      <c r="M124" s="3">
        <v>2</v>
      </c>
      <c r="N124" s="3">
        <v>1</v>
      </c>
      <c r="O124" s="3">
        <v>5</v>
      </c>
      <c r="P124" s="3">
        <v>3</v>
      </c>
      <c r="Q124" s="3">
        <v>0</v>
      </c>
      <c r="R124" s="3">
        <v>1</v>
      </c>
      <c r="S124" s="3">
        <v>1</v>
      </c>
      <c r="T124" s="3">
        <v>0</v>
      </c>
      <c r="U124" s="3">
        <v>1</v>
      </c>
      <c r="V124" s="3">
        <v>3</v>
      </c>
      <c r="W124" s="3">
        <v>0</v>
      </c>
      <c r="X124" s="3">
        <v>6</v>
      </c>
      <c r="Y124" s="3">
        <v>5</v>
      </c>
      <c r="Z124" s="3">
        <v>5</v>
      </c>
      <c r="AA124" s="3">
        <v>2</v>
      </c>
      <c r="AB124" s="3">
        <v>4</v>
      </c>
      <c r="AC124" s="3">
        <v>0</v>
      </c>
      <c r="AD124" s="3">
        <v>2</v>
      </c>
      <c r="AE124" s="3">
        <v>2</v>
      </c>
      <c r="AF124" s="3">
        <v>193</v>
      </c>
      <c r="AG124">
        <v>108</v>
      </c>
      <c r="AH124">
        <f>VLOOKUP(A124,Kits!D125:I325,4,FALSE)</f>
        <v>1.0374999999999999</v>
      </c>
      <c r="AI124" s="8">
        <v>108</v>
      </c>
      <c r="AJ124">
        <f t="shared" si="1"/>
        <v>112.04999999999998</v>
      </c>
      <c r="AK124" t="s">
        <v>401</v>
      </c>
    </row>
    <row r="125" spans="1:37" x14ac:dyDescent="0.2">
      <c r="A125" s="5" t="s">
        <v>80</v>
      </c>
      <c r="B125" s="3">
        <v>40</v>
      </c>
      <c r="C125" s="3">
        <v>1</v>
      </c>
      <c r="D125" s="3">
        <v>1</v>
      </c>
      <c r="E125" s="3">
        <v>3</v>
      </c>
      <c r="F125" s="3">
        <v>1</v>
      </c>
      <c r="G125" s="3">
        <v>4</v>
      </c>
      <c r="H125" s="3">
        <v>118</v>
      </c>
      <c r="I125" s="3">
        <v>5</v>
      </c>
      <c r="J125" s="3">
        <v>40</v>
      </c>
      <c r="K125" s="3">
        <v>1</v>
      </c>
      <c r="L125" s="3">
        <v>1</v>
      </c>
      <c r="M125" s="3">
        <v>3</v>
      </c>
      <c r="N125" s="3">
        <v>1</v>
      </c>
      <c r="O125" s="3">
        <v>6</v>
      </c>
      <c r="P125" s="3">
        <v>40</v>
      </c>
      <c r="Q125" s="3">
        <v>1</v>
      </c>
      <c r="R125" s="3">
        <v>1</v>
      </c>
      <c r="S125" s="3">
        <v>3</v>
      </c>
      <c r="T125" s="3">
        <v>1</v>
      </c>
      <c r="U125" s="3">
        <v>3</v>
      </c>
      <c r="V125" s="3">
        <v>40</v>
      </c>
      <c r="W125" s="3">
        <v>1</v>
      </c>
      <c r="X125" s="3">
        <v>40</v>
      </c>
      <c r="Y125" s="3">
        <v>5</v>
      </c>
      <c r="Z125" s="3">
        <v>2</v>
      </c>
      <c r="AA125" s="3">
        <v>4</v>
      </c>
      <c r="AB125" s="3">
        <v>40</v>
      </c>
      <c r="AC125" s="3">
        <v>40</v>
      </c>
      <c r="AD125" s="3">
        <v>40</v>
      </c>
      <c r="AE125" s="3">
        <v>40</v>
      </c>
      <c r="AF125" s="3">
        <v>526</v>
      </c>
      <c r="AG125">
        <v>24</v>
      </c>
      <c r="AH125">
        <f>VLOOKUP(A125,Kits!D126:I326,4,FALSE)</f>
        <v>0.9544999999999999</v>
      </c>
      <c r="AI125" s="8">
        <v>24</v>
      </c>
      <c r="AJ125">
        <f t="shared" si="1"/>
        <v>22.907999999999998</v>
      </c>
      <c r="AK125" t="s">
        <v>401</v>
      </c>
    </row>
    <row r="126" spans="1:37" x14ac:dyDescent="0.2">
      <c r="A126" s="5" t="s">
        <v>77</v>
      </c>
      <c r="B126" s="3">
        <v>10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2</v>
      </c>
      <c r="I126" s="3">
        <v>1</v>
      </c>
      <c r="J126" s="3">
        <v>10</v>
      </c>
      <c r="K126" s="3">
        <v>1</v>
      </c>
      <c r="L126" s="3">
        <v>6</v>
      </c>
      <c r="M126" s="3">
        <v>3</v>
      </c>
      <c r="N126" s="3">
        <v>1</v>
      </c>
      <c r="O126" s="3">
        <v>2</v>
      </c>
      <c r="P126" s="3">
        <v>10</v>
      </c>
      <c r="Q126" s="3">
        <v>3</v>
      </c>
      <c r="R126" s="3">
        <v>6</v>
      </c>
      <c r="S126" s="3">
        <v>6</v>
      </c>
      <c r="T126" s="3">
        <v>1</v>
      </c>
      <c r="U126" s="3">
        <v>3</v>
      </c>
      <c r="V126" s="3">
        <v>10</v>
      </c>
      <c r="W126" s="3">
        <v>5</v>
      </c>
      <c r="X126" s="3">
        <v>10</v>
      </c>
      <c r="Y126" s="3">
        <v>1</v>
      </c>
      <c r="Z126" s="3">
        <v>3</v>
      </c>
      <c r="AA126" s="3">
        <v>1</v>
      </c>
      <c r="AB126" s="3">
        <v>10</v>
      </c>
      <c r="AC126" s="3">
        <v>10</v>
      </c>
      <c r="AD126" s="3">
        <v>10</v>
      </c>
      <c r="AE126" s="3">
        <v>10</v>
      </c>
      <c r="AF126" s="3">
        <v>140</v>
      </c>
      <c r="AG126">
        <v>4</v>
      </c>
      <c r="AH126">
        <f>VLOOKUP(A126,Kits!D127:I327,4,FALSE)</f>
        <v>1.3943999999999999</v>
      </c>
      <c r="AI126" s="8">
        <v>4</v>
      </c>
      <c r="AJ126">
        <f t="shared" si="1"/>
        <v>5.5775999999999994</v>
      </c>
      <c r="AK126" t="s">
        <v>401</v>
      </c>
    </row>
    <row r="127" spans="1:37" x14ac:dyDescent="0.2">
      <c r="A127" s="5" t="s">
        <v>79</v>
      </c>
      <c r="B127" s="3">
        <v>15</v>
      </c>
      <c r="C127" s="3">
        <v>1</v>
      </c>
      <c r="D127" s="3">
        <v>3</v>
      </c>
      <c r="E127" s="3">
        <v>4</v>
      </c>
      <c r="F127" s="3">
        <v>2</v>
      </c>
      <c r="G127" s="3">
        <v>2</v>
      </c>
      <c r="H127" s="3">
        <v>1</v>
      </c>
      <c r="I127" s="3">
        <v>5</v>
      </c>
      <c r="J127" s="3">
        <v>15</v>
      </c>
      <c r="K127" s="3">
        <v>1</v>
      </c>
      <c r="L127" s="3">
        <v>3</v>
      </c>
      <c r="M127" s="3">
        <v>1</v>
      </c>
      <c r="N127" s="3">
        <v>1</v>
      </c>
      <c r="O127" s="3">
        <v>6</v>
      </c>
      <c r="P127" s="3">
        <v>15</v>
      </c>
      <c r="Q127" s="3">
        <v>6</v>
      </c>
      <c r="R127" s="3">
        <v>3</v>
      </c>
      <c r="S127" s="3">
        <v>1</v>
      </c>
      <c r="T127" s="3">
        <v>1</v>
      </c>
      <c r="U127" s="3">
        <v>2</v>
      </c>
      <c r="V127" s="3">
        <v>15</v>
      </c>
      <c r="W127" s="3">
        <v>1</v>
      </c>
      <c r="X127" s="3">
        <v>15</v>
      </c>
      <c r="Y127" s="3">
        <v>5</v>
      </c>
      <c r="Z127" s="3">
        <v>3</v>
      </c>
      <c r="AA127" s="3">
        <v>2</v>
      </c>
      <c r="AB127" s="3">
        <v>15</v>
      </c>
      <c r="AC127" s="3">
        <v>15</v>
      </c>
      <c r="AD127" s="3">
        <v>15</v>
      </c>
      <c r="AE127" s="3">
        <v>15</v>
      </c>
      <c r="AF127" s="3">
        <v>189</v>
      </c>
      <c r="AG127">
        <v>-1</v>
      </c>
      <c r="AH127">
        <f>VLOOKUP(A127,Kits!D128:I328,4,FALSE)</f>
        <v>1.9307692307692308</v>
      </c>
      <c r="AI127" s="8">
        <v>0</v>
      </c>
      <c r="AJ127">
        <f t="shared" si="1"/>
        <v>0</v>
      </c>
      <c r="AK127" t="s">
        <v>400</v>
      </c>
    </row>
    <row r="128" spans="1:37" x14ac:dyDescent="0.2">
      <c r="A128" s="5" t="s">
        <v>179</v>
      </c>
      <c r="B128" s="3">
        <v>4</v>
      </c>
      <c r="C128" s="3">
        <v>118</v>
      </c>
      <c r="D128" s="3">
        <v>2</v>
      </c>
      <c r="E128" s="3">
        <v>1</v>
      </c>
      <c r="F128" s="3">
        <v>3</v>
      </c>
      <c r="G128" s="3">
        <v>6</v>
      </c>
      <c r="H128" s="3">
        <v>4</v>
      </c>
      <c r="I128" s="3">
        <v>0</v>
      </c>
      <c r="J128" s="3">
        <v>4</v>
      </c>
      <c r="K128" s="3">
        <v>118</v>
      </c>
      <c r="L128" s="3">
        <v>5</v>
      </c>
      <c r="M128" s="3">
        <v>1</v>
      </c>
      <c r="N128" s="3">
        <v>5</v>
      </c>
      <c r="O128" s="3">
        <v>3</v>
      </c>
      <c r="P128" s="3">
        <v>1</v>
      </c>
      <c r="Q128" s="3">
        <v>0</v>
      </c>
      <c r="R128" s="3">
        <v>12</v>
      </c>
      <c r="S128" s="3">
        <v>5</v>
      </c>
      <c r="T128" s="3">
        <v>0</v>
      </c>
      <c r="U128" s="3">
        <v>5</v>
      </c>
      <c r="V128" s="3">
        <v>1</v>
      </c>
      <c r="W128" s="3">
        <v>0</v>
      </c>
      <c r="X128" s="3">
        <v>4</v>
      </c>
      <c r="Y128" s="3">
        <v>3</v>
      </c>
      <c r="Z128" s="3">
        <v>3</v>
      </c>
      <c r="AA128" s="3">
        <v>12</v>
      </c>
      <c r="AB128" s="3">
        <v>2</v>
      </c>
      <c r="AC128" s="3">
        <v>0</v>
      </c>
      <c r="AD128" s="3">
        <v>12</v>
      </c>
      <c r="AE128" s="3">
        <v>12</v>
      </c>
      <c r="AF128" s="3">
        <v>346</v>
      </c>
      <c r="AG128">
        <v>60</v>
      </c>
      <c r="AH128">
        <f>VLOOKUP(A128,Kits!D129:I329,4,FALSE)</f>
        <v>32.444700000000005</v>
      </c>
      <c r="AI128" s="8">
        <v>60</v>
      </c>
      <c r="AJ128">
        <f t="shared" si="1"/>
        <v>1946.6820000000002</v>
      </c>
      <c r="AK128" t="s">
        <v>401</v>
      </c>
    </row>
    <row r="129" spans="1:37" x14ac:dyDescent="0.2">
      <c r="A129" s="5" t="s">
        <v>222</v>
      </c>
      <c r="B129" s="3">
        <v>1</v>
      </c>
      <c r="C129" s="3">
        <v>118</v>
      </c>
      <c r="D129" s="3">
        <v>1</v>
      </c>
      <c r="E129" s="3">
        <v>1</v>
      </c>
      <c r="F129" s="3">
        <v>3</v>
      </c>
      <c r="G129" s="3">
        <v>3</v>
      </c>
      <c r="H129" s="3">
        <v>4</v>
      </c>
      <c r="I129" s="3">
        <v>1</v>
      </c>
      <c r="J129" s="3">
        <v>1</v>
      </c>
      <c r="K129" s="3">
        <v>118</v>
      </c>
      <c r="L129" s="3">
        <v>1</v>
      </c>
      <c r="M129" s="3">
        <v>2</v>
      </c>
      <c r="N129" s="3">
        <v>5</v>
      </c>
      <c r="O129" s="3">
        <v>3</v>
      </c>
      <c r="P129" s="3">
        <v>1</v>
      </c>
      <c r="Q129" s="3">
        <v>1</v>
      </c>
      <c r="R129" s="3">
        <v>2</v>
      </c>
      <c r="S129" s="3">
        <v>6</v>
      </c>
      <c r="T129" s="3">
        <v>2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2</v>
      </c>
      <c r="AB129" s="3">
        <v>2</v>
      </c>
      <c r="AC129" s="3">
        <v>1</v>
      </c>
      <c r="AD129" s="3">
        <v>2</v>
      </c>
      <c r="AE129" s="3">
        <v>2</v>
      </c>
      <c r="AF129" s="3">
        <v>289</v>
      </c>
      <c r="AG129">
        <v>14</v>
      </c>
      <c r="AH129">
        <f>VLOOKUP(A129,Kits!D130:I330,4,FALSE)</f>
        <v>6.0672999999999995</v>
      </c>
      <c r="AI129" s="8">
        <v>14</v>
      </c>
      <c r="AJ129">
        <f t="shared" si="1"/>
        <v>84.942199999999985</v>
      </c>
      <c r="AK129" t="s">
        <v>401</v>
      </c>
    </row>
    <row r="130" spans="1:37" x14ac:dyDescent="0.2">
      <c r="A130" s="5" t="s">
        <v>218</v>
      </c>
      <c r="B130" s="3">
        <v>3</v>
      </c>
      <c r="C130" s="3">
        <v>3</v>
      </c>
      <c r="D130" s="3">
        <v>4</v>
      </c>
      <c r="E130" s="3">
        <v>6</v>
      </c>
      <c r="F130" s="3">
        <v>1</v>
      </c>
      <c r="G130" s="3">
        <v>1</v>
      </c>
      <c r="H130" s="3">
        <v>3</v>
      </c>
      <c r="I130" s="3">
        <v>1</v>
      </c>
      <c r="J130" s="3">
        <v>3</v>
      </c>
      <c r="K130" s="3">
        <v>3</v>
      </c>
      <c r="L130" s="3">
        <v>2</v>
      </c>
      <c r="M130" s="3">
        <v>6</v>
      </c>
      <c r="N130" s="3">
        <v>1</v>
      </c>
      <c r="O130" s="3">
        <v>1</v>
      </c>
      <c r="P130" s="3">
        <v>3</v>
      </c>
      <c r="Q130" s="3">
        <v>1</v>
      </c>
      <c r="R130" s="3">
        <v>4</v>
      </c>
      <c r="S130" s="3">
        <v>1</v>
      </c>
      <c r="T130" s="3">
        <v>3</v>
      </c>
      <c r="U130" s="3">
        <v>118</v>
      </c>
      <c r="V130" s="3">
        <v>3</v>
      </c>
      <c r="W130" s="3">
        <v>3</v>
      </c>
      <c r="X130" s="3">
        <v>3</v>
      </c>
      <c r="Y130" s="3">
        <v>1</v>
      </c>
      <c r="Z130" s="3">
        <v>1</v>
      </c>
      <c r="AA130" s="3">
        <v>1</v>
      </c>
      <c r="AB130" s="3">
        <v>3</v>
      </c>
      <c r="AC130" s="3">
        <v>3</v>
      </c>
      <c r="AD130" s="3">
        <v>1</v>
      </c>
      <c r="AE130" s="3">
        <v>1</v>
      </c>
      <c r="AF130" s="3">
        <v>188</v>
      </c>
      <c r="AG130">
        <v>16</v>
      </c>
      <c r="AH130">
        <f>VLOOKUP(A130,Kits!D131:I331,4,FALSE)</f>
        <v>7.3454999999999995</v>
      </c>
      <c r="AI130" s="8">
        <v>16</v>
      </c>
      <c r="AJ130">
        <f t="shared" ref="AJ130:AJ167" si="2">AH130*AI130</f>
        <v>117.52799999999999</v>
      </c>
      <c r="AK130" t="s">
        <v>401</v>
      </c>
    </row>
    <row r="131" spans="1:37" x14ac:dyDescent="0.2">
      <c r="A131" s="5" t="s">
        <v>227</v>
      </c>
      <c r="B131" s="3">
        <v>5</v>
      </c>
      <c r="C131" s="3">
        <v>3</v>
      </c>
      <c r="D131" s="3">
        <v>2</v>
      </c>
      <c r="E131" s="3">
        <v>2</v>
      </c>
      <c r="F131" s="3">
        <v>5</v>
      </c>
      <c r="G131" s="3">
        <v>1</v>
      </c>
      <c r="H131" s="3">
        <v>1</v>
      </c>
      <c r="I131" s="3">
        <v>1</v>
      </c>
      <c r="J131" s="3">
        <v>5</v>
      </c>
      <c r="K131" s="3">
        <v>3</v>
      </c>
      <c r="L131" s="3">
        <v>1</v>
      </c>
      <c r="M131" s="3">
        <v>1</v>
      </c>
      <c r="N131" s="3">
        <v>6</v>
      </c>
      <c r="O131" s="3">
        <v>1</v>
      </c>
      <c r="P131" s="3">
        <v>5</v>
      </c>
      <c r="Q131" s="3">
        <v>4</v>
      </c>
      <c r="R131" s="3">
        <v>118</v>
      </c>
      <c r="S131" s="3">
        <v>1</v>
      </c>
      <c r="T131" s="3">
        <v>1</v>
      </c>
      <c r="U131" s="3">
        <v>6</v>
      </c>
      <c r="V131" s="3">
        <v>5</v>
      </c>
      <c r="W131" s="3">
        <v>6</v>
      </c>
      <c r="X131" s="3">
        <v>5</v>
      </c>
      <c r="Y131" s="3">
        <v>1</v>
      </c>
      <c r="Z131" s="3">
        <v>4</v>
      </c>
      <c r="AA131" s="3">
        <v>5</v>
      </c>
      <c r="AB131" s="3">
        <v>1</v>
      </c>
      <c r="AC131" s="3">
        <v>6</v>
      </c>
      <c r="AD131" s="3">
        <v>5</v>
      </c>
      <c r="AE131" s="3">
        <v>5</v>
      </c>
      <c r="AF131" s="3">
        <v>215</v>
      </c>
      <c r="AG131">
        <v>-1</v>
      </c>
      <c r="AH131">
        <f>VLOOKUP(A131,Kits!D132:I332,4,FALSE)</f>
        <v>3.6307692307692312</v>
      </c>
      <c r="AI131" s="8">
        <v>0</v>
      </c>
      <c r="AJ131">
        <f t="shared" si="2"/>
        <v>0</v>
      </c>
      <c r="AK131" t="s">
        <v>400</v>
      </c>
    </row>
    <row r="132" spans="1:37" x14ac:dyDescent="0.2">
      <c r="A132" s="5" t="s">
        <v>169</v>
      </c>
      <c r="B132" s="3">
        <v>1</v>
      </c>
      <c r="C132" s="3">
        <v>3</v>
      </c>
      <c r="D132" s="3">
        <v>6</v>
      </c>
      <c r="E132" s="3">
        <v>1</v>
      </c>
      <c r="F132" s="3">
        <v>118</v>
      </c>
      <c r="G132" s="3">
        <v>1</v>
      </c>
      <c r="H132" s="3">
        <v>1</v>
      </c>
      <c r="I132" s="3">
        <v>0</v>
      </c>
      <c r="J132" s="3">
        <v>1</v>
      </c>
      <c r="K132" s="3">
        <v>3</v>
      </c>
      <c r="L132" s="3">
        <v>1</v>
      </c>
      <c r="M132" s="3">
        <v>5</v>
      </c>
      <c r="N132" s="3">
        <v>3</v>
      </c>
      <c r="O132" s="3">
        <v>1</v>
      </c>
      <c r="P132" s="3">
        <v>1</v>
      </c>
      <c r="Q132" s="3">
        <v>0</v>
      </c>
      <c r="R132" s="3">
        <v>3</v>
      </c>
      <c r="S132" s="3">
        <v>2</v>
      </c>
      <c r="T132" s="3">
        <v>0</v>
      </c>
      <c r="U132" s="3">
        <v>3</v>
      </c>
      <c r="V132" s="3">
        <v>1</v>
      </c>
      <c r="W132" s="3">
        <v>0</v>
      </c>
      <c r="X132" s="3">
        <v>1</v>
      </c>
      <c r="Y132" s="3">
        <v>118</v>
      </c>
      <c r="Z132" s="3">
        <v>118</v>
      </c>
      <c r="AA132" s="3">
        <v>3</v>
      </c>
      <c r="AB132" s="3">
        <v>6</v>
      </c>
      <c r="AC132" s="3">
        <v>0</v>
      </c>
      <c r="AD132" s="3">
        <v>3</v>
      </c>
      <c r="AE132" s="3">
        <v>3</v>
      </c>
      <c r="AF132" s="3">
        <v>407</v>
      </c>
      <c r="AG132">
        <v>147</v>
      </c>
      <c r="AH132">
        <f>VLOOKUP(A132,Kits!D133:I333,4,FALSE)</f>
        <v>26.078600000000002</v>
      </c>
      <c r="AI132" s="8">
        <v>147</v>
      </c>
      <c r="AJ132">
        <f t="shared" si="2"/>
        <v>3833.5542</v>
      </c>
      <c r="AK132" t="s">
        <v>401</v>
      </c>
    </row>
    <row r="133" spans="1:37" x14ac:dyDescent="0.2">
      <c r="A133" s="5" t="s">
        <v>312</v>
      </c>
      <c r="B133" s="3">
        <v>6</v>
      </c>
      <c r="C133" s="3">
        <v>1</v>
      </c>
      <c r="D133" s="3">
        <v>1</v>
      </c>
      <c r="E133" s="3">
        <v>1</v>
      </c>
      <c r="F133" s="3">
        <v>3</v>
      </c>
      <c r="G133" s="3">
        <v>1</v>
      </c>
      <c r="H133" s="3">
        <v>1</v>
      </c>
      <c r="I133" s="3">
        <v>4</v>
      </c>
      <c r="J133" s="3">
        <v>6</v>
      </c>
      <c r="K133" s="3">
        <v>2</v>
      </c>
      <c r="L133" s="3">
        <v>1</v>
      </c>
      <c r="M133" s="3">
        <v>1</v>
      </c>
      <c r="N133" s="3">
        <v>3</v>
      </c>
      <c r="O133" s="3">
        <v>3</v>
      </c>
      <c r="P133" s="3">
        <v>2</v>
      </c>
      <c r="Q133" s="3">
        <v>1</v>
      </c>
      <c r="R133" s="3">
        <v>3</v>
      </c>
      <c r="S133" s="3">
        <v>1</v>
      </c>
      <c r="T133" s="3">
        <v>1</v>
      </c>
      <c r="U133" s="3">
        <v>3</v>
      </c>
      <c r="V133" s="3">
        <v>1</v>
      </c>
      <c r="W133" s="3">
        <v>3</v>
      </c>
      <c r="X133" s="3">
        <v>6</v>
      </c>
      <c r="Y133" s="3">
        <v>1</v>
      </c>
      <c r="Z133" s="3">
        <v>3</v>
      </c>
      <c r="AA133" s="3">
        <v>3</v>
      </c>
      <c r="AB133" s="3">
        <v>3</v>
      </c>
      <c r="AC133" s="3">
        <v>3</v>
      </c>
      <c r="AD133" s="3">
        <v>3</v>
      </c>
      <c r="AE133" s="3">
        <v>3</v>
      </c>
      <c r="AF133" s="3">
        <v>74</v>
      </c>
      <c r="AG133">
        <v>0</v>
      </c>
      <c r="AH133">
        <f>VLOOKUP(A133,Kits!D134:I334,4,FALSE)</f>
        <v>21.040500000000002</v>
      </c>
      <c r="AI133" s="8">
        <v>0</v>
      </c>
      <c r="AJ133">
        <f t="shared" si="2"/>
        <v>0</v>
      </c>
      <c r="AK133" t="s">
        <v>402</v>
      </c>
    </row>
    <row r="134" spans="1:37" x14ac:dyDescent="0.2">
      <c r="A134" s="5" t="s">
        <v>172</v>
      </c>
      <c r="B134" s="3">
        <v>3</v>
      </c>
      <c r="C134" s="3">
        <v>3</v>
      </c>
      <c r="D134" s="3">
        <v>3</v>
      </c>
      <c r="E134" s="3">
        <v>1</v>
      </c>
      <c r="F134" s="3">
        <v>1</v>
      </c>
      <c r="G134" s="3">
        <v>1</v>
      </c>
      <c r="H134" s="3">
        <v>3</v>
      </c>
      <c r="I134" s="3">
        <v>0</v>
      </c>
      <c r="J134" s="3">
        <v>3</v>
      </c>
      <c r="K134" s="3">
        <v>3</v>
      </c>
      <c r="L134" s="3">
        <v>1</v>
      </c>
      <c r="M134" s="3">
        <v>1</v>
      </c>
      <c r="N134" s="3">
        <v>1</v>
      </c>
      <c r="O134" s="3">
        <v>2</v>
      </c>
      <c r="P134" s="3">
        <v>3</v>
      </c>
      <c r="Q134" s="3">
        <v>0</v>
      </c>
      <c r="R134" s="3">
        <v>2</v>
      </c>
      <c r="S134" s="3">
        <v>5</v>
      </c>
      <c r="T134" s="3">
        <v>0</v>
      </c>
      <c r="U134" s="3">
        <v>1</v>
      </c>
      <c r="V134" s="3">
        <v>3</v>
      </c>
      <c r="W134" s="3">
        <v>0</v>
      </c>
      <c r="X134" s="3">
        <v>3</v>
      </c>
      <c r="Y134" s="3">
        <v>1</v>
      </c>
      <c r="Z134" s="3">
        <v>1</v>
      </c>
      <c r="AA134" s="3">
        <v>1</v>
      </c>
      <c r="AB134" s="3">
        <v>3</v>
      </c>
      <c r="AC134" s="3">
        <v>0</v>
      </c>
      <c r="AD134" s="3">
        <v>1</v>
      </c>
      <c r="AE134" s="3">
        <v>1</v>
      </c>
      <c r="AF134" s="3">
        <v>51</v>
      </c>
      <c r="AG134">
        <v>4</v>
      </c>
      <c r="AH134">
        <f>VLOOKUP(A134,Kits!D135:I335,4,FALSE)</f>
        <v>158.41380000000001</v>
      </c>
      <c r="AI134" s="8">
        <v>4</v>
      </c>
      <c r="AJ134">
        <f t="shared" si="2"/>
        <v>633.65520000000004</v>
      </c>
      <c r="AK134" t="s">
        <v>401</v>
      </c>
    </row>
    <row r="135" spans="1:37" x14ac:dyDescent="0.2">
      <c r="A135" s="5" t="s">
        <v>274</v>
      </c>
      <c r="B135" s="3">
        <v>5</v>
      </c>
      <c r="C135" s="3">
        <v>7</v>
      </c>
      <c r="D135" s="3">
        <v>2</v>
      </c>
      <c r="E135" s="3">
        <v>7</v>
      </c>
      <c r="F135" s="3">
        <v>8</v>
      </c>
      <c r="G135" s="3">
        <v>2</v>
      </c>
      <c r="H135" s="3">
        <v>7</v>
      </c>
      <c r="I135" s="3">
        <v>8</v>
      </c>
      <c r="J135" s="3">
        <v>5</v>
      </c>
      <c r="K135" s="3">
        <v>2</v>
      </c>
      <c r="L135" s="3">
        <v>4</v>
      </c>
      <c r="M135" s="3">
        <v>4</v>
      </c>
      <c r="N135" s="3">
        <v>2</v>
      </c>
      <c r="O135" s="3">
        <v>6</v>
      </c>
      <c r="P135" s="3">
        <v>2</v>
      </c>
      <c r="Q135" s="3">
        <v>2</v>
      </c>
      <c r="R135" s="3">
        <v>5</v>
      </c>
      <c r="S135" s="3">
        <v>4</v>
      </c>
      <c r="T135" s="3">
        <v>4</v>
      </c>
      <c r="U135" s="3">
        <v>2</v>
      </c>
      <c r="V135" s="3">
        <v>5</v>
      </c>
      <c r="W135" s="3">
        <v>2</v>
      </c>
      <c r="X135" s="3">
        <v>5</v>
      </c>
      <c r="Y135" s="3">
        <v>8</v>
      </c>
      <c r="Z135" s="3">
        <v>8</v>
      </c>
      <c r="AA135" s="3">
        <v>2</v>
      </c>
      <c r="AB135" s="3">
        <v>5</v>
      </c>
      <c r="AC135" s="3">
        <v>2</v>
      </c>
      <c r="AD135" s="3">
        <v>2</v>
      </c>
      <c r="AE135" s="3">
        <v>2</v>
      </c>
      <c r="AF135" s="3">
        <v>129</v>
      </c>
      <c r="AG135">
        <v>4</v>
      </c>
      <c r="AH135">
        <f>VLOOKUP(A135,Kits!D136:I336,4,FALSE)</f>
        <v>149.23091903999997</v>
      </c>
      <c r="AI135" s="8">
        <v>4</v>
      </c>
      <c r="AJ135">
        <f t="shared" si="2"/>
        <v>596.9236761599999</v>
      </c>
      <c r="AK135" t="s">
        <v>401</v>
      </c>
    </row>
    <row r="136" spans="1:37" x14ac:dyDescent="0.2">
      <c r="A136" s="5" t="s">
        <v>272</v>
      </c>
      <c r="B136" s="3">
        <v>2</v>
      </c>
      <c r="C136" s="3">
        <v>8</v>
      </c>
      <c r="D136" s="3">
        <v>7</v>
      </c>
      <c r="E136" s="3">
        <v>5</v>
      </c>
      <c r="F136" s="3">
        <v>2</v>
      </c>
      <c r="G136" s="3">
        <v>4</v>
      </c>
      <c r="H136" s="3">
        <v>4</v>
      </c>
      <c r="I136" s="3">
        <v>2</v>
      </c>
      <c r="J136" s="3">
        <v>2</v>
      </c>
      <c r="K136" s="3">
        <v>9</v>
      </c>
      <c r="L136" s="3">
        <v>6</v>
      </c>
      <c r="M136" s="3">
        <v>2</v>
      </c>
      <c r="N136" s="3">
        <v>7</v>
      </c>
      <c r="O136" s="3">
        <v>2</v>
      </c>
      <c r="P136" s="3">
        <v>4</v>
      </c>
      <c r="Q136" s="3">
        <v>4</v>
      </c>
      <c r="R136" s="3">
        <v>10</v>
      </c>
      <c r="S136" s="3">
        <v>2</v>
      </c>
      <c r="T136" s="3">
        <v>2</v>
      </c>
      <c r="U136" s="3">
        <v>7</v>
      </c>
      <c r="V136" s="3">
        <v>4</v>
      </c>
      <c r="W136" s="3">
        <v>7</v>
      </c>
      <c r="X136" s="3">
        <v>2</v>
      </c>
      <c r="Y136" s="3">
        <v>2</v>
      </c>
      <c r="Z136" s="3">
        <v>2</v>
      </c>
      <c r="AA136" s="3">
        <v>2</v>
      </c>
      <c r="AB136" s="3">
        <v>4</v>
      </c>
      <c r="AC136" s="3">
        <v>7</v>
      </c>
      <c r="AD136" s="3">
        <v>2</v>
      </c>
      <c r="AE136" s="3">
        <v>2</v>
      </c>
      <c r="AF136" s="3">
        <v>125</v>
      </c>
      <c r="AG136">
        <v>2</v>
      </c>
      <c r="AH136">
        <f>VLOOKUP(A136,Kits!D137:I337,4,FALSE)</f>
        <v>170.11122239999997</v>
      </c>
      <c r="AI136" s="8">
        <v>2</v>
      </c>
      <c r="AJ136">
        <f t="shared" si="2"/>
        <v>340.22244479999995</v>
      </c>
      <c r="AK136" t="s">
        <v>401</v>
      </c>
    </row>
    <row r="137" spans="1:37" x14ac:dyDescent="0.2">
      <c r="A137" s="5" t="s">
        <v>305</v>
      </c>
      <c r="B137" s="3">
        <v>4</v>
      </c>
      <c r="C137" s="3">
        <v>118</v>
      </c>
      <c r="D137" s="3">
        <v>5</v>
      </c>
      <c r="E137" s="3">
        <v>1</v>
      </c>
      <c r="F137" s="3">
        <v>3</v>
      </c>
      <c r="G137" s="3">
        <v>6</v>
      </c>
      <c r="H137" s="3">
        <v>1</v>
      </c>
      <c r="I137" s="3">
        <v>5</v>
      </c>
      <c r="J137" s="3">
        <v>4</v>
      </c>
      <c r="K137" s="3">
        <v>1</v>
      </c>
      <c r="L137" s="3">
        <v>1</v>
      </c>
      <c r="M137" s="3">
        <v>2</v>
      </c>
      <c r="N137" s="3">
        <v>1</v>
      </c>
      <c r="O137" s="3">
        <v>2</v>
      </c>
      <c r="P137" s="3">
        <v>2</v>
      </c>
      <c r="Q137" s="3">
        <v>6</v>
      </c>
      <c r="R137" s="3">
        <v>1</v>
      </c>
      <c r="S137" s="3">
        <v>6</v>
      </c>
      <c r="T137" s="3">
        <v>3</v>
      </c>
      <c r="U137" s="3">
        <v>1</v>
      </c>
      <c r="V137" s="3">
        <v>1</v>
      </c>
      <c r="W137" s="3">
        <v>2</v>
      </c>
      <c r="X137" s="3">
        <v>4</v>
      </c>
      <c r="Y137" s="3">
        <v>3</v>
      </c>
      <c r="Z137" s="3">
        <v>3</v>
      </c>
      <c r="AA137" s="3">
        <v>2</v>
      </c>
      <c r="AB137" s="3">
        <v>2</v>
      </c>
      <c r="AC137" s="3">
        <v>2</v>
      </c>
      <c r="AD137" s="3">
        <v>2</v>
      </c>
      <c r="AE137" s="3">
        <v>2</v>
      </c>
      <c r="AF137" s="3">
        <v>196</v>
      </c>
      <c r="AG137">
        <v>8</v>
      </c>
      <c r="AH137">
        <f>VLOOKUP(A137,Kits!D138:I338,4,FALSE)</f>
        <v>71.189099999999996</v>
      </c>
      <c r="AI137" s="8">
        <v>8</v>
      </c>
      <c r="AJ137">
        <f t="shared" si="2"/>
        <v>569.51279999999997</v>
      </c>
      <c r="AK137" t="s">
        <v>401</v>
      </c>
    </row>
    <row r="138" spans="1:37" x14ac:dyDescent="0.2">
      <c r="A138" s="5" t="s">
        <v>295</v>
      </c>
      <c r="B138" s="3">
        <v>5</v>
      </c>
      <c r="C138" s="3">
        <v>1</v>
      </c>
      <c r="D138" s="3">
        <v>1</v>
      </c>
      <c r="E138" s="3">
        <v>2</v>
      </c>
      <c r="F138" s="3">
        <v>5</v>
      </c>
      <c r="G138" s="3">
        <v>1</v>
      </c>
      <c r="H138" s="3">
        <v>6</v>
      </c>
      <c r="I138" s="3">
        <v>1</v>
      </c>
      <c r="J138" s="3">
        <v>5</v>
      </c>
      <c r="K138" s="3">
        <v>3</v>
      </c>
      <c r="L138" s="3">
        <v>1</v>
      </c>
      <c r="M138" s="3">
        <v>1</v>
      </c>
      <c r="N138" s="3">
        <v>1</v>
      </c>
      <c r="O138" s="3">
        <v>108</v>
      </c>
      <c r="P138" s="3">
        <v>3</v>
      </c>
      <c r="Q138" s="3">
        <v>1</v>
      </c>
      <c r="R138" s="3">
        <v>1</v>
      </c>
      <c r="S138" s="3">
        <v>1</v>
      </c>
      <c r="T138" s="3">
        <v>3</v>
      </c>
      <c r="U138" s="3">
        <v>1</v>
      </c>
      <c r="V138" s="3">
        <v>6</v>
      </c>
      <c r="W138" s="3">
        <v>108</v>
      </c>
      <c r="X138" s="3">
        <v>5</v>
      </c>
      <c r="Y138" s="3">
        <v>2</v>
      </c>
      <c r="Z138" s="3">
        <v>5</v>
      </c>
      <c r="AA138" s="3">
        <v>108</v>
      </c>
      <c r="AB138" s="3">
        <v>108</v>
      </c>
      <c r="AC138" s="3">
        <v>108</v>
      </c>
      <c r="AD138" s="3">
        <v>108</v>
      </c>
      <c r="AE138" s="3">
        <v>108</v>
      </c>
      <c r="AF138" s="3">
        <v>817</v>
      </c>
      <c r="AG138">
        <v>508</v>
      </c>
      <c r="AH138">
        <f>VLOOKUP(A138,Kits!D139:I339,4,FALSE)</f>
        <v>54.886930560000003</v>
      </c>
      <c r="AI138" s="8">
        <v>508</v>
      </c>
      <c r="AJ138">
        <f t="shared" si="2"/>
        <v>27882.560724480001</v>
      </c>
      <c r="AK138" t="s">
        <v>401</v>
      </c>
    </row>
    <row r="139" spans="1:37" x14ac:dyDescent="0.2">
      <c r="A139" s="5" t="s">
        <v>139</v>
      </c>
      <c r="B139" s="3">
        <v>1</v>
      </c>
      <c r="C139" s="3">
        <v>3</v>
      </c>
      <c r="D139" s="3">
        <v>1</v>
      </c>
      <c r="E139" s="3">
        <v>2</v>
      </c>
      <c r="F139" s="3">
        <v>1</v>
      </c>
      <c r="G139" s="3">
        <v>5</v>
      </c>
      <c r="H139" s="3">
        <v>1</v>
      </c>
      <c r="I139" s="3">
        <v>2</v>
      </c>
      <c r="J139" s="3">
        <v>1</v>
      </c>
      <c r="K139" s="3">
        <v>3</v>
      </c>
      <c r="L139" s="3">
        <v>3</v>
      </c>
      <c r="M139" s="3">
        <v>6</v>
      </c>
      <c r="N139" s="3">
        <v>4</v>
      </c>
      <c r="O139" s="3">
        <v>1</v>
      </c>
      <c r="P139" s="3">
        <v>1</v>
      </c>
      <c r="Q139" s="3">
        <v>5</v>
      </c>
      <c r="R139" s="3">
        <v>1</v>
      </c>
      <c r="S139" s="3">
        <v>1</v>
      </c>
      <c r="T139" s="3">
        <v>2</v>
      </c>
      <c r="U139" s="3">
        <v>4</v>
      </c>
      <c r="V139" s="3">
        <v>1</v>
      </c>
      <c r="W139" s="3">
        <v>118</v>
      </c>
      <c r="X139" s="3">
        <v>1</v>
      </c>
      <c r="Y139" s="3">
        <v>1</v>
      </c>
      <c r="Z139" s="3">
        <v>1</v>
      </c>
      <c r="AA139" s="3">
        <v>2</v>
      </c>
      <c r="AB139" s="3">
        <v>3</v>
      </c>
      <c r="AC139" s="3">
        <v>118</v>
      </c>
      <c r="AD139" s="3">
        <v>2</v>
      </c>
      <c r="AE139" s="3">
        <v>2</v>
      </c>
      <c r="AF139" s="3">
        <v>297</v>
      </c>
      <c r="AG139">
        <v>9</v>
      </c>
      <c r="AH139">
        <f>VLOOKUP(A139,Kits!D140:I340,4,FALSE)</f>
        <v>2054.4575</v>
      </c>
      <c r="AI139" s="8">
        <v>9</v>
      </c>
      <c r="AJ139">
        <f t="shared" si="2"/>
        <v>18490.1175</v>
      </c>
      <c r="AK139" t="s">
        <v>401</v>
      </c>
    </row>
    <row r="140" spans="1:37" x14ac:dyDescent="0.2">
      <c r="A140" s="5" t="s">
        <v>255</v>
      </c>
      <c r="B140" s="3">
        <v>5</v>
      </c>
      <c r="C140" s="3">
        <v>1</v>
      </c>
      <c r="D140" s="3">
        <v>1</v>
      </c>
      <c r="E140" s="3">
        <v>2</v>
      </c>
      <c r="F140" s="3">
        <v>5</v>
      </c>
      <c r="G140" s="3">
        <v>1</v>
      </c>
      <c r="H140" s="3">
        <v>6</v>
      </c>
      <c r="I140" s="3">
        <v>1</v>
      </c>
      <c r="J140" s="3">
        <v>5</v>
      </c>
      <c r="K140" s="3">
        <v>3</v>
      </c>
      <c r="L140" s="3">
        <v>118</v>
      </c>
      <c r="M140" s="3">
        <v>2</v>
      </c>
      <c r="N140" s="3">
        <v>1</v>
      </c>
      <c r="O140" s="3">
        <v>1</v>
      </c>
      <c r="P140" s="3">
        <v>3</v>
      </c>
      <c r="Q140" s="3">
        <v>1</v>
      </c>
      <c r="R140" s="3">
        <v>1</v>
      </c>
      <c r="S140" s="3">
        <v>1</v>
      </c>
      <c r="T140" s="3">
        <v>3</v>
      </c>
      <c r="U140" s="3">
        <v>1</v>
      </c>
      <c r="V140" s="3">
        <v>0</v>
      </c>
      <c r="W140" s="3">
        <v>0</v>
      </c>
      <c r="X140" s="3">
        <v>6</v>
      </c>
      <c r="Y140" s="3">
        <v>5</v>
      </c>
      <c r="Z140" s="3">
        <v>5</v>
      </c>
      <c r="AA140" s="3">
        <v>1</v>
      </c>
      <c r="AB140" s="3">
        <v>1</v>
      </c>
      <c r="AC140" s="3">
        <v>0</v>
      </c>
      <c r="AD140" s="3">
        <v>0</v>
      </c>
      <c r="AE140" s="3">
        <v>1</v>
      </c>
      <c r="AF140" s="3">
        <v>181</v>
      </c>
      <c r="AG140">
        <v>-1</v>
      </c>
      <c r="AH140">
        <f>VLOOKUP(A140,Kits!D141:I341,4,FALSE)</f>
        <v>18546.094615384613</v>
      </c>
      <c r="AI140" s="8">
        <v>0</v>
      </c>
      <c r="AJ140">
        <f t="shared" si="2"/>
        <v>0</v>
      </c>
      <c r="AK140" t="s">
        <v>400</v>
      </c>
    </row>
    <row r="141" spans="1:37" x14ac:dyDescent="0.2">
      <c r="A141" s="5" t="s">
        <v>257</v>
      </c>
      <c r="B141" s="3">
        <v>1</v>
      </c>
      <c r="C141" s="3">
        <v>5</v>
      </c>
      <c r="D141" s="3">
        <v>1</v>
      </c>
      <c r="E141" s="3">
        <v>3</v>
      </c>
      <c r="F141" s="3">
        <v>1</v>
      </c>
      <c r="G141" s="3">
        <v>1</v>
      </c>
      <c r="H141" s="3">
        <v>6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3</v>
      </c>
      <c r="O141" s="3">
        <v>1</v>
      </c>
      <c r="P141" s="3">
        <v>1</v>
      </c>
      <c r="Q141" s="3">
        <v>4</v>
      </c>
      <c r="R141" s="3">
        <v>6</v>
      </c>
      <c r="S141" s="3">
        <v>4</v>
      </c>
      <c r="T141" s="3">
        <v>4</v>
      </c>
      <c r="U141" s="3">
        <v>1</v>
      </c>
      <c r="V141" s="3">
        <v>6</v>
      </c>
      <c r="W141" s="3">
        <v>1</v>
      </c>
      <c r="X141" s="3">
        <v>6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67</v>
      </c>
      <c r="AG141">
        <v>-1</v>
      </c>
      <c r="AH141">
        <f>VLOOKUP(A141,Kits!D142:I342,4,FALSE)</f>
        <v>3325.9759999999997</v>
      </c>
      <c r="AI141" s="8">
        <v>0</v>
      </c>
      <c r="AJ141">
        <f t="shared" si="2"/>
        <v>0</v>
      </c>
      <c r="AK141" t="s">
        <v>400</v>
      </c>
    </row>
    <row r="142" spans="1:37" x14ac:dyDescent="0.2">
      <c r="A142" s="5" t="s">
        <v>259</v>
      </c>
      <c r="B142" s="3">
        <v>1</v>
      </c>
      <c r="C142" s="3">
        <v>5</v>
      </c>
      <c r="D142" s="3">
        <v>3</v>
      </c>
      <c r="E142" s="3">
        <v>1</v>
      </c>
      <c r="F142" s="3">
        <v>2</v>
      </c>
      <c r="G142" s="3">
        <v>5</v>
      </c>
      <c r="H142" s="3">
        <v>3</v>
      </c>
      <c r="I142" s="3">
        <v>1</v>
      </c>
      <c r="J142" s="3">
        <v>1</v>
      </c>
      <c r="K142" s="3">
        <v>6</v>
      </c>
      <c r="L142" s="3">
        <v>4</v>
      </c>
      <c r="M142" s="3">
        <v>3</v>
      </c>
      <c r="N142" s="3">
        <v>4</v>
      </c>
      <c r="O142" s="3">
        <v>1</v>
      </c>
      <c r="P142" s="3">
        <v>3</v>
      </c>
      <c r="Q142" s="3">
        <v>2</v>
      </c>
      <c r="R142" s="3">
        <v>6</v>
      </c>
      <c r="S142" s="3">
        <v>2</v>
      </c>
      <c r="T142" s="3">
        <v>1</v>
      </c>
      <c r="U142" s="3">
        <v>1</v>
      </c>
      <c r="V142" s="3">
        <v>3</v>
      </c>
      <c r="W142" s="3">
        <v>1</v>
      </c>
      <c r="X142" s="3">
        <v>3</v>
      </c>
      <c r="Y142" s="3">
        <v>2</v>
      </c>
      <c r="Z142" s="3">
        <v>2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71</v>
      </c>
      <c r="AG142">
        <v>-1</v>
      </c>
      <c r="AH142">
        <f>VLOOKUP(A142,Kits!D143:I343,4,FALSE)</f>
        <v>3325.9759999999997</v>
      </c>
      <c r="AI142" s="8">
        <v>0</v>
      </c>
      <c r="AJ142">
        <f t="shared" si="2"/>
        <v>0</v>
      </c>
      <c r="AK142" t="s">
        <v>400</v>
      </c>
    </row>
    <row r="143" spans="1:37" x14ac:dyDescent="0.2">
      <c r="A143" s="5" t="s">
        <v>264</v>
      </c>
      <c r="B143" s="3">
        <v>1</v>
      </c>
      <c r="C143" s="3">
        <v>1</v>
      </c>
      <c r="D143" s="3">
        <v>1</v>
      </c>
      <c r="E143" s="3">
        <v>1</v>
      </c>
      <c r="F143" s="3">
        <v>3</v>
      </c>
      <c r="G143" s="3">
        <v>1</v>
      </c>
      <c r="H143" s="3">
        <v>2</v>
      </c>
      <c r="I143" s="3">
        <v>6</v>
      </c>
      <c r="J143" s="3">
        <v>1</v>
      </c>
      <c r="K143" s="3">
        <v>6</v>
      </c>
      <c r="L143" s="3">
        <v>2</v>
      </c>
      <c r="M143" s="3">
        <v>1</v>
      </c>
      <c r="N143" s="3">
        <v>1</v>
      </c>
      <c r="O143" s="3">
        <v>1</v>
      </c>
      <c r="P143" s="3">
        <v>4</v>
      </c>
      <c r="Q143" s="3">
        <v>3</v>
      </c>
      <c r="R143" s="3">
        <v>3</v>
      </c>
      <c r="S143" s="3">
        <v>3</v>
      </c>
      <c r="T143" s="3">
        <v>1</v>
      </c>
      <c r="U143" s="3">
        <v>1</v>
      </c>
      <c r="V143" s="3">
        <v>2</v>
      </c>
      <c r="W143" s="3">
        <v>1</v>
      </c>
      <c r="X143" s="3">
        <v>1</v>
      </c>
      <c r="Y143" s="3">
        <v>3</v>
      </c>
      <c r="Z143" s="3">
        <v>3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58</v>
      </c>
      <c r="AG143">
        <v>-1</v>
      </c>
      <c r="AH143">
        <f>VLOOKUP(A143,Kits!D144:I344,4,FALSE)</f>
        <v>3466.73123076923</v>
      </c>
      <c r="AI143" s="8">
        <v>0</v>
      </c>
      <c r="AJ143">
        <f t="shared" si="2"/>
        <v>0</v>
      </c>
      <c r="AK143" t="s">
        <v>400</v>
      </c>
    </row>
    <row r="144" spans="1:37" x14ac:dyDescent="0.2">
      <c r="A144" s="5" t="s">
        <v>262</v>
      </c>
      <c r="B144" s="3">
        <v>5</v>
      </c>
      <c r="C144" s="3">
        <v>1</v>
      </c>
      <c r="D144" s="3">
        <v>6</v>
      </c>
      <c r="E144" s="3">
        <v>3</v>
      </c>
      <c r="F144" s="3">
        <v>1</v>
      </c>
      <c r="G144" s="3">
        <v>2</v>
      </c>
      <c r="H144" s="3">
        <v>1</v>
      </c>
      <c r="I144" s="3">
        <v>6</v>
      </c>
      <c r="J144" s="3">
        <v>5</v>
      </c>
      <c r="K144" s="3">
        <v>3</v>
      </c>
      <c r="L144" s="3">
        <v>3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2</v>
      </c>
      <c r="S144" s="3">
        <v>1</v>
      </c>
      <c r="T144" s="3">
        <v>5</v>
      </c>
      <c r="U144" s="3">
        <v>1</v>
      </c>
      <c r="V144" s="3">
        <v>1</v>
      </c>
      <c r="W144" s="3">
        <v>1</v>
      </c>
      <c r="X144" s="3">
        <v>5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64</v>
      </c>
      <c r="AG144">
        <v>-1</v>
      </c>
      <c r="AH144">
        <f>VLOOKUP(A144,Kits!D145:I345,4,FALSE)</f>
        <v>3207.1966153846147</v>
      </c>
      <c r="AI144" s="8">
        <v>0</v>
      </c>
      <c r="AJ144">
        <f t="shared" si="2"/>
        <v>0</v>
      </c>
      <c r="AK144" t="s">
        <v>400</v>
      </c>
    </row>
    <row r="145" spans="1:37" x14ac:dyDescent="0.2">
      <c r="A145" s="5" t="s">
        <v>260</v>
      </c>
      <c r="B145" s="3">
        <v>1</v>
      </c>
      <c r="C145" s="3">
        <v>1</v>
      </c>
      <c r="D145" s="3">
        <v>6</v>
      </c>
      <c r="E145" s="3">
        <v>1</v>
      </c>
      <c r="F145" s="3">
        <v>1</v>
      </c>
      <c r="G145" s="3">
        <v>3</v>
      </c>
      <c r="H145" s="3">
        <v>3</v>
      </c>
      <c r="I145" s="3">
        <v>3</v>
      </c>
      <c r="J145" s="3">
        <v>1</v>
      </c>
      <c r="K145" s="3">
        <v>2</v>
      </c>
      <c r="L145" s="3">
        <v>1</v>
      </c>
      <c r="M145" s="3">
        <v>118</v>
      </c>
      <c r="N145" s="3">
        <v>5</v>
      </c>
      <c r="O145" s="3">
        <v>1</v>
      </c>
      <c r="P145" s="3">
        <v>1</v>
      </c>
      <c r="Q145" s="3">
        <v>3</v>
      </c>
      <c r="R145" s="3">
        <v>1</v>
      </c>
      <c r="S145" s="3">
        <v>3</v>
      </c>
      <c r="T145" s="3">
        <v>5</v>
      </c>
      <c r="U145" s="3">
        <v>1</v>
      </c>
      <c r="V145" s="3">
        <v>3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173</v>
      </c>
      <c r="AG145">
        <v>-1</v>
      </c>
      <c r="AH145">
        <f>VLOOKUP(A145,Kits!D146:I346,4,FALSE)</f>
        <v>2908.2944615384613</v>
      </c>
      <c r="AI145" s="8">
        <v>0</v>
      </c>
      <c r="AJ145">
        <f t="shared" si="2"/>
        <v>0</v>
      </c>
      <c r="AK145" t="s">
        <v>400</v>
      </c>
    </row>
    <row r="146" spans="1:37" x14ac:dyDescent="0.2">
      <c r="A146" s="5" t="s">
        <v>253</v>
      </c>
      <c r="B146" s="3">
        <v>5</v>
      </c>
      <c r="C146" s="3">
        <v>1</v>
      </c>
      <c r="D146" s="3">
        <v>3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5</v>
      </c>
      <c r="K146" s="3">
        <v>1</v>
      </c>
      <c r="L146" s="3">
        <v>1</v>
      </c>
      <c r="M146" s="3">
        <v>3</v>
      </c>
      <c r="N146" s="3">
        <v>3</v>
      </c>
      <c r="O146" s="3">
        <v>1</v>
      </c>
      <c r="P146" s="3">
        <v>2</v>
      </c>
      <c r="Q146" s="3">
        <v>0</v>
      </c>
      <c r="R146" s="3">
        <v>3</v>
      </c>
      <c r="S146" s="3">
        <v>118</v>
      </c>
      <c r="T146" s="3">
        <v>0</v>
      </c>
      <c r="U146" s="3">
        <v>0</v>
      </c>
      <c r="V146" s="3">
        <v>0</v>
      </c>
      <c r="W146" s="3">
        <v>1</v>
      </c>
      <c r="X146" s="3">
        <v>1</v>
      </c>
      <c r="Y146" s="3">
        <v>0</v>
      </c>
      <c r="Z146" s="3">
        <v>1</v>
      </c>
      <c r="AA146" s="3">
        <v>0</v>
      </c>
      <c r="AB146" s="3">
        <v>1</v>
      </c>
      <c r="AC146" s="3">
        <v>0</v>
      </c>
      <c r="AD146" s="3">
        <v>0</v>
      </c>
      <c r="AE146" s="3">
        <v>1</v>
      </c>
      <c r="AF146" s="3">
        <v>156</v>
      </c>
      <c r="AG146">
        <v>-1</v>
      </c>
      <c r="AH146">
        <f>VLOOKUP(A146,Kits!D147:I347,4,FALSE)</f>
        <v>21043.67953846154</v>
      </c>
      <c r="AI146" s="8">
        <v>0</v>
      </c>
      <c r="AJ146">
        <f t="shared" si="2"/>
        <v>0</v>
      </c>
      <c r="AK146" t="s">
        <v>400</v>
      </c>
    </row>
    <row r="147" spans="1:37" x14ac:dyDescent="0.2">
      <c r="A147" s="5" t="s">
        <v>267</v>
      </c>
      <c r="B147" s="3">
        <v>2</v>
      </c>
      <c r="C147" s="3">
        <v>5</v>
      </c>
      <c r="D147" s="3">
        <v>3</v>
      </c>
      <c r="E147" s="3">
        <v>6</v>
      </c>
      <c r="F147" s="3">
        <v>3</v>
      </c>
      <c r="G147" s="3">
        <v>1</v>
      </c>
      <c r="H147" s="3">
        <v>1</v>
      </c>
      <c r="I147" s="3">
        <v>2</v>
      </c>
      <c r="J147" s="3">
        <v>2</v>
      </c>
      <c r="K147" s="3">
        <v>1</v>
      </c>
      <c r="L147" s="3">
        <v>3</v>
      </c>
      <c r="M147" s="3">
        <v>1</v>
      </c>
      <c r="N147" s="3">
        <v>5</v>
      </c>
      <c r="O147" s="3">
        <v>1</v>
      </c>
      <c r="P147" s="3">
        <v>5</v>
      </c>
      <c r="Q147" s="3">
        <v>4</v>
      </c>
      <c r="R147" s="3">
        <v>3</v>
      </c>
      <c r="S147" s="3">
        <v>4</v>
      </c>
      <c r="T147" s="3">
        <v>1</v>
      </c>
      <c r="U147" s="3">
        <v>1</v>
      </c>
      <c r="V147" s="3">
        <v>1</v>
      </c>
      <c r="W147" s="3">
        <v>1</v>
      </c>
      <c r="X147" s="3">
        <v>2</v>
      </c>
      <c r="Y147" s="3">
        <v>3</v>
      </c>
      <c r="Z147" s="3">
        <v>3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69</v>
      </c>
      <c r="AG147">
        <v>-1</v>
      </c>
      <c r="AH147">
        <f>VLOOKUP(A147,Kits!D148:I348,4,FALSE)</f>
        <v>84863.132923076919</v>
      </c>
      <c r="AI147" s="8">
        <v>0</v>
      </c>
      <c r="AJ147">
        <f t="shared" si="2"/>
        <v>0</v>
      </c>
      <c r="AK147" t="s">
        <v>400</v>
      </c>
    </row>
    <row r="148" spans="1:37" x14ac:dyDescent="0.2">
      <c r="A148" s="5" t="s">
        <v>244</v>
      </c>
      <c r="B148" s="3">
        <v>4</v>
      </c>
      <c r="C148" s="3">
        <v>5</v>
      </c>
      <c r="D148" s="3">
        <v>1</v>
      </c>
      <c r="E148" s="3">
        <v>6</v>
      </c>
      <c r="F148" s="3">
        <v>4</v>
      </c>
      <c r="G148" s="3">
        <v>1</v>
      </c>
      <c r="H148" s="3">
        <v>2</v>
      </c>
      <c r="I148" s="3">
        <v>1</v>
      </c>
      <c r="J148" s="3">
        <v>4</v>
      </c>
      <c r="K148" s="3">
        <v>5</v>
      </c>
      <c r="L148" s="3">
        <v>3</v>
      </c>
      <c r="M148" s="3">
        <v>3</v>
      </c>
      <c r="N148" s="3">
        <v>1</v>
      </c>
      <c r="O148" s="3">
        <v>1</v>
      </c>
      <c r="P148" s="3">
        <v>4</v>
      </c>
      <c r="Q148" s="3">
        <v>1</v>
      </c>
      <c r="R148" s="3">
        <v>3</v>
      </c>
      <c r="S148" s="3">
        <v>4</v>
      </c>
      <c r="T148" s="3">
        <v>1</v>
      </c>
      <c r="U148" s="3">
        <v>5</v>
      </c>
      <c r="V148" s="3">
        <v>4</v>
      </c>
      <c r="W148" s="3">
        <v>1</v>
      </c>
      <c r="X148" s="3">
        <v>4</v>
      </c>
      <c r="Y148" s="3">
        <v>1</v>
      </c>
      <c r="Z148" s="3">
        <v>1</v>
      </c>
      <c r="AA148" s="3">
        <v>4</v>
      </c>
      <c r="AB148" s="3">
        <v>4</v>
      </c>
      <c r="AC148" s="3">
        <v>4</v>
      </c>
      <c r="AD148" s="3">
        <v>4</v>
      </c>
      <c r="AE148" s="3">
        <v>4</v>
      </c>
      <c r="AF148" s="3">
        <v>90</v>
      </c>
      <c r="AG148">
        <v>-1</v>
      </c>
      <c r="AH148">
        <f>VLOOKUP(A148,Kits!D149:I349,4,FALSE)</f>
        <v>18.643076923076922</v>
      </c>
      <c r="AI148" s="8">
        <v>0</v>
      </c>
      <c r="AJ148">
        <f t="shared" si="2"/>
        <v>0</v>
      </c>
      <c r="AK148" t="s">
        <v>400</v>
      </c>
    </row>
    <row r="149" spans="1:37" x14ac:dyDescent="0.2">
      <c r="A149" s="5" t="s">
        <v>236</v>
      </c>
      <c r="B149" s="3">
        <v>6</v>
      </c>
      <c r="C149" s="3">
        <v>1</v>
      </c>
      <c r="D149" s="3">
        <v>2</v>
      </c>
      <c r="E149" s="3">
        <v>1</v>
      </c>
      <c r="F149" s="3">
        <v>3</v>
      </c>
      <c r="G149" s="3">
        <v>6</v>
      </c>
      <c r="H149" s="3">
        <v>3</v>
      </c>
      <c r="I149" s="3">
        <v>118</v>
      </c>
      <c r="J149" s="3">
        <v>6</v>
      </c>
      <c r="K149" s="3">
        <v>1</v>
      </c>
      <c r="L149" s="3">
        <v>5</v>
      </c>
      <c r="M149" s="3">
        <v>1</v>
      </c>
      <c r="N149" s="3">
        <v>2</v>
      </c>
      <c r="O149" s="3">
        <v>1</v>
      </c>
      <c r="P149" s="3">
        <v>6</v>
      </c>
      <c r="Q149" s="3">
        <v>6</v>
      </c>
      <c r="R149" s="3">
        <v>1</v>
      </c>
      <c r="S149" s="3">
        <v>5</v>
      </c>
      <c r="T149" s="3">
        <v>1</v>
      </c>
      <c r="U149" s="3">
        <v>5</v>
      </c>
      <c r="V149" s="3">
        <v>6</v>
      </c>
      <c r="W149" s="3">
        <v>4</v>
      </c>
      <c r="X149" s="3">
        <v>6</v>
      </c>
      <c r="Y149" s="3">
        <v>118</v>
      </c>
      <c r="Z149" s="3">
        <v>6</v>
      </c>
      <c r="AA149" s="3">
        <v>6</v>
      </c>
      <c r="AB149" s="3">
        <v>6</v>
      </c>
      <c r="AC149" s="3">
        <v>6</v>
      </c>
      <c r="AD149" s="3">
        <v>6</v>
      </c>
      <c r="AE149" s="3">
        <v>6</v>
      </c>
      <c r="AF149" s="3">
        <v>350</v>
      </c>
      <c r="AG149">
        <v>-1</v>
      </c>
      <c r="AH149">
        <f>VLOOKUP(A149,Kits!D150:I350,4,FALSE)</f>
        <v>132.79999999999998</v>
      </c>
      <c r="AI149" s="8">
        <v>0</v>
      </c>
      <c r="AJ149">
        <f t="shared" si="2"/>
        <v>0</v>
      </c>
      <c r="AK149" t="s">
        <v>400</v>
      </c>
    </row>
    <row r="150" spans="1:37" x14ac:dyDescent="0.2">
      <c r="A150" s="5" t="s">
        <v>240</v>
      </c>
      <c r="B150" s="3">
        <v>4</v>
      </c>
      <c r="C150" s="3">
        <v>2</v>
      </c>
      <c r="D150" s="3">
        <v>5</v>
      </c>
      <c r="E150" s="3">
        <v>3</v>
      </c>
      <c r="F150" s="3">
        <v>3</v>
      </c>
      <c r="G150" s="3">
        <v>3</v>
      </c>
      <c r="H150" s="3">
        <v>1</v>
      </c>
      <c r="I150" s="3">
        <v>1</v>
      </c>
      <c r="J150" s="3">
        <v>4</v>
      </c>
      <c r="K150" s="3">
        <v>2</v>
      </c>
      <c r="L150" s="3">
        <v>1</v>
      </c>
      <c r="M150" s="3">
        <v>3</v>
      </c>
      <c r="N150" s="3">
        <v>1</v>
      </c>
      <c r="O150" s="3">
        <v>5</v>
      </c>
      <c r="P150" s="3">
        <v>4</v>
      </c>
      <c r="Q150" s="3">
        <v>1</v>
      </c>
      <c r="R150" s="3">
        <v>1</v>
      </c>
      <c r="S150" s="3">
        <v>1</v>
      </c>
      <c r="T150" s="3">
        <v>4</v>
      </c>
      <c r="U150" s="3">
        <v>1</v>
      </c>
      <c r="V150" s="3">
        <v>4</v>
      </c>
      <c r="W150" s="3">
        <v>118</v>
      </c>
      <c r="X150" s="3">
        <v>4</v>
      </c>
      <c r="Y150" s="3">
        <v>1</v>
      </c>
      <c r="Z150" s="3">
        <v>1</v>
      </c>
      <c r="AA150" s="3">
        <v>4</v>
      </c>
      <c r="AB150" s="3">
        <v>4</v>
      </c>
      <c r="AC150" s="3">
        <v>4</v>
      </c>
      <c r="AD150" s="3">
        <v>4</v>
      </c>
      <c r="AE150" s="3">
        <v>4</v>
      </c>
      <c r="AF150" s="3">
        <v>198</v>
      </c>
      <c r="AG150">
        <v>-1</v>
      </c>
      <c r="AH150">
        <f>VLOOKUP(A150,Kits!D151:I351,4,FALSE)</f>
        <v>309.01538461538462</v>
      </c>
      <c r="AI150" s="8">
        <v>0</v>
      </c>
      <c r="AJ150">
        <f t="shared" si="2"/>
        <v>0</v>
      </c>
      <c r="AK150" t="s">
        <v>400</v>
      </c>
    </row>
    <row r="151" spans="1:37" x14ac:dyDescent="0.2">
      <c r="A151" s="5" t="s">
        <v>238</v>
      </c>
      <c r="B151" s="3">
        <v>4</v>
      </c>
      <c r="C151" s="3">
        <v>3</v>
      </c>
      <c r="D151" s="3">
        <v>1</v>
      </c>
      <c r="E151" s="3">
        <v>2</v>
      </c>
      <c r="F151" s="3">
        <v>1</v>
      </c>
      <c r="G151" s="3">
        <v>1</v>
      </c>
      <c r="H151" s="3">
        <v>1</v>
      </c>
      <c r="I151" s="3">
        <v>1</v>
      </c>
      <c r="J151" s="3">
        <v>4</v>
      </c>
      <c r="K151" s="3">
        <v>3</v>
      </c>
      <c r="L151" s="3">
        <v>1</v>
      </c>
      <c r="M151" s="3">
        <v>4</v>
      </c>
      <c r="N151" s="3">
        <v>4</v>
      </c>
      <c r="O151" s="3">
        <v>1</v>
      </c>
      <c r="P151" s="3">
        <v>4</v>
      </c>
      <c r="Q151" s="3">
        <v>6</v>
      </c>
      <c r="R151" s="3">
        <v>3</v>
      </c>
      <c r="S151" s="3">
        <v>5</v>
      </c>
      <c r="T151" s="3">
        <v>1</v>
      </c>
      <c r="U151" s="3">
        <v>1</v>
      </c>
      <c r="V151" s="3">
        <v>4</v>
      </c>
      <c r="W151" s="3">
        <v>1</v>
      </c>
      <c r="X151" s="3">
        <v>4</v>
      </c>
      <c r="Y151" s="3">
        <v>1</v>
      </c>
      <c r="Z151" s="3">
        <v>6</v>
      </c>
      <c r="AA151" s="3">
        <v>4</v>
      </c>
      <c r="AB151" s="3">
        <v>4</v>
      </c>
      <c r="AC151" s="3">
        <v>4</v>
      </c>
      <c r="AD151" s="3">
        <v>4</v>
      </c>
      <c r="AE151" s="3">
        <v>4</v>
      </c>
      <c r="AF151" s="3">
        <v>87</v>
      </c>
      <c r="AG151">
        <v>-1</v>
      </c>
      <c r="AH151">
        <f>VLOOKUP(A151,Kits!D152:I352,4,FALSE)</f>
        <v>340.93846153846152</v>
      </c>
      <c r="AI151" s="8">
        <v>0</v>
      </c>
      <c r="AJ151">
        <f t="shared" si="2"/>
        <v>0</v>
      </c>
      <c r="AK151" t="s">
        <v>400</v>
      </c>
    </row>
    <row r="152" spans="1:37" x14ac:dyDescent="0.2">
      <c r="A152" s="5" t="s">
        <v>242</v>
      </c>
      <c r="B152" s="3">
        <v>2</v>
      </c>
      <c r="C152" s="3">
        <v>1</v>
      </c>
      <c r="D152" s="3">
        <v>1</v>
      </c>
      <c r="E152" s="3">
        <v>6</v>
      </c>
      <c r="F152" s="3">
        <v>2</v>
      </c>
      <c r="G152" s="3">
        <v>1</v>
      </c>
      <c r="H152" s="3">
        <v>3</v>
      </c>
      <c r="I152" s="3">
        <v>3</v>
      </c>
      <c r="J152" s="3">
        <v>2</v>
      </c>
      <c r="K152" s="3">
        <v>1</v>
      </c>
      <c r="L152" s="3">
        <v>4</v>
      </c>
      <c r="M152" s="3">
        <v>1</v>
      </c>
      <c r="N152" s="3">
        <v>118</v>
      </c>
      <c r="O152" s="3">
        <v>5</v>
      </c>
      <c r="P152" s="3">
        <v>2</v>
      </c>
      <c r="Q152" s="3">
        <v>3</v>
      </c>
      <c r="R152" s="3">
        <v>1</v>
      </c>
      <c r="S152" s="3">
        <v>1</v>
      </c>
      <c r="T152" s="3">
        <v>3</v>
      </c>
      <c r="U152" s="3">
        <v>1</v>
      </c>
      <c r="V152" s="3">
        <v>2</v>
      </c>
      <c r="W152" s="3">
        <v>1</v>
      </c>
      <c r="X152" s="3">
        <v>2</v>
      </c>
      <c r="Y152" s="3">
        <v>3</v>
      </c>
      <c r="Z152" s="3">
        <v>3</v>
      </c>
      <c r="AA152" s="3">
        <v>2</v>
      </c>
      <c r="AB152" s="3">
        <v>2</v>
      </c>
      <c r="AC152" s="3">
        <v>2</v>
      </c>
      <c r="AD152" s="3">
        <v>2</v>
      </c>
      <c r="AE152" s="3">
        <v>2</v>
      </c>
      <c r="AF152" s="3">
        <v>182</v>
      </c>
      <c r="AG152">
        <v>-1</v>
      </c>
      <c r="AH152">
        <f>VLOOKUP(A152,Kits!D153:I353,4,FALSE)</f>
        <v>427.76923076923072</v>
      </c>
      <c r="AI152" s="8">
        <v>0</v>
      </c>
      <c r="AJ152">
        <f t="shared" si="2"/>
        <v>0</v>
      </c>
      <c r="AK152" t="s">
        <v>400</v>
      </c>
    </row>
    <row r="153" spans="1:37" x14ac:dyDescent="0.2">
      <c r="A153" s="5" t="s">
        <v>359</v>
      </c>
      <c r="B153" s="3">
        <v>1</v>
      </c>
      <c r="C153" s="3">
        <v>4</v>
      </c>
      <c r="D153" s="3">
        <v>2</v>
      </c>
      <c r="E153" s="3">
        <v>5</v>
      </c>
      <c r="F153" s="3">
        <v>1</v>
      </c>
      <c r="G153" s="3">
        <v>5</v>
      </c>
      <c r="H153" s="3">
        <v>3</v>
      </c>
      <c r="I153" s="3">
        <v>1</v>
      </c>
      <c r="J153" s="3">
        <v>1</v>
      </c>
      <c r="K153" s="3">
        <v>1</v>
      </c>
      <c r="L153" s="3">
        <v>1</v>
      </c>
      <c r="M153" s="3">
        <v>6</v>
      </c>
      <c r="N153" s="3">
        <v>2</v>
      </c>
      <c r="O153" s="3">
        <v>1</v>
      </c>
      <c r="P153" s="3">
        <v>4</v>
      </c>
      <c r="Q153" s="3">
        <v>118</v>
      </c>
      <c r="R153" s="3">
        <v>1</v>
      </c>
      <c r="S153" s="3">
        <v>1</v>
      </c>
      <c r="T153" s="3">
        <v>1</v>
      </c>
      <c r="U153" s="3">
        <v>1</v>
      </c>
      <c r="V153" s="3">
        <v>6</v>
      </c>
      <c r="W153" s="3">
        <v>1</v>
      </c>
      <c r="X153" s="3">
        <v>3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177</v>
      </c>
      <c r="AG153">
        <v>-1</v>
      </c>
      <c r="AH153">
        <f>VLOOKUP(A153,Kits!D154:I354,4,FALSE)</f>
        <v>1844.9384615384615</v>
      </c>
      <c r="AI153" s="8">
        <v>0</v>
      </c>
      <c r="AJ153">
        <f t="shared" si="2"/>
        <v>0</v>
      </c>
      <c r="AK153" t="s">
        <v>400</v>
      </c>
    </row>
    <row r="154" spans="1:37" x14ac:dyDescent="0.2">
      <c r="A154" s="5" t="s">
        <v>97</v>
      </c>
      <c r="B154" s="3">
        <v>3</v>
      </c>
      <c r="C154" s="3">
        <v>4</v>
      </c>
      <c r="D154" s="3">
        <v>118</v>
      </c>
      <c r="E154" s="3">
        <v>5</v>
      </c>
      <c r="F154" s="3">
        <v>1</v>
      </c>
      <c r="G154" s="3">
        <v>3</v>
      </c>
      <c r="H154" s="3">
        <v>3</v>
      </c>
      <c r="I154" s="3">
        <v>1</v>
      </c>
      <c r="J154" s="3">
        <v>3</v>
      </c>
      <c r="K154" s="3">
        <v>4</v>
      </c>
      <c r="L154" s="3">
        <v>1</v>
      </c>
      <c r="M154" s="3">
        <v>4</v>
      </c>
      <c r="N154" s="3">
        <v>2</v>
      </c>
      <c r="O154" s="3">
        <v>1</v>
      </c>
      <c r="P154" s="3">
        <v>1</v>
      </c>
      <c r="Q154" s="3">
        <v>3</v>
      </c>
      <c r="R154" s="3">
        <v>2</v>
      </c>
      <c r="S154" s="3">
        <v>1</v>
      </c>
      <c r="T154" s="3">
        <v>3</v>
      </c>
      <c r="U154" s="3">
        <v>2</v>
      </c>
      <c r="V154" s="3">
        <v>1</v>
      </c>
      <c r="W154" s="3">
        <v>5</v>
      </c>
      <c r="X154" s="3">
        <v>3</v>
      </c>
      <c r="Y154" s="3">
        <v>1</v>
      </c>
      <c r="Z154" s="3">
        <v>1</v>
      </c>
      <c r="AA154" s="3">
        <v>5</v>
      </c>
      <c r="AB154" s="3">
        <v>1</v>
      </c>
      <c r="AC154" s="3">
        <v>5</v>
      </c>
      <c r="AD154" s="3">
        <v>5</v>
      </c>
      <c r="AE154" s="3">
        <v>5</v>
      </c>
      <c r="AF154" s="3">
        <v>197</v>
      </c>
      <c r="AG154">
        <v>0</v>
      </c>
      <c r="AH154">
        <f>VLOOKUP(A154,Kits!D156:I355,4,FALSE)</f>
        <v>189.87909999999999</v>
      </c>
      <c r="AI154" s="8">
        <v>0</v>
      </c>
      <c r="AJ154">
        <f t="shared" si="2"/>
        <v>0</v>
      </c>
      <c r="AK154" t="s">
        <v>402</v>
      </c>
    </row>
    <row r="155" spans="1:37" x14ac:dyDescent="0.2">
      <c r="A155" s="5" t="s">
        <v>294</v>
      </c>
      <c r="B155" s="3">
        <v>3</v>
      </c>
      <c r="C155" s="3">
        <v>9</v>
      </c>
      <c r="D155" s="3">
        <v>6</v>
      </c>
      <c r="E155" s="3">
        <v>8</v>
      </c>
      <c r="F155" s="3">
        <v>4</v>
      </c>
      <c r="G155" s="3">
        <v>6</v>
      </c>
      <c r="H155" s="3">
        <v>12</v>
      </c>
      <c r="I155" s="3">
        <v>9</v>
      </c>
      <c r="J155" s="3">
        <v>3</v>
      </c>
      <c r="K155" s="3">
        <v>7</v>
      </c>
      <c r="L155" s="3">
        <v>5</v>
      </c>
      <c r="M155" s="3">
        <v>7</v>
      </c>
      <c r="N155" s="3">
        <v>11</v>
      </c>
      <c r="O155" s="3">
        <v>124</v>
      </c>
      <c r="P155" s="3">
        <v>10</v>
      </c>
      <c r="Q155" s="3">
        <v>6</v>
      </c>
      <c r="R155" s="3">
        <v>12</v>
      </c>
      <c r="S155" s="3">
        <v>5</v>
      </c>
      <c r="T155" s="3">
        <v>8</v>
      </c>
      <c r="U155" s="3">
        <v>11</v>
      </c>
      <c r="V155" s="3">
        <v>12</v>
      </c>
      <c r="W155" s="3">
        <v>124</v>
      </c>
      <c r="X155" s="3">
        <v>3</v>
      </c>
      <c r="Y155" s="3">
        <v>10</v>
      </c>
      <c r="Z155" s="3">
        <v>4</v>
      </c>
      <c r="AA155" s="3">
        <v>124</v>
      </c>
      <c r="AB155" s="3">
        <v>124</v>
      </c>
      <c r="AC155" s="3">
        <v>124</v>
      </c>
      <c r="AD155" s="3">
        <v>124</v>
      </c>
      <c r="AE155" s="3">
        <v>124</v>
      </c>
      <c r="AF155" s="3">
        <v>1039</v>
      </c>
      <c r="AG155">
        <v>760</v>
      </c>
      <c r="AH155">
        <f>VLOOKUP(A155,Kits!D157:I356,4,FALSE)</f>
        <v>26.221413119999998</v>
      </c>
      <c r="AI155" s="8">
        <v>760</v>
      </c>
      <c r="AJ155">
        <f t="shared" si="2"/>
        <v>19928.273971199997</v>
      </c>
      <c r="AK155" t="s">
        <v>401</v>
      </c>
    </row>
    <row r="156" spans="1:37" x14ac:dyDescent="0.2">
      <c r="A156" s="5" t="s">
        <v>160</v>
      </c>
      <c r="B156" s="3">
        <v>1</v>
      </c>
      <c r="C156" s="3">
        <v>5</v>
      </c>
      <c r="D156" s="3">
        <v>3</v>
      </c>
      <c r="E156" s="3">
        <v>1</v>
      </c>
      <c r="F156" s="3">
        <v>1</v>
      </c>
      <c r="G156" s="3">
        <v>2</v>
      </c>
      <c r="H156" s="3">
        <v>1</v>
      </c>
      <c r="I156" s="3">
        <v>0</v>
      </c>
      <c r="J156" s="3">
        <v>1</v>
      </c>
      <c r="K156" s="3">
        <v>5</v>
      </c>
      <c r="L156" s="3">
        <v>3</v>
      </c>
      <c r="M156" s="3">
        <v>1</v>
      </c>
      <c r="N156" s="3">
        <v>2</v>
      </c>
      <c r="O156" s="3">
        <v>6</v>
      </c>
      <c r="P156" s="3">
        <v>3</v>
      </c>
      <c r="Q156" s="3">
        <v>0</v>
      </c>
      <c r="R156" s="3">
        <v>4</v>
      </c>
      <c r="S156" s="3">
        <v>1</v>
      </c>
      <c r="T156" s="3">
        <v>0</v>
      </c>
      <c r="U156" s="3">
        <v>2</v>
      </c>
      <c r="V156" s="3">
        <v>3</v>
      </c>
      <c r="W156" s="3">
        <v>0</v>
      </c>
      <c r="X156" s="3">
        <v>1</v>
      </c>
      <c r="Y156" s="3">
        <v>1</v>
      </c>
      <c r="Z156" s="3">
        <v>1</v>
      </c>
      <c r="AA156" s="3">
        <v>3</v>
      </c>
      <c r="AB156" s="3">
        <v>1</v>
      </c>
      <c r="AC156" s="3">
        <v>0</v>
      </c>
      <c r="AD156" s="3">
        <v>3</v>
      </c>
      <c r="AE156" s="3">
        <v>3</v>
      </c>
      <c r="AF156" s="3">
        <v>58</v>
      </c>
      <c r="AG156">
        <v>0</v>
      </c>
      <c r="AH156">
        <f>VLOOKUP(A156,Kits!D158:I357,4,FALSE)</f>
        <v>15.9194</v>
      </c>
      <c r="AI156" s="8">
        <v>0</v>
      </c>
      <c r="AJ156">
        <f t="shared" si="2"/>
        <v>0</v>
      </c>
      <c r="AK156" t="s">
        <v>402</v>
      </c>
    </row>
    <row r="157" spans="1:37" x14ac:dyDescent="0.2">
      <c r="A157" s="5" t="s">
        <v>170</v>
      </c>
      <c r="B157" s="3">
        <v>4</v>
      </c>
      <c r="C157" s="3">
        <v>1</v>
      </c>
      <c r="D157" s="3">
        <v>1</v>
      </c>
      <c r="E157" s="3">
        <v>1</v>
      </c>
      <c r="F157" s="3">
        <v>1</v>
      </c>
      <c r="G157" s="3">
        <v>3</v>
      </c>
      <c r="H157" s="3">
        <v>4</v>
      </c>
      <c r="I157" s="3">
        <v>0</v>
      </c>
      <c r="J157" s="3">
        <v>4</v>
      </c>
      <c r="K157" s="3">
        <v>1</v>
      </c>
      <c r="L157" s="3">
        <v>5</v>
      </c>
      <c r="M157" s="3">
        <v>5</v>
      </c>
      <c r="N157" s="3">
        <v>1</v>
      </c>
      <c r="O157" s="3">
        <v>3</v>
      </c>
      <c r="P157" s="3">
        <v>1</v>
      </c>
      <c r="Q157" s="3">
        <v>0</v>
      </c>
      <c r="R157" s="3">
        <v>1</v>
      </c>
      <c r="S157" s="3">
        <v>1</v>
      </c>
      <c r="T157" s="3">
        <v>0</v>
      </c>
      <c r="U157" s="3">
        <v>1</v>
      </c>
      <c r="V157" s="3">
        <v>1</v>
      </c>
      <c r="W157" s="3">
        <v>0</v>
      </c>
      <c r="X157" s="3">
        <v>4</v>
      </c>
      <c r="Y157" s="3">
        <v>1</v>
      </c>
      <c r="Z157" s="3">
        <v>1</v>
      </c>
      <c r="AA157" s="3">
        <v>8</v>
      </c>
      <c r="AB157" s="3">
        <v>1</v>
      </c>
      <c r="AC157" s="3">
        <v>0</v>
      </c>
      <c r="AD157" s="3">
        <v>8</v>
      </c>
      <c r="AE157" s="3">
        <v>8</v>
      </c>
      <c r="AF157" s="3">
        <v>70</v>
      </c>
      <c r="AG157">
        <v>81</v>
      </c>
      <c r="AH157">
        <f>VLOOKUP(A157,Kits!D159:I358,4,FALSE)</f>
        <v>15.438000000000001</v>
      </c>
      <c r="AI157" s="8">
        <v>70</v>
      </c>
      <c r="AJ157">
        <f t="shared" si="2"/>
        <v>1080.6600000000001</v>
      </c>
      <c r="AK157" t="s">
        <v>401</v>
      </c>
    </row>
    <row r="158" spans="1:37" x14ac:dyDescent="0.2">
      <c r="A158" s="5" t="s">
        <v>223</v>
      </c>
      <c r="B158" s="3">
        <v>1</v>
      </c>
      <c r="C158" s="3">
        <v>1</v>
      </c>
      <c r="D158" s="3">
        <v>3</v>
      </c>
      <c r="E158" s="3">
        <v>1</v>
      </c>
      <c r="F158" s="3">
        <v>2</v>
      </c>
      <c r="G158" s="3">
        <v>2</v>
      </c>
      <c r="H158" s="3">
        <v>1</v>
      </c>
      <c r="I158" s="3">
        <v>5</v>
      </c>
      <c r="J158" s="3">
        <v>1</v>
      </c>
      <c r="K158" s="3">
        <v>1</v>
      </c>
      <c r="L158" s="3">
        <v>3</v>
      </c>
      <c r="M158" s="3">
        <v>1</v>
      </c>
      <c r="N158" s="3">
        <v>1</v>
      </c>
      <c r="O158" s="3">
        <v>6</v>
      </c>
      <c r="P158" s="3">
        <v>1</v>
      </c>
      <c r="Q158" s="3">
        <v>3</v>
      </c>
      <c r="R158" s="3">
        <v>4</v>
      </c>
      <c r="S158" s="3">
        <v>1</v>
      </c>
      <c r="T158" s="3">
        <v>1</v>
      </c>
      <c r="U158" s="3">
        <v>2</v>
      </c>
      <c r="V158" s="3">
        <v>1</v>
      </c>
      <c r="W158" s="3">
        <v>3</v>
      </c>
      <c r="X158" s="3">
        <v>1</v>
      </c>
      <c r="Y158" s="3">
        <v>5</v>
      </c>
      <c r="Z158" s="3">
        <v>3</v>
      </c>
      <c r="AA158" s="3">
        <v>1</v>
      </c>
      <c r="AB158" s="3">
        <v>1</v>
      </c>
      <c r="AC158" s="3">
        <v>3</v>
      </c>
      <c r="AD158" s="3">
        <v>1</v>
      </c>
      <c r="AE158" s="3">
        <v>1</v>
      </c>
      <c r="AF158" s="3">
        <v>61</v>
      </c>
      <c r="AG158">
        <v>0</v>
      </c>
      <c r="AH158">
        <f>VLOOKUP(A158,Kits!D160:I359,4,FALSE)</f>
        <v>19.4635</v>
      </c>
      <c r="AI158" s="8">
        <v>0</v>
      </c>
      <c r="AJ158">
        <f t="shared" si="2"/>
        <v>0</v>
      </c>
      <c r="AK158" t="s">
        <v>402</v>
      </c>
    </row>
    <row r="159" spans="1:37" x14ac:dyDescent="0.2">
      <c r="A159" s="5" t="s">
        <v>306</v>
      </c>
      <c r="B159" s="3">
        <v>119</v>
      </c>
      <c r="C159" s="3">
        <v>2</v>
      </c>
      <c r="D159" s="3">
        <v>4</v>
      </c>
      <c r="E159" s="3">
        <v>6</v>
      </c>
      <c r="F159" s="3">
        <v>7</v>
      </c>
      <c r="G159" s="3">
        <v>4</v>
      </c>
      <c r="H159" s="3">
        <v>6</v>
      </c>
      <c r="I159" s="3">
        <v>5</v>
      </c>
      <c r="J159" s="3">
        <v>119</v>
      </c>
      <c r="K159" s="3">
        <v>6</v>
      </c>
      <c r="L159" s="3">
        <v>4</v>
      </c>
      <c r="M159" s="3">
        <v>6</v>
      </c>
      <c r="N159" s="3">
        <v>9</v>
      </c>
      <c r="O159" s="3">
        <v>16</v>
      </c>
      <c r="P159" s="3">
        <v>7</v>
      </c>
      <c r="Q159" s="3">
        <v>4</v>
      </c>
      <c r="R159" s="3">
        <v>6</v>
      </c>
      <c r="S159" s="3">
        <v>4</v>
      </c>
      <c r="T159" s="3">
        <v>8</v>
      </c>
      <c r="U159" s="3">
        <v>9</v>
      </c>
      <c r="V159" s="3">
        <v>6</v>
      </c>
      <c r="W159" s="3">
        <v>16</v>
      </c>
      <c r="X159" s="3">
        <v>119</v>
      </c>
      <c r="Y159" s="3">
        <v>9</v>
      </c>
      <c r="Z159" s="3">
        <v>7</v>
      </c>
      <c r="AA159" s="3">
        <v>16</v>
      </c>
      <c r="AB159" s="3">
        <v>16</v>
      </c>
      <c r="AC159" s="3">
        <v>16</v>
      </c>
      <c r="AD159" s="3">
        <v>16</v>
      </c>
      <c r="AE159" s="3">
        <v>16</v>
      </c>
      <c r="AF159" s="3">
        <v>588</v>
      </c>
      <c r="AG159">
        <v>343</v>
      </c>
      <c r="AH159">
        <f>VLOOKUP(A159,Kits!D161:I360,4,FALSE)</f>
        <v>99.575777279999997</v>
      </c>
      <c r="AI159" s="8">
        <v>343</v>
      </c>
      <c r="AJ159">
        <f t="shared" si="2"/>
        <v>34154.49160704</v>
      </c>
      <c r="AK159" t="s">
        <v>401</v>
      </c>
    </row>
    <row r="160" spans="1:37" x14ac:dyDescent="0.2">
      <c r="A160" s="5" t="s">
        <v>103</v>
      </c>
      <c r="B160" s="3">
        <v>1</v>
      </c>
      <c r="C160" s="3">
        <v>1</v>
      </c>
      <c r="D160" s="3">
        <v>3</v>
      </c>
      <c r="E160" s="3">
        <v>4</v>
      </c>
      <c r="F160" s="3">
        <v>6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3</v>
      </c>
      <c r="N160" s="3">
        <v>1</v>
      </c>
      <c r="O160" s="3">
        <v>6</v>
      </c>
      <c r="P160" s="3">
        <v>1</v>
      </c>
      <c r="Q160" s="3">
        <v>1</v>
      </c>
      <c r="R160" s="3">
        <v>118</v>
      </c>
      <c r="S160" s="3">
        <v>5</v>
      </c>
      <c r="T160" s="3">
        <v>5</v>
      </c>
      <c r="U160" s="3">
        <v>1</v>
      </c>
      <c r="V160" s="3">
        <v>1</v>
      </c>
      <c r="W160" s="3">
        <v>1</v>
      </c>
      <c r="X160" s="3">
        <v>1</v>
      </c>
      <c r="Y160" s="3">
        <v>6</v>
      </c>
      <c r="Z160" s="3">
        <v>6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182</v>
      </c>
      <c r="AG160">
        <v>1</v>
      </c>
      <c r="AH160">
        <f>VLOOKUP(A160,Kits!D162:I361,4,FALSE)</f>
        <v>423.58219999999994</v>
      </c>
      <c r="AI160" s="8">
        <v>1</v>
      </c>
      <c r="AJ160">
        <f t="shared" si="2"/>
        <v>423.58219999999994</v>
      </c>
      <c r="AK160" t="s">
        <v>401</v>
      </c>
    </row>
    <row r="161" spans="1:37" x14ac:dyDescent="0.2">
      <c r="A161" s="5" t="s">
        <v>202</v>
      </c>
      <c r="B161" s="3">
        <v>1</v>
      </c>
      <c r="C161" s="3">
        <v>5</v>
      </c>
      <c r="D161" s="3">
        <v>1</v>
      </c>
      <c r="E161" s="3">
        <v>3</v>
      </c>
      <c r="F161" s="3">
        <v>4</v>
      </c>
      <c r="G161" s="3">
        <v>1</v>
      </c>
      <c r="H161" s="3">
        <v>2</v>
      </c>
      <c r="I161" s="3">
        <v>1</v>
      </c>
      <c r="J161" s="3">
        <v>1</v>
      </c>
      <c r="K161" s="3">
        <v>5</v>
      </c>
      <c r="L161" s="3">
        <v>3</v>
      </c>
      <c r="M161" s="3">
        <v>1</v>
      </c>
      <c r="N161" s="3">
        <v>5</v>
      </c>
      <c r="O161" s="3">
        <v>1</v>
      </c>
      <c r="P161" s="3">
        <v>1</v>
      </c>
      <c r="Q161" s="3">
        <v>1</v>
      </c>
      <c r="R161" s="3">
        <v>3</v>
      </c>
      <c r="S161" s="3">
        <v>4</v>
      </c>
      <c r="T161" s="3">
        <v>1</v>
      </c>
      <c r="U161" s="3">
        <v>5</v>
      </c>
      <c r="V161" s="3">
        <v>1</v>
      </c>
      <c r="W161" s="3">
        <v>5</v>
      </c>
      <c r="X161" s="3">
        <v>1</v>
      </c>
      <c r="Y161" s="3">
        <v>1</v>
      </c>
      <c r="Z161" s="3">
        <v>8</v>
      </c>
      <c r="AA161" s="3">
        <v>8</v>
      </c>
      <c r="AB161" s="3">
        <v>1</v>
      </c>
      <c r="AC161" s="3">
        <v>5</v>
      </c>
      <c r="AD161" s="3">
        <v>8</v>
      </c>
      <c r="AE161" s="3">
        <v>8</v>
      </c>
      <c r="AF161" s="3">
        <v>95</v>
      </c>
      <c r="AG161">
        <v>0</v>
      </c>
      <c r="AH161">
        <f>VLOOKUP(A161,Kits!D163:I362,4,FALSE)</f>
        <v>12.45</v>
      </c>
      <c r="AI161" s="8">
        <v>0</v>
      </c>
      <c r="AJ161">
        <f t="shared" si="2"/>
        <v>0</v>
      </c>
      <c r="AK161" t="s">
        <v>402</v>
      </c>
    </row>
    <row r="162" spans="1:37" x14ac:dyDescent="0.2">
      <c r="A162" s="5" t="s">
        <v>151</v>
      </c>
      <c r="B162" s="3">
        <v>1</v>
      </c>
      <c r="C162" s="3">
        <v>3</v>
      </c>
      <c r="D162" s="3">
        <v>3</v>
      </c>
      <c r="E162" s="3">
        <v>2</v>
      </c>
      <c r="F162" s="3">
        <v>6</v>
      </c>
      <c r="G162" s="3">
        <v>5</v>
      </c>
      <c r="H162" s="3">
        <v>1</v>
      </c>
      <c r="I162" s="3">
        <v>0</v>
      </c>
      <c r="J162" s="3">
        <v>1</v>
      </c>
      <c r="K162" s="3">
        <v>3</v>
      </c>
      <c r="L162" s="3">
        <v>3</v>
      </c>
      <c r="M162" s="3">
        <v>6</v>
      </c>
      <c r="N162" s="3">
        <v>4</v>
      </c>
      <c r="O162" s="3">
        <v>118</v>
      </c>
      <c r="P162" s="3">
        <v>1</v>
      </c>
      <c r="Q162" s="3">
        <v>0</v>
      </c>
      <c r="R162" s="3">
        <v>1</v>
      </c>
      <c r="S162" s="3">
        <v>1</v>
      </c>
      <c r="T162" s="3">
        <v>0</v>
      </c>
      <c r="U162" s="3">
        <v>4</v>
      </c>
      <c r="V162" s="3">
        <v>1</v>
      </c>
      <c r="W162" s="3">
        <v>0</v>
      </c>
      <c r="X162" s="3">
        <v>1</v>
      </c>
      <c r="Y162" s="3">
        <v>1</v>
      </c>
      <c r="Z162" s="3">
        <v>1</v>
      </c>
      <c r="AA162" s="3">
        <v>1</v>
      </c>
      <c r="AB162" s="3">
        <v>6</v>
      </c>
      <c r="AC162" s="3">
        <v>0</v>
      </c>
      <c r="AD162" s="3">
        <v>1</v>
      </c>
      <c r="AE162" s="3">
        <v>1</v>
      </c>
      <c r="AF162" s="3">
        <v>176</v>
      </c>
      <c r="AG162">
        <v>2</v>
      </c>
      <c r="AH162">
        <f>VLOOKUP(A162,Kits!D164:I363,4,FALSE)</f>
        <v>5.6190999999999995</v>
      </c>
      <c r="AI162" s="8">
        <v>2</v>
      </c>
      <c r="AJ162">
        <f t="shared" si="2"/>
        <v>11.238199999999999</v>
      </c>
      <c r="AK162" t="s">
        <v>401</v>
      </c>
    </row>
    <row r="163" spans="1:37" x14ac:dyDescent="0.2">
      <c r="A163" s="5" t="s">
        <v>325</v>
      </c>
      <c r="B163" s="3">
        <v>1</v>
      </c>
      <c r="C163" s="3">
        <v>3</v>
      </c>
      <c r="D163" s="3">
        <v>6</v>
      </c>
      <c r="E163" s="3">
        <v>4</v>
      </c>
      <c r="F163" s="3">
        <v>1</v>
      </c>
      <c r="G163" s="3">
        <v>2</v>
      </c>
      <c r="H163" s="3">
        <v>1</v>
      </c>
      <c r="I163" s="3">
        <v>6</v>
      </c>
      <c r="J163" s="3">
        <v>1</v>
      </c>
      <c r="K163" s="3">
        <v>3</v>
      </c>
      <c r="L163" s="3">
        <v>3</v>
      </c>
      <c r="M163" s="3">
        <v>1</v>
      </c>
      <c r="N163" s="3">
        <v>3</v>
      </c>
      <c r="O163" s="3">
        <v>1</v>
      </c>
      <c r="P163" s="3">
        <v>1</v>
      </c>
      <c r="Q163" s="3">
        <v>2</v>
      </c>
      <c r="R163" s="3">
        <v>2</v>
      </c>
      <c r="S163" s="3">
        <v>1</v>
      </c>
      <c r="T163" s="3">
        <v>5</v>
      </c>
      <c r="U163" s="3">
        <v>3</v>
      </c>
      <c r="V163" s="3">
        <v>1</v>
      </c>
      <c r="W163" s="3">
        <v>4</v>
      </c>
      <c r="X163" s="3">
        <v>1</v>
      </c>
      <c r="Y163" s="3">
        <v>1</v>
      </c>
      <c r="Z163" s="3">
        <v>1</v>
      </c>
      <c r="AA163" s="3">
        <v>1</v>
      </c>
      <c r="AB163" s="3">
        <v>5</v>
      </c>
      <c r="AC163" s="3">
        <v>4</v>
      </c>
      <c r="AD163" s="3">
        <v>1</v>
      </c>
      <c r="AE163" s="3">
        <v>1</v>
      </c>
      <c r="AF163" s="3">
        <v>70</v>
      </c>
      <c r="AG163">
        <v>-1</v>
      </c>
      <c r="AH163">
        <f>VLOOKUP(A163,Kits!D165:I364,4,FALSE)</f>
        <v>3.3692307692307697</v>
      </c>
      <c r="AI163" s="8">
        <v>0</v>
      </c>
      <c r="AJ163">
        <f t="shared" si="2"/>
        <v>0</v>
      </c>
      <c r="AK163" t="s">
        <v>400</v>
      </c>
    </row>
    <row r="164" spans="1:37" x14ac:dyDescent="0.2">
      <c r="A164" s="5" t="s">
        <v>324</v>
      </c>
      <c r="B164" s="3">
        <v>3</v>
      </c>
      <c r="C164" s="3">
        <v>2</v>
      </c>
      <c r="D164" s="3">
        <v>6</v>
      </c>
      <c r="E164" s="3">
        <v>2</v>
      </c>
      <c r="F164" s="3">
        <v>1</v>
      </c>
      <c r="G164" s="3">
        <v>3</v>
      </c>
      <c r="H164" s="3">
        <v>3</v>
      </c>
      <c r="I164" s="3">
        <v>3</v>
      </c>
      <c r="J164" s="3">
        <v>3</v>
      </c>
      <c r="K164" s="3">
        <v>2</v>
      </c>
      <c r="L164" s="3">
        <v>1</v>
      </c>
      <c r="M164" s="3">
        <v>118</v>
      </c>
      <c r="N164" s="3">
        <v>1</v>
      </c>
      <c r="O164" s="3">
        <v>1</v>
      </c>
      <c r="P164" s="3">
        <v>1</v>
      </c>
      <c r="Q164" s="3">
        <v>3</v>
      </c>
      <c r="R164" s="3">
        <v>1</v>
      </c>
      <c r="S164" s="3">
        <v>3</v>
      </c>
      <c r="T164" s="3">
        <v>5</v>
      </c>
      <c r="U164" s="3">
        <v>1</v>
      </c>
      <c r="V164" s="3">
        <v>1</v>
      </c>
      <c r="W164" s="3">
        <v>1</v>
      </c>
      <c r="X164" s="3">
        <v>3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3">
        <v>175</v>
      </c>
      <c r="AG164">
        <v>0</v>
      </c>
      <c r="AH164">
        <f>VLOOKUP(A164,Kits!D166:I365,4,FALSE)</f>
        <v>0.9544999999999999</v>
      </c>
      <c r="AI164" s="8">
        <v>0</v>
      </c>
      <c r="AJ164">
        <f t="shared" si="2"/>
        <v>0</v>
      </c>
      <c r="AK164" t="s">
        <v>402</v>
      </c>
    </row>
    <row r="165" spans="1:37" x14ac:dyDescent="0.2">
      <c r="A165" s="5" t="s">
        <v>287</v>
      </c>
      <c r="B165" s="3">
        <v>9</v>
      </c>
      <c r="C165" s="3">
        <v>4</v>
      </c>
      <c r="D165" s="3">
        <v>2</v>
      </c>
      <c r="E165" s="3">
        <v>7</v>
      </c>
      <c r="F165" s="3">
        <v>6</v>
      </c>
      <c r="G165" s="3">
        <v>2</v>
      </c>
      <c r="H165" s="3">
        <v>7</v>
      </c>
      <c r="I165" s="3">
        <v>2</v>
      </c>
      <c r="J165" s="3">
        <v>9</v>
      </c>
      <c r="K165" s="3">
        <v>6</v>
      </c>
      <c r="L165" s="3">
        <v>120</v>
      </c>
      <c r="M165" s="3">
        <v>5</v>
      </c>
      <c r="N165" s="3">
        <v>3</v>
      </c>
      <c r="O165" s="3">
        <v>7</v>
      </c>
      <c r="P165" s="3">
        <v>8</v>
      </c>
      <c r="Q165" s="3">
        <v>2</v>
      </c>
      <c r="R165" s="3">
        <v>2</v>
      </c>
      <c r="S165" s="3">
        <v>2</v>
      </c>
      <c r="T165" s="3">
        <v>4</v>
      </c>
      <c r="U165" s="3">
        <v>3</v>
      </c>
      <c r="V165" s="3">
        <v>4</v>
      </c>
      <c r="W165" s="3">
        <v>4</v>
      </c>
      <c r="X165" s="3">
        <v>9</v>
      </c>
      <c r="Y165" s="3">
        <v>10</v>
      </c>
      <c r="Z165" s="3">
        <v>6</v>
      </c>
      <c r="AA165" s="3">
        <v>3</v>
      </c>
      <c r="AB165" s="3">
        <v>6</v>
      </c>
      <c r="AC165" s="3">
        <v>4</v>
      </c>
      <c r="AD165" s="3">
        <v>3</v>
      </c>
      <c r="AE165" s="3">
        <v>3</v>
      </c>
      <c r="AF165" s="3">
        <v>262</v>
      </c>
      <c r="AG165">
        <v>5</v>
      </c>
      <c r="AH165">
        <f>VLOOKUP(A165,Kits!D167:I366,4,FALSE)</f>
        <v>100.66898687999999</v>
      </c>
      <c r="AI165" s="8">
        <v>5</v>
      </c>
      <c r="AJ165">
        <f t="shared" si="2"/>
        <v>503.34493439999994</v>
      </c>
      <c r="AK165" t="s">
        <v>401</v>
      </c>
    </row>
    <row r="166" spans="1:37" x14ac:dyDescent="0.2">
      <c r="A166" s="5" t="s">
        <v>284</v>
      </c>
      <c r="B166" s="3">
        <v>3</v>
      </c>
      <c r="C166" s="3">
        <v>4</v>
      </c>
      <c r="D166" s="3">
        <v>2</v>
      </c>
      <c r="E166" s="3">
        <v>3</v>
      </c>
      <c r="F166" s="3">
        <v>8</v>
      </c>
      <c r="G166" s="3">
        <v>11</v>
      </c>
      <c r="H166" s="3">
        <v>6</v>
      </c>
      <c r="I166" s="3">
        <v>2</v>
      </c>
      <c r="J166" s="3">
        <v>3</v>
      </c>
      <c r="K166" s="3">
        <v>2</v>
      </c>
      <c r="L166" s="3">
        <v>8</v>
      </c>
      <c r="M166" s="3">
        <v>9</v>
      </c>
      <c r="N166" s="3">
        <v>4</v>
      </c>
      <c r="O166" s="3">
        <v>3</v>
      </c>
      <c r="P166" s="3">
        <v>6</v>
      </c>
      <c r="Q166" s="3">
        <v>11</v>
      </c>
      <c r="R166" s="3">
        <v>119</v>
      </c>
      <c r="S166" s="3">
        <v>2</v>
      </c>
      <c r="T166" s="3">
        <v>7</v>
      </c>
      <c r="U166" s="3">
        <v>4</v>
      </c>
      <c r="V166" s="3">
        <v>6</v>
      </c>
      <c r="W166" s="3">
        <v>2</v>
      </c>
      <c r="X166" s="3">
        <v>3</v>
      </c>
      <c r="Y166" s="3">
        <v>3</v>
      </c>
      <c r="Z166" s="3">
        <v>8</v>
      </c>
      <c r="AA166" s="3">
        <v>2</v>
      </c>
      <c r="AB166" s="3">
        <v>2</v>
      </c>
      <c r="AC166" s="3">
        <v>2</v>
      </c>
      <c r="AD166" s="3">
        <v>2</v>
      </c>
      <c r="AE166" s="3">
        <v>2</v>
      </c>
      <c r="AF166" s="3">
        <v>249</v>
      </c>
      <c r="AG166">
        <v>9</v>
      </c>
      <c r="AH166">
        <f>VLOOKUP(A166,Kits!D168:I367,4,FALSE)</f>
        <v>15.547002240000001</v>
      </c>
      <c r="AI166" s="8">
        <v>9</v>
      </c>
      <c r="AJ166">
        <f t="shared" si="2"/>
        <v>139.92302016000002</v>
      </c>
      <c r="AK166" t="s">
        <v>401</v>
      </c>
    </row>
    <row r="167" spans="1:37" x14ac:dyDescent="0.2">
      <c r="A167" s="5" t="s">
        <v>563</v>
      </c>
      <c r="B167" s="3">
        <v>1</v>
      </c>
      <c r="C167" s="3">
        <v>1</v>
      </c>
      <c r="D167" s="3">
        <v>1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30</v>
      </c>
      <c r="AG167">
        <v>-1</v>
      </c>
      <c r="AH167">
        <f>VLOOKUP(A167,Kits!D169:I368,4,FALSE)</f>
        <v>4906</v>
      </c>
      <c r="AI167" s="8">
        <v>0</v>
      </c>
      <c r="AJ167">
        <f t="shared" si="2"/>
        <v>0</v>
      </c>
      <c r="AK167" t="s">
        <v>400</v>
      </c>
    </row>
  </sheetData>
  <autoFilter ref="A1:AK167" xr:uid="{672EB163-F852-5543-A5EA-60704A18066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7B86-67A1-6D41-852B-C6B0A9705613}">
  <dimension ref="A1:L84"/>
  <sheetViews>
    <sheetView workbookViewId="0">
      <selection activeCell="L28" sqref="L28"/>
    </sheetView>
  </sheetViews>
  <sheetFormatPr baseColWidth="10" defaultRowHeight="15" x14ac:dyDescent="0.2"/>
  <cols>
    <col min="1" max="1" width="11.5" bestFit="1" customWidth="1"/>
    <col min="2" max="2" width="10.1640625" bestFit="1" customWidth="1"/>
    <col min="3" max="3" width="37" bestFit="1" customWidth="1"/>
    <col min="4" max="4" width="8" customWidth="1"/>
    <col min="5" max="5" width="21.1640625" bestFit="1" customWidth="1"/>
    <col min="6" max="6" width="18.33203125" bestFit="1" customWidth="1"/>
    <col min="7" max="7" width="19.33203125" bestFit="1" customWidth="1"/>
    <col min="8" max="8" width="11.1640625" bestFit="1" customWidth="1"/>
    <col min="10" max="10" width="20.33203125" bestFit="1" customWidth="1"/>
    <col min="11" max="11" width="20.1640625" bestFit="1" customWidth="1"/>
    <col min="12" max="12" width="21" bestFit="1" customWidth="1"/>
  </cols>
  <sheetData>
    <row r="1" spans="1:12" x14ac:dyDescent="0.2">
      <c r="A1" t="s">
        <v>557</v>
      </c>
      <c r="B1" t="s">
        <v>55</v>
      </c>
      <c r="C1" t="s">
        <v>556</v>
      </c>
      <c r="D1" t="s">
        <v>555</v>
      </c>
      <c r="E1" t="s">
        <v>404</v>
      </c>
      <c r="F1" t="s">
        <v>405</v>
      </c>
      <c r="G1" t="s">
        <v>558</v>
      </c>
      <c r="H1" t="s">
        <v>403</v>
      </c>
      <c r="I1" t="s">
        <v>559</v>
      </c>
      <c r="J1" t="s">
        <v>560</v>
      </c>
      <c r="K1" t="s">
        <v>561</v>
      </c>
      <c r="L1" s="8" t="s">
        <v>399</v>
      </c>
    </row>
    <row r="2" spans="1:12" x14ac:dyDescent="0.2">
      <c r="A2" t="s">
        <v>406</v>
      </c>
      <c r="B2" t="s">
        <v>407</v>
      </c>
      <c r="C2" t="s">
        <v>408</v>
      </c>
      <c r="D2">
        <v>1</v>
      </c>
      <c r="E2">
        <v>3</v>
      </c>
      <c r="F2">
        <v>14</v>
      </c>
      <c r="G2">
        <v>7</v>
      </c>
      <c r="H2">
        <v>718.26</v>
      </c>
      <c r="I2">
        <v>0</v>
      </c>
      <c r="J2">
        <v>0</v>
      </c>
      <c r="K2">
        <f>J2*H2</f>
        <v>0</v>
      </c>
      <c r="L2" t="s">
        <v>401</v>
      </c>
    </row>
    <row r="3" spans="1:12" x14ac:dyDescent="0.2">
      <c r="A3" t="s">
        <v>406</v>
      </c>
      <c r="B3" t="s">
        <v>409</v>
      </c>
      <c r="C3" t="s">
        <v>410</v>
      </c>
      <c r="D3">
        <v>2</v>
      </c>
      <c r="E3">
        <v>3</v>
      </c>
      <c r="F3">
        <v>14</v>
      </c>
      <c r="G3">
        <v>70</v>
      </c>
      <c r="H3">
        <v>882.81</v>
      </c>
      <c r="I3">
        <v>0</v>
      </c>
      <c r="J3">
        <v>0</v>
      </c>
      <c r="K3">
        <f t="shared" ref="K3:K66" si="0">J3*H3</f>
        <v>0</v>
      </c>
      <c r="L3" t="s">
        <v>401</v>
      </c>
    </row>
    <row r="4" spans="1:12" x14ac:dyDescent="0.2">
      <c r="A4" t="s">
        <v>406</v>
      </c>
      <c r="B4" t="s">
        <v>411</v>
      </c>
      <c r="C4" t="s">
        <v>412</v>
      </c>
      <c r="D4">
        <v>1</v>
      </c>
      <c r="E4">
        <v>3</v>
      </c>
      <c r="F4">
        <v>14</v>
      </c>
      <c r="G4">
        <v>0</v>
      </c>
      <c r="H4">
        <v>2189.09</v>
      </c>
      <c r="I4">
        <v>0</v>
      </c>
      <c r="J4">
        <f t="shared" ref="J4:J50" si="1">I4-G4</f>
        <v>0</v>
      </c>
      <c r="K4">
        <f t="shared" si="0"/>
        <v>0</v>
      </c>
      <c r="L4" t="s">
        <v>402</v>
      </c>
    </row>
    <row r="5" spans="1:12" x14ac:dyDescent="0.2">
      <c r="A5" t="s">
        <v>406</v>
      </c>
      <c r="B5" t="s">
        <v>413</v>
      </c>
      <c r="C5" t="s">
        <v>414</v>
      </c>
      <c r="D5">
        <v>4</v>
      </c>
      <c r="E5">
        <v>3</v>
      </c>
      <c r="F5">
        <v>14</v>
      </c>
      <c r="G5">
        <v>-1</v>
      </c>
      <c r="H5">
        <v>2.6</v>
      </c>
      <c r="I5">
        <v>0</v>
      </c>
      <c r="J5">
        <v>0</v>
      </c>
      <c r="K5">
        <f t="shared" si="0"/>
        <v>0</v>
      </c>
      <c r="L5" t="s">
        <v>400</v>
      </c>
    </row>
    <row r="6" spans="1:12" x14ac:dyDescent="0.2">
      <c r="A6" t="s">
        <v>415</v>
      </c>
      <c r="B6" t="s">
        <v>407</v>
      </c>
      <c r="C6" t="s">
        <v>408</v>
      </c>
      <c r="D6">
        <v>1</v>
      </c>
      <c r="E6">
        <v>2</v>
      </c>
      <c r="F6">
        <v>13</v>
      </c>
      <c r="G6">
        <v>7</v>
      </c>
      <c r="H6">
        <v>718.26</v>
      </c>
      <c r="I6">
        <v>0</v>
      </c>
      <c r="J6">
        <v>0</v>
      </c>
      <c r="K6">
        <f t="shared" si="0"/>
        <v>0</v>
      </c>
      <c r="L6" t="s">
        <v>401</v>
      </c>
    </row>
    <row r="7" spans="1:12" x14ac:dyDescent="0.2">
      <c r="A7" t="s">
        <v>415</v>
      </c>
      <c r="B7" t="s">
        <v>409</v>
      </c>
      <c r="C7" t="s">
        <v>410</v>
      </c>
      <c r="D7">
        <v>1</v>
      </c>
      <c r="E7">
        <v>2</v>
      </c>
      <c r="F7">
        <v>13</v>
      </c>
      <c r="G7">
        <v>70</v>
      </c>
      <c r="H7">
        <v>882.81</v>
      </c>
      <c r="I7">
        <v>0</v>
      </c>
      <c r="J7">
        <v>0</v>
      </c>
      <c r="K7">
        <f t="shared" si="0"/>
        <v>0</v>
      </c>
      <c r="L7" t="s">
        <v>401</v>
      </c>
    </row>
    <row r="8" spans="1:12" x14ac:dyDescent="0.2">
      <c r="A8" t="s">
        <v>415</v>
      </c>
      <c r="B8" t="s">
        <v>411</v>
      </c>
      <c r="C8" t="s">
        <v>412</v>
      </c>
      <c r="D8">
        <v>1</v>
      </c>
      <c r="E8">
        <v>2</v>
      </c>
      <c r="F8">
        <v>13</v>
      </c>
      <c r="G8">
        <v>0</v>
      </c>
      <c r="H8">
        <v>2189.09</v>
      </c>
      <c r="I8">
        <v>0</v>
      </c>
      <c r="J8">
        <v>0</v>
      </c>
      <c r="K8">
        <f t="shared" si="0"/>
        <v>0</v>
      </c>
      <c r="L8" t="s">
        <v>402</v>
      </c>
    </row>
    <row r="9" spans="1:12" x14ac:dyDescent="0.2">
      <c r="A9" t="s">
        <v>415</v>
      </c>
      <c r="B9" t="s">
        <v>416</v>
      </c>
      <c r="C9" t="s">
        <v>417</v>
      </c>
      <c r="D9">
        <v>2</v>
      </c>
      <c r="E9">
        <v>2</v>
      </c>
      <c r="F9">
        <v>13</v>
      </c>
      <c r="G9">
        <v>183</v>
      </c>
      <c r="H9">
        <v>29.8</v>
      </c>
      <c r="I9">
        <v>0</v>
      </c>
      <c r="J9">
        <v>0</v>
      </c>
      <c r="K9">
        <f t="shared" si="0"/>
        <v>0</v>
      </c>
      <c r="L9" t="s">
        <v>401</v>
      </c>
    </row>
    <row r="10" spans="1:12" x14ac:dyDescent="0.2">
      <c r="A10" t="s">
        <v>415</v>
      </c>
      <c r="B10" t="s">
        <v>413</v>
      </c>
      <c r="C10" t="s">
        <v>414</v>
      </c>
      <c r="D10">
        <v>4</v>
      </c>
      <c r="E10">
        <v>2</v>
      </c>
      <c r="F10">
        <v>13</v>
      </c>
      <c r="G10">
        <v>-1</v>
      </c>
      <c r="H10">
        <v>18.03</v>
      </c>
      <c r="I10">
        <v>0</v>
      </c>
      <c r="J10">
        <v>0</v>
      </c>
      <c r="K10">
        <f t="shared" si="0"/>
        <v>0</v>
      </c>
      <c r="L10" t="s">
        <v>401</v>
      </c>
    </row>
    <row r="11" spans="1:12" x14ac:dyDescent="0.2">
      <c r="A11" t="s">
        <v>418</v>
      </c>
      <c r="B11" t="s">
        <v>419</v>
      </c>
      <c r="C11" t="s">
        <v>420</v>
      </c>
      <c r="D11">
        <v>1</v>
      </c>
      <c r="E11">
        <v>5</v>
      </c>
      <c r="F11">
        <v>3</v>
      </c>
      <c r="G11">
        <v>37</v>
      </c>
      <c r="H11">
        <v>131.97999999999999</v>
      </c>
      <c r="I11">
        <f>ABS(((D11*(E11-F11))))</f>
        <v>2</v>
      </c>
      <c r="J11">
        <f>I11-G211</f>
        <v>2</v>
      </c>
      <c r="K11">
        <f t="shared" si="0"/>
        <v>263.95999999999998</v>
      </c>
      <c r="L11" t="s">
        <v>401</v>
      </c>
    </row>
    <row r="12" spans="1:12" x14ac:dyDescent="0.2">
      <c r="A12" t="s">
        <v>418</v>
      </c>
      <c r="B12" t="s">
        <v>421</v>
      </c>
      <c r="C12" t="s">
        <v>422</v>
      </c>
      <c r="D12">
        <v>1</v>
      </c>
      <c r="E12">
        <v>5</v>
      </c>
      <c r="F12">
        <v>3</v>
      </c>
      <c r="G12">
        <v>8</v>
      </c>
      <c r="H12">
        <v>252.2</v>
      </c>
      <c r="I12">
        <f t="shared" ref="I12:I75" si="2">ABS(((D12*(E12-F12))))</f>
        <v>2</v>
      </c>
      <c r="J12">
        <v>2</v>
      </c>
      <c r="K12">
        <f t="shared" si="0"/>
        <v>504.4</v>
      </c>
      <c r="L12" t="s">
        <v>401</v>
      </c>
    </row>
    <row r="13" spans="1:12" x14ac:dyDescent="0.2">
      <c r="A13" t="s">
        <v>418</v>
      </c>
      <c r="B13" t="s">
        <v>423</v>
      </c>
      <c r="C13" t="s">
        <v>424</v>
      </c>
      <c r="D13">
        <v>1</v>
      </c>
      <c r="E13">
        <v>5</v>
      </c>
      <c r="F13">
        <v>3</v>
      </c>
      <c r="G13">
        <v>4</v>
      </c>
      <c r="H13">
        <v>78.86</v>
      </c>
      <c r="I13">
        <f t="shared" si="2"/>
        <v>2</v>
      </c>
      <c r="J13">
        <v>2</v>
      </c>
      <c r="K13">
        <f t="shared" si="0"/>
        <v>157.72</v>
      </c>
      <c r="L13" t="s">
        <v>401</v>
      </c>
    </row>
    <row r="14" spans="1:12" x14ac:dyDescent="0.2">
      <c r="A14" t="s">
        <v>418</v>
      </c>
      <c r="B14" t="s">
        <v>425</v>
      </c>
      <c r="C14" t="s">
        <v>426</v>
      </c>
      <c r="D14">
        <v>1</v>
      </c>
      <c r="E14">
        <v>5</v>
      </c>
      <c r="F14">
        <v>3</v>
      </c>
      <c r="G14">
        <v>4</v>
      </c>
      <c r="H14">
        <v>39.4</v>
      </c>
      <c r="I14">
        <f t="shared" si="2"/>
        <v>2</v>
      </c>
      <c r="J14">
        <v>2</v>
      </c>
      <c r="K14">
        <f t="shared" si="0"/>
        <v>78.8</v>
      </c>
      <c r="L14" t="s">
        <v>401</v>
      </c>
    </row>
    <row r="15" spans="1:12" x14ac:dyDescent="0.2">
      <c r="A15" t="s">
        <v>418</v>
      </c>
      <c r="B15" t="s">
        <v>427</v>
      </c>
      <c r="C15" t="s">
        <v>428</v>
      </c>
      <c r="D15">
        <v>1</v>
      </c>
      <c r="E15">
        <v>5</v>
      </c>
      <c r="F15">
        <v>3</v>
      </c>
      <c r="G15">
        <v>0</v>
      </c>
      <c r="H15">
        <v>3362.35</v>
      </c>
      <c r="I15">
        <f t="shared" si="2"/>
        <v>2</v>
      </c>
      <c r="J15">
        <f t="shared" si="1"/>
        <v>2</v>
      </c>
      <c r="K15">
        <f t="shared" si="0"/>
        <v>6724.7</v>
      </c>
      <c r="L15" t="s">
        <v>402</v>
      </c>
    </row>
    <row r="16" spans="1:12" x14ac:dyDescent="0.2">
      <c r="A16" t="s">
        <v>418</v>
      </c>
      <c r="B16" t="s">
        <v>429</v>
      </c>
      <c r="C16" t="s">
        <v>430</v>
      </c>
      <c r="D16">
        <v>2</v>
      </c>
      <c r="E16">
        <v>5</v>
      </c>
      <c r="F16">
        <v>3</v>
      </c>
      <c r="G16">
        <v>0</v>
      </c>
      <c r="H16">
        <v>0.35</v>
      </c>
      <c r="I16">
        <f t="shared" si="2"/>
        <v>4</v>
      </c>
      <c r="J16">
        <f t="shared" si="1"/>
        <v>4</v>
      </c>
      <c r="K16">
        <f t="shared" si="0"/>
        <v>1.4</v>
      </c>
      <c r="L16" t="s">
        <v>402</v>
      </c>
    </row>
    <row r="17" spans="1:12" x14ac:dyDescent="0.2">
      <c r="A17" t="s">
        <v>418</v>
      </c>
      <c r="B17" t="s">
        <v>215</v>
      </c>
      <c r="C17" t="s">
        <v>431</v>
      </c>
      <c r="D17">
        <v>3</v>
      </c>
      <c r="E17">
        <v>5</v>
      </c>
      <c r="F17">
        <v>3</v>
      </c>
      <c r="G17">
        <v>92</v>
      </c>
      <c r="H17">
        <v>1.53</v>
      </c>
      <c r="I17">
        <f t="shared" si="2"/>
        <v>6</v>
      </c>
      <c r="J17">
        <v>6</v>
      </c>
      <c r="K17">
        <f t="shared" si="0"/>
        <v>9.18</v>
      </c>
      <c r="L17" t="s">
        <v>401</v>
      </c>
    </row>
    <row r="18" spans="1:12" x14ac:dyDescent="0.2">
      <c r="A18" t="s">
        <v>418</v>
      </c>
      <c r="B18" t="s">
        <v>217</v>
      </c>
      <c r="C18" t="s">
        <v>432</v>
      </c>
      <c r="D18">
        <v>1</v>
      </c>
      <c r="E18">
        <v>5</v>
      </c>
      <c r="F18">
        <v>3</v>
      </c>
      <c r="G18">
        <v>142</v>
      </c>
      <c r="H18">
        <v>1.58</v>
      </c>
      <c r="I18">
        <f t="shared" si="2"/>
        <v>2</v>
      </c>
      <c r="J18">
        <v>2</v>
      </c>
      <c r="K18">
        <f t="shared" si="0"/>
        <v>3.16</v>
      </c>
      <c r="L18" t="s">
        <v>401</v>
      </c>
    </row>
    <row r="19" spans="1:12" x14ac:dyDescent="0.2">
      <c r="A19" t="s">
        <v>418</v>
      </c>
      <c r="B19" t="s">
        <v>433</v>
      </c>
      <c r="C19" t="s">
        <v>434</v>
      </c>
      <c r="D19">
        <v>1</v>
      </c>
      <c r="E19">
        <v>5</v>
      </c>
      <c r="F19">
        <v>3</v>
      </c>
      <c r="G19">
        <v>7</v>
      </c>
      <c r="H19">
        <v>1.82</v>
      </c>
      <c r="I19">
        <f t="shared" si="2"/>
        <v>2</v>
      </c>
      <c r="J19">
        <v>2</v>
      </c>
      <c r="K19">
        <f t="shared" si="0"/>
        <v>3.64</v>
      </c>
      <c r="L19" t="s">
        <v>401</v>
      </c>
    </row>
    <row r="20" spans="1:12" x14ac:dyDescent="0.2">
      <c r="A20" t="s">
        <v>418</v>
      </c>
      <c r="B20" t="s">
        <v>435</v>
      </c>
      <c r="C20" t="s">
        <v>436</v>
      </c>
      <c r="D20">
        <v>3</v>
      </c>
      <c r="E20">
        <v>5</v>
      </c>
      <c r="F20">
        <v>3</v>
      </c>
      <c r="G20">
        <v>52</v>
      </c>
      <c r="H20">
        <v>3.74</v>
      </c>
      <c r="I20">
        <f t="shared" si="2"/>
        <v>6</v>
      </c>
      <c r="J20">
        <v>6</v>
      </c>
      <c r="K20">
        <f t="shared" si="0"/>
        <v>22.44</v>
      </c>
      <c r="L20" t="s">
        <v>401</v>
      </c>
    </row>
    <row r="21" spans="1:12" x14ac:dyDescent="0.2">
      <c r="A21" t="s">
        <v>418</v>
      </c>
      <c r="B21" t="s">
        <v>437</v>
      </c>
      <c r="C21" t="s">
        <v>438</v>
      </c>
      <c r="D21">
        <v>1</v>
      </c>
      <c r="E21">
        <v>5</v>
      </c>
      <c r="F21">
        <v>3</v>
      </c>
      <c r="G21">
        <v>25</v>
      </c>
      <c r="H21">
        <v>4.46</v>
      </c>
      <c r="I21">
        <f t="shared" si="2"/>
        <v>2</v>
      </c>
      <c r="J21">
        <v>2</v>
      </c>
      <c r="K21">
        <f t="shared" si="0"/>
        <v>8.92</v>
      </c>
      <c r="L21" t="s">
        <v>401</v>
      </c>
    </row>
    <row r="22" spans="1:12" x14ac:dyDescent="0.2">
      <c r="A22" t="s">
        <v>418</v>
      </c>
      <c r="B22" t="s">
        <v>439</v>
      </c>
      <c r="C22" t="s">
        <v>440</v>
      </c>
      <c r="D22">
        <v>1</v>
      </c>
      <c r="E22">
        <v>5</v>
      </c>
      <c r="F22">
        <v>3</v>
      </c>
      <c r="G22">
        <v>33</v>
      </c>
      <c r="H22">
        <v>10.49</v>
      </c>
      <c r="I22">
        <f t="shared" si="2"/>
        <v>2</v>
      </c>
      <c r="J22">
        <v>2</v>
      </c>
      <c r="K22">
        <f t="shared" si="0"/>
        <v>20.98</v>
      </c>
      <c r="L22" t="s">
        <v>401</v>
      </c>
    </row>
    <row r="23" spans="1:12" x14ac:dyDescent="0.2">
      <c r="A23" t="s">
        <v>418</v>
      </c>
      <c r="B23" t="s">
        <v>314</v>
      </c>
      <c r="C23" t="s">
        <v>441</v>
      </c>
      <c r="D23">
        <v>4</v>
      </c>
      <c r="E23">
        <v>5</v>
      </c>
      <c r="F23">
        <v>3</v>
      </c>
      <c r="G23">
        <v>860</v>
      </c>
      <c r="H23">
        <v>0.46</v>
      </c>
      <c r="I23">
        <f t="shared" si="2"/>
        <v>8</v>
      </c>
      <c r="J23">
        <v>8</v>
      </c>
      <c r="K23">
        <f t="shared" si="0"/>
        <v>3.68</v>
      </c>
      <c r="L23" t="s">
        <v>401</v>
      </c>
    </row>
    <row r="24" spans="1:12" x14ac:dyDescent="0.2">
      <c r="A24" t="s">
        <v>418</v>
      </c>
      <c r="B24" t="s">
        <v>118</v>
      </c>
      <c r="C24" t="s">
        <v>442</v>
      </c>
      <c r="D24">
        <v>4</v>
      </c>
      <c r="E24">
        <v>5</v>
      </c>
      <c r="F24">
        <v>3</v>
      </c>
      <c r="G24">
        <v>195</v>
      </c>
      <c r="H24">
        <v>0.82</v>
      </c>
      <c r="I24">
        <f t="shared" si="2"/>
        <v>8</v>
      </c>
      <c r="J24">
        <v>8</v>
      </c>
      <c r="K24">
        <f t="shared" si="0"/>
        <v>6.56</v>
      </c>
      <c r="L24" t="s">
        <v>401</v>
      </c>
    </row>
    <row r="25" spans="1:12" x14ac:dyDescent="0.2">
      <c r="A25" t="s">
        <v>418</v>
      </c>
      <c r="B25" t="s">
        <v>443</v>
      </c>
      <c r="C25" t="s">
        <v>444</v>
      </c>
      <c r="D25">
        <v>2</v>
      </c>
      <c r="E25">
        <v>5</v>
      </c>
      <c r="F25">
        <v>3</v>
      </c>
      <c r="G25">
        <v>0</v>
      </c>
      <c r="H25">
        <v>3.96</v>
      </c>
      <c r="I25">
        <f t="shared" si="2"/>
        <v>4</v>
      </c>
      <c r="J25">
        <v>0</v>
      </c>
      <c r="K25">
        <f t="shared" si="0"/>
        <v>0</v>
      </c>
      <c r="L25" t="s">
        <v>402</v>
      </c>
    </row>
    <row r="26" spans="1:12" x14ac:dyDescent="0.2">
      <c r="A26" t="s">
        <v>418</v>
      </c>
      <c r="B26" t="s">
        <v>445</v>
      </c>
      <c r="C26" t="s">
        <v>446</v>
      </c>
      <c r="D26">
        <v>2</v>
      </c>
      <c r="E26">
        <v>5</v>
      </c>
      <c r="F26">
        <v>3</v>
      </c>
      <c r="G26">
        <v>34</v>
      </c>
      <c r="H26">
        <v>6.37</v>
      </c>
      <c r="I26">
        <f t="shared" si="2"/>
        <v>4</v>
      </c>
      <c r="J26">
        <v>4</v>
      </c>
      <c r="K26">
        <f t="shared" si="0"/>
        <v>25.48</v>
      </c>
      <c r="L26" t="s">
        <v>401</v>
      </c>
    </row>
    <row r="27" spans="1:12" x14ac:dyDescent="0.2">
      <c r="A27" t="s">
        <v>418</v>
      </c>
      <c r="B27" t="s">
        <v>447</v>
      </c>
      <c r="C27" t="s">
        <v>448</v>
      </c>
      <c r="D27">
        <v>1</v>
      </c>
      <c r="E27">
        <v>5</v>
      </c>
      <c r="F27">
        <v>3</v>
      </c>
      <c r="G27">
        <v>31</v>
      </c>
      <c r="H27">
        <v>14.5</v>
      </c>
      <c r="I27">
        <f t="shared" si="2"/>
        <v>2</v>
      </c>
      <c r="J27">
        <v>2</v>
      </c>
      <c r="K27">
        <f t="shared" si="0"/>
        <v>29</v>
      </c>
      <c r="L27" t="s">
        <v>401</v>
      </c>
    </row>
    <row r="28" spans="1:12" x14ac:dyDescent="0.2">
      <c r="A28" t="s">
        <v>418</v>
      </c>
      <c r="B28" t="s">
        <v>449</v>
      </c>
      <c r="C28" t="s">
        <v>450</v>
      </c>
      <c r="D28">
        <v>1</v>
      </c>
      <c r="E28">
        <v>5</v>
      </c>
      <c r="F28">
        <v>3</v>
      </c>
      <c r="G28">
        <v>323</v>
      </c>
      <c r="H28">
        <v>25.9</v>
      </c>
      <c r="I28">
        <f t="shared" si="2"/>
        <v>2</v>
      </c>
      <c r="J28">
        <v>2</v>
      </c>
      <c r="K28">
        <f t="shared" si="0"/>
        <v>51.8</v>
      </c>
      <c r="L28" t="s">
        <v>402</v>
      </c>
    </row>
    <row r="29" spans="1:12" x14ac:dyDescent="0.2">
      <c r="A29" t="s">
        <v>418</v>
      </c>
      <c r="B29" t="s">
        <v>451</v>
      </c>
      <c r="C29" t="s">
        <v>452</v>
      </c>
      <c r="D29">
        <v>1</v>
      </c>
      <c r="E29">
        <v>5</v>
      </c>
      <c r="F29">
        <v>3</v>
      </c>
      <c r="G29">
        <v>0</v>
      </c>
      <c r="H29">
        <v>74.22</v>
      </c>
      <c r="I29">
        <f t="shared" si="2"/>
        <v>2</v>
      </c>
      <c r="J29">
        <v>0</v>
      </c>
      <c r="K29">
        <f t="shared" si="0"/>
        <v>0</v>
      </c>
      <c r="L29" t="s">
        <v>401</v>
      </c>
    </row>
    <row r="30" spans="1:12" x14ac:dyDescent="0.2">
      <c r="A30" t="s">
        <v>418</v>
      </c>
      <c r="B30" t="s">
        <v>453</v>
      </c>
      <c r="C30" t="s">
        <v>454</v>
      </c>
      <c r="D30">
        <v>1</v>
      </c>
      <c r="E30">
        <v>5</v>
      </c>
      <c r="F30">
        <v>3</v>
      </c>
      <c r="G30">
        <v>3</v>
      </c>
      <c r="H30">
        <v>177.26</v>
      </c>
      <c r="I30">
        <f t="shared" si="2"/>
        <v>2</v>
      </c>
      <c r="J30">
        <v>2</v>
      </c>
      <c r="K30">
        <f t="shared" si="0"/>
        <v>354.52</v>
      </c>
      <c r="L30" t="s">
        <v>401</v>
      </c>
    </row>
    <row r="31" spans="1:12" x14ac:dyDescent="0.2">
      <c r="A31" t="s">
        <v>455</v>
      </c>
      <c r="B31" t="s">
        <v>456</v>
      </c>
      <c r="C31" t="s">
        <v>457</v>
      </c>
      <c r="D31">
        <v>12</v>
      </c>
      <c r="E31">
        <v>8</v>
      </c>
      <c r="F31">
        <v>4</v>
      </c>
      <c r="G31">
        <v>175</v>
      </c>
      <c r="H31">
        <v>8.6300000000000008</v>
      </c>
      <c r="I31">
        <f t="shared" si="2"/>
        <v>48</v>
      </c>
      <c r="J31">
        <v>48</v>
      </c>
      <c r="K31">
        <f t="shared" si="0"/>
        <v>414.24</v>
      </c>
      <c r="L31" t="s">
        <v>401</v>
      </c>
    </row>
    <row r="32" spans="1:12" x14ac:dyDescent="0.2">
      <c r="A32" t="s">
        <v>455</v>
      </c>
      <c r="B32" t="s">
        <v>458</v>
      </c>
      <c r="C32" t="s">
        <v>459</v>
      </c>
      <c r="D32">
        <v>12</v>
      </c>
      <c r="E32">
        <v>8</v>
      </c>
      <c r="F32">
        <v>4</v>
      </c>
      <c r="G32">
        <v>206</v>
      </c>
      <c r="H32">
        <v>68.2</v>
      </c>
      <c r="I32">
        <f t="shared" si="2"/>
        <v>48</v>
      </c>
      <c r="J32">
        <v>48</v>
      </c>
      <c r="K32">
        <f t="shared" si="0"/>
        <v>3273.6000000000004</v>
      </c>
      <c r="L32" t="s">
        <v>401</v>
      </c>
    </row>
    <row r="33" spans="1:12" x14ac:dyDescent="0.2">
      <c r="A33" t="s">
        <v>455</v>
      </c>
      <c r="B33" t="s">
        <v>460</v>
      </c>
      <c r="C33" t="s">
        <v>461</v>
      </c>
      <c r="D33">
        <v>1</v>
      </c>
      <c r="E33">
        <v>8</v>
      </c>
      <c r="F33">
        <v>4</v>
      </c>
      <c r="G33">
        <v>47</v>
      </c>
      <c r="H33">
        <v>29.37</v>
      </c>
      <c r="I33">
        <f t="shared" si="2"/>
        <v>4</v>
      </c>
      <c r="J33">
        <v>4</v>
      </c>
      <c r="K33">
        <f t="shared" si="0"/>
        <v>117.48</v>
      </c>
      <c r="L33" t="s">
        <v>401</v>
      </c>
    </row>
    <row r="34" spans="1:12" x14ac:dyDescent="0.2">
      <c r="A34" t="s">
        <v>455</v>
      </c>
      <c r="B34" t="s">
        <v>462</v>
      </c>
      <c r="C34" t="s">
        <v>463</v>
      </c>
      <c r="D34">
        <v>12</v>
      </c>
      <c r="E34">
        <v>8</v>
      </c>
      <c r="F34">
        <v>4</v>
      </c>
      <c r="G34">
        <v>108</v>
      </c>
      <c r="H34">
        <v>790.12</v>
      </c>
      <c r="I34">
        <f t="shared" si="2"/>
        <v>48</v>
      </c>
      <c r="J34">
        <v>48</v>
      </c>
      <c r="K34">
        <f t="shared" si="0"/>
        <v>37925.760000000002</v>
      </c>
      <c r="L34" t="s">
        <v>401</v>
      </c>
    </row>
    <row r="35" spans="1:12" x14ac:dyDescent="0.2">
      <c r="A35" t="s">
        <v>455</v>
      </c>
      <c r="B35" t="s">
        <v>464</v>
      </c>
      <c r="C35" t="s">
        <v>465</v>
      </c>
      <c r="D35">
        <v>6</v>
      </c>
      <c r="E35">
        <v>8</v>
      </c>
      <c r="F35">
        <v>4</v>
      </c>
      <c r="G35">
        <v>168</v>
      </c>
      <c r="H35">
        <v>23.27</v>
      </c>
      <c r="I35">
        <f t="shared" si="2"/>
        <v>24</v>
      </c>
      <c r="J35">
        <v>24</v>
      </c>
      <c r="K35">
        <f t="shared" si="0"/>
        <v>558.48</v>
      </c>
      <c r="L35" t="s">
        <v>401</v>
      </c>
    </row>
    <row r="36" spans="1:12" x14ac:dyDescent="0.2">
      <c r="A36" t="s">
        <v>455</v>
      </c>
      <c r="B36" t="s">
        <v>466</v>
      </c>
      <c r="C36" t="s">
        <v>467</v>
      </c>
      <c r="D36">
        <v>2</v>
      </c>
      <c r="E36">
        <v>8</v>
      </c>
      <c r="F36">
        <v>4</v>
      </c>
      <c r="G36">
        <v>9</v>
      </c>
      <c r="H36">
        <v>22292.54</v>
      </c>
      <c r="I36">
        <f t="shared" si="2"/>
        <v>8</v>
      </c>
      <c r="J36">
        <v>8</v>
      </c>
      <c r="K36">
        <f t="shared" si="0"/>
        <v>178340.32</v>
      </c>
      <c r="L36" t="s">
        <v>401</v>
      </c>
    </row>
    <row r="37" spans="1:12" x14ac:dyDescent="0.2">
      <c r="A37" t="s">
        <v>455</v>
      </c>
      <c r="B37" t="s">
        <v>468</v>
      </c>
      <c r="C37" t="s">
        <v>469</v>
      </c>
      <c r="D37">
        <v>4</v>
      </c>
      <c r="E37">
        <v>8</v>
      </c>
      <c r="F37">
        <v>4</v>
      </c>
      <c r="G37">
        <v>17</v>
      </c>
      <c r="H37">
        <v>5080.53</v>
      </c>
      <c r="I37">
        <f t="shared" si="2"/>
        <v>16</v>
      </c>
      <c r="J37">
        <v>16</v>
      </c>
      <c r="K37">
        <f t="shared" si="0"/>
        <v>81288.479999999996</v>
      </c>
      <c r="L37" t="s">
        <v>401</v>
      </c>
    </row>
    <row r="38" spans="1:12" x14ac:dyDescent="0.2">
      <c r="A38" t="s">
        <v>455</v>
      </c>
      <c r="B38" t="s">
        <v>470</v>
      </c>
      <c r="C38" t="s">
        <v>471</v>
      </c>
      <c r="D38">
        <v>11</v>
      </c>
      <c r="E38">
        <v>8</v>
      </c>
      <c r="F38">
        <v>4</v>
      </c>
      <c r="G38">
        <v>160</v>
      </c>
      <c r="H38">
        <v>536.73</v>
      </c>
      <c r="I38">
        <f t="shared" si="2"/>
        <v>44</v>
      </c>
      <c r="J38">
        <v>44</v>
      </c>
      <c r="K38">
        <f t="shared" si="0"/>
        <v>23616.120000000003</v>
      </c>
      <c r="L38" t="s">
        <v>401</v>
      </c>
    </row>
    <row r="39" spans="1:12" x14ac:dyDescent="0.2">
      <c r="A39" t="s">
        <v>455</v>
      </c>
      <c r="B39" t="s">
        <v>472</v>
      </c>
      <c r="C39" t="s">
        <v>473</v>
      </c>
      <c r="D39">
        <v>2</v>
      </c>
      <c r="E39">
        <v>8</v>
      </c>
      <c r="F39">
        <v>4</v>
      </c>
      <c r="G39">
        <v>54</v>
      </c>
      <c r="H39">
        <v>1383.41</v>
      </c>
      <c r="I39">
        <f t="shared" si="2"/>
        <v>8</v>
      </c>
      <c r="J39">
        <v>8</v>
      </c>
      <c r="K39">
        <f t="shared" si="0"/>
        <v>11067.28</v>
      </c>
      <c r="L39" t="s">
        <v>401</v>
      </c>
    </row>
    <row r="40" spans="1:12" x14ac:dyDescent="0.2">
      <c r="A40" t="s">
        <v>455</v>
      </c>
      <c r="B40" t="s">
        <v>474</v>
      </c>
      <c r="C40" t="s">
        <v>475</v>
      </c>
      <c r="D40">
        <v>3</v>
      </c>
      <c r="E40">
        <v>8</v>
      </c>
      <c r="F40">
        <v>4</v>
      </c>
      <c r="G40">
        <v>54</v>
      </c>
      <c r="H40">
        <v>40.44</v>
      </c>
      <c r="I40">
        <f t="shared" si="2"/>
        <v>12</v>
      </c>
      <c r="J40">
        <v>12</v>
      </c>
      <c r="K40">
        <f t="shared" si="0"/>
        <v>485.28</v>
      </c>
      <c r="L40" t="s">
        <v>401</v>
      </c>
    </row>
    <row r="41" spans="1:12" x14ac:dyDescent="0.2">
      <c r="A41" t="s">
        <v>455</v>
      </c>
      <c r="B41" t="s">
        <v>476</v>
      </c>
      <c r="C41" t="s">
        <v>477</v>
      </c>
      <c r="D41">
        <v>3</v>
      </c>
      <c r="E41">
        <v>8</v>
      </c>
      <c r="F41">
        <v>4</v>
      </c>
      <c r="G41">
        <v>40</v>
      </c>
      <c r="H41">
        <v>28.71</v>
      </c>
      <c r="I41">
        <f t="shared" si="2"/>
        <v>12</v>
      </c>
      <c r="J41">
        <v>12</v>
      </c>
      <c r="K41">
        <f t="shared" si="0"/>
        <v>344.52</v>
      </c>
      <c r="L41" t="s">
        <v>401</v>
      </c>
    </row>
    <row r="42" spans="1:12" x14ac:dyDescent="0.2">
      <c r="A42" t="s">
        <v>455</v>
      </c>
      <c r="B42" t="s">
        <v>478</v>
      </c>
      <c r="C42" t="s">
        <v>479</v>
      </c>
      <c r="D42">
        <v>3</v>
      </c>
      <c r="E42">
        <v>8</v>
      </c>
      <c r="F42">
        <v>4</v>
      </c>
      <c r="G42">
        <v>55</v>
      </c>
      <c r="H42">
        <v>25.4</v>
      </c>
      <c r="I42">
        <f t="shared" si="2"/>
        <v>12</v>
      </c>
      <c r="J42">
        <v>12</v>
      </c>
      <c r="K42">
        <f t="shared" si="0"/>
        <v>304.79999999999995</v>
      </c>
      <c r="L42" t="s">
        <v>401</v>
      </c>
    </row>
    <row r="43" spans="1:12" x14ac:dyDescent="0.2">
      <c r="A43" t="s">
        <v>455</v>
      </c>
      <c r="B43" t="s">
        <v>480</v>
      </c>
      <c r="C43" t="s">
        <v>481</v>
      </c>
      <c r="D43">
        <v>1</v>
      </c>
      <c r="E43">
        <v>8</v>
      </c>
      <c r="F43">
        <v>4</v>
      </c>
      <c r="G43">
        <v>36</v>
      </c>
      <c r="H43">
        <v>92.87</v>
      </c>
      <c r="I43">
        <f t="shared" si="2"/>
        <v>4</v>
      </c>
      <c r="J43">
        <v>4</v>
      </c>
      <c r="K43">
        <f t="shared" si="0"/>
        <v>371.48</v>
      </c>
      <c r="L43" t="s">
        <v>401</v>
      </c>
    </row>
    <row r="44" spans="1:12" x14ac:dyDescent="0.2">
      <c r="A44" t="s">
        <v>455</v>
      </c>
      <c r="B44" t="s">
        <v>482</v>
      </c>
      <c r="C44" t="s">
        <v>483</v>
      </c>
      <c r="D44">
        <v>1</v>
      </c>
      <c r="E44">
        <v>8</v>
      </c>
      <c r="F44">
        <v>4</v>
      </c>
      <c r="G44">
        <v>42</v>
      </c>
      <c r="H44">
        <v>79.95</v>
      </c>
      <c r="I44">
        <f t="shared" si="2"/>
        <v>4</v>
      </c>
      <c r="J44">
        <v>4</v>
      </c>
      <c r="K44">
        <f t="shared" si="0"/>
        <v>319.8</v>
      </c>
      <c r="L44" t="s">
        <v>401</v>
      </c>
    </row>
    <row r="45" spans="1:12" x14ac:dyDescent="0.2">
      <c r="A45" t="s">
        <v>455</v>
      </c>
      <c r="B45" t="s">
        <v>484</v>
      </c>
      <c r="C45" t="s">
        <v>485</v>
      </c>
      <c r="D45">
        <v>1</v>
      </c>
      <c r="E45">
        <v>8</v>
      </c>
      <c r="F45">
        <v>4</v>
      </c>
      <c r="G45">
        <v>0</v>
      </c>
      <c r="H45">
        <v>167.16</v>
      </c>
      <c r="I45">
        <f t="shared" si="2"/>
        <v>4</v>
      </c>
      <c r="J45">
        <v>0</v>
      </c>
      <c r="K45">
        <f t="shared" si="0"/>
        <v>0</v>
      </c>
      <c r="L45" t="s">
        <v>402</v>
      </c>
    </row>
    <row r="46" spans="1:12" x14ac:dyDescent="0.2">
      <c r="A46" t="s">
        <v>455</v>
      </c>
      <c r="B46" t="s">
        <v>486</v>
      </c>
      <c r="C46" t="s">
        <v>487</v>
      </c>
      <c r="D46">
        <v>4</v>
      </c>
      <c r="E46">
        <v>8</v>
      </c>
      <c r="F46">
        <v>4</v>
      </c>
      <c r="G46">
        <v>39</v>
      </c>
      <c r="H46">
        <v>225.64</v>
      </c>
      <c r="I46">
        <f t="shared" si="2"/>
        <v>16</v>
      </c>
      <c r="J46">
        <v>16</v>
      </c>
      <c r="K46">
        <f t="shared" si="0"/>
        <v>3610.24</v>
      </c>
      <c r="L46" t="s">
        <v>401</v>
      </c>
    </row>
    <row r="47" spans="1:12" x14ac:dyDescent="0.2">
      <c r="A47" t="s">
        <v>455</v>
      </c>
      <c r="B47" t="s">
        <v>488</v>
      </c>
      <c r="C47" t="s">
        <v>489</v>
      </c>
      <c r="D47">
        <v>1</v>
      </c>
      <c r="E47">
        <v>8</v>
      </c>
      <c r="F47">
        <v>4</v>
      </c>
      <c r="G47">
        <v>11</v>
      </c>
      <c r="H47">
        <v>9071.57</v>
      </c>
      <c r="I47">
        <f t="shared" si="2"/>
        <v>4</v>
      </c>
      <c r="J47">
        <v>4</v>
      </c>
      <c r="K47">
        <f t="shared" si="0"/>
        <v>36286.28</v>
      </c>
      <c r="L47" t="s">
        <v>401</v>
      </c>
    </row>
    <row r="48" spans="1:12" x14ac:dyDescent="0.2">
      <c r="A48" t="s">
        <v>455</v>
      </c>
      <c r="B48" t="s">
        <v>490</v>
      </c>
      <c r="C48" t="s">
        <v>491</v>
      </c>
      <c r="D48">
        <v>3</v>
      </c>
      <c r="E48">
        <v>8</v>
      </c>
      <c r="F48">
        <v>4</v>
      </c>
      <c r="G48">
        <v>13</v>
      </c>
      <c r="H48">
        <v>556.83000000000004</v>
      </c>
      <c r="I48">
        <f t="shared" si="2"/>
        <v>12</v>
      </c>
      <c r="J48">
        <v>12</v>
      </c>
      <c r="K48">
        <f t="shared" si="0"/>
        <v>6681.9600000000009</v>
      </c>
      <c r="L48" t="s">
        <v>401</v>
      </c>
    </row>
    <row r="49" spans="1:12" x14ac:dyDescent="0.2">
      <c r="A49" t="s">
        <v>455</v>
      </c>
      <c r="B49" t="s">
        <v>492</v>
      </c>
      <c r="C49" t="s">
        <v>493</v>
      </c>
      <c r="D49">
        <v>1</v>
      </c>
      <c r="E49">
        <v>8</v>
      </c>
      <c r="F49">
        <v>4</v>
      </c>
      <c r="G49">
        <v>0</v>
      </c>
      <c r="H49">
        <v>3474.09</v>
      </c>
      <c r="I49">
        <f t="shared" si="2"/>
        <v>4</v>
      </c>
      <c r="J49">
        <v>0</v>
      </c>
      <c r="K49">
        <f t="shared" si="0"/>
        <v>0</v>
      </c>
      <c r="L49" t="s">
        <v>402</v>
      </c>
    </row>
    <row r="50" spans="1:12" x14ac:dyDescent="0.2">
      <c r="A50" t="s">
        <v>455</v>
      </c>
      <c r="B50" t="s">
        <v>494</v>
      </c>
      <c r="C50" t="s">
        <v>495</v>
      </c>
      <c r="D50">
        <v>1</v>
      </c>
      <c r="E50">
        <v>8</v>
      </c>
      <c r="F50">
        <v>4</v>
      </c>
      <c r="G50">
        <v>1</v>
      </c>
      <c r="H50">
        <v>7394.4</v>
      </c>
      <c r="I50">
        <f t="shared" si="2"/>
        <v>4</v>
      </c>
      <c r="J50">
        <f t="shared" si="1"/>
        <v>3</v>
      </c>
      <c r="K50">
        <f t="shared" si="0"/>
        <v>22183.199999999997</v>
      </c>
      <c r="L50" t="s">
        <v>401</v>
      </c>
    </row>
    <row r="51" spans="1:12" x14ac:dyDescent="0.2">
      <c r="A51" t="s">
        <v>455</v>
      </c>
      <c r="B51" t="s">
        <v>496</v>
      </c>
      <c r="C51" t="s">
        <v>497</v>
      </c>
      <c r="D51">
        <v>1</v>
      </c>
      <c r="E51">
        <v>8</v>
      </c>
      <c r="F51">
        <v>4</v>
      </c>
      <c r="G51">
        <v>29</v>
      </c>
      <c r="H51">
        <v>281.77</v>
      </c>
      <c r="I51">
        <f t="shared" si="2"/>
        <v>4</v>
      </c>
      <c r="J51">
        <v>4</v>
      </c>
      <c r="K51">
        <f t="shared" si="0"/>
        <v>1127.08</v>
      </c>
      <c r="L51" t="s">
        <v>401</v>
      </c>
    </row>
    <row r="52" spans="1:12" x14ac:dyDescent="0.2">
      <c r="A52" t="s">
        <v>455</v>
      </c>
      <c r="B52" t="s">
        <v>498</v>
      </c>
      <c r="C52" t="s">
        <v>499</v>
      </c>
      <c r="D52">
        <v>1</v>
      </c>
      <c r="E52">
        <v>8</v>
      </c>
      <c r="F52">
        <v>4</v>
      </c>
      <c r="G52">
        <v>6</v>
      </c>
      <c r="H52">
        <v>119.77</v>
      </c>
      <c r="I52">
        <f t="shared" si="2"/>
        <v>4</v>
      </c>
      <c r="J52">
        <v>4</v>
      </c>
      <c r="K52">
        <f t="shared" si="0"/>
        <v>479.08</v>
      </c>
      <c r="L52" t="s">
        <v>401</v>
      </c>
    </row>
    <row r="53" spans="1:12" x14ac:dyDescent="0.2">
      <c r="A53" t="s">
        <v>455</v>
      </c>
      <c r="B53" t="s">
        <v>500</v>
      </c>
      <c r="C53" t="s">
        <v>501</v>
      </c>
      <c r="D53">
        <v>4</v>
      </c>
      <c r="E53">
        <v>8</v>
      </c>
      <c r="F53">
        <v>4</v>
      </c>
      <c r="G53">
        <v>36</v>
      </c>
      <c r="H53">
        <v>13.29</v>
      </c>
      <c r="I53">
        <f t="shared" si="2"/>
        <v>16</v>
      </c>
      <c r="J53">
        <v>16</v>
      </c>
      <c r="K53">
        <f t="shared" si="0"/>
        <v>212.64</v>
      </c>
      <c r="L53" t="s">
        <v>401</v>
      </c>
    </row>
    <row r="54" spans="1:12" x14ac:dyDescent="0.2">
      <c r="A54" t="s">
        <v>455</v>
      </c>
      <c r="B54" t="s">
        <v>502</v>
      </c>
      <c r="C54" t="s">
        <v>503</v>
      </c>
      <c r="D54">
        <v>2</v>
      </c>
      <c r="E54">
        <v>8</v>
      </c>
      <c r="F54">
        <v>4</v>
      </c>
      <c r="G54">
        <v>108</v>
      </c>
      <c r="H54">
        <v>6.23</v>
      </c>
      <c r="I54">
        <f t="shared" si="2"/>
        <v>8</v>
      </c>
      <c r="J54">
        <v>8</v>
      </c>
      <c r="K54">
        <f t="shared" si="0"/>
        <v>49.84</v>
      </c>
      <c r="L54" t="s">
        <v>401</v>
      </c>
    </row>
    <row r="55" spans="1:12" x14ac:dyDescent="0.2">
      <c r="A55" t="s">
        <v>455</v>
      </c>
      <c r="B55" t="s">
        <v>215</v>
      </c>
      <c r="C55" t="s">
        <v>431</v>
      </c>
      <c r="D55">
        <v>2</v>
      </c>
      <c r="E55">
        <v>8</v>
      </c>
      <c r="F55">
        <v>4</v>
      </c>
      <c r="G55">
        <v>92</v>
      </c>
      <c r="H55">
        <v>1.53</v>
      </c>
      <c r="I55">
        <f t="shared" si="2"/>
        <v>8</v>
      </c>
      <c r="J55">
        <v>8</v>
      </c>
      <c r="K55">
        <f t="shared" si="0"/>
        <v>12.24</v>
      </c>
      <c r="L55" t="s">
        <v>401</v>
      </c>
    </row>
    <row r="56" spans="1:12" x14ac:dyDescent="0.2">
      <c r="A56" t="s">
        <v>455</v>
      </c>
      <c r="B56" t="s">
        <v>198</v>
      </c>
      <c r="C56" t="s">
        <v>504</v>
      </c>
      <c r="D56">
        <v>1</v>
      </c>
      <c r="E56">
        <v>8</v>
      </c>
      <c r="F56">
        <v>4</v>
      </c>
      <c r="G56">
        <v>116</v>
      </c>
      <c r="H56">
        <v>0.69</v>
      </c>
      <c r="I56">
        <f t="shared" si="2"/>
        <v>4</v>
      </c>
      <c r="J56">
        <v>4</v>
      </c>
      <c r="K56">
        <f t="shared" si="0"/>
        <v>2.76</v>
      </c>
      <c r="L56" t="s">
        <v>401</v>
      </c>
    </row>
    <row r="57" spans="1:12" x14ac:dyDescent="0.2">
      <c r="A57" t="s">
        <v>455</v>
      </c>
      <c r="B57" t="s">
        <v>505</v>
      </c>
      <c r="C57" t="s">
        <v>506</v>
      </c>
      <c r="D57">
        <v>1</v>
      </c>
      <c r="E57">
        <v>8</v>
      </c>
      <c r="F57">
        <v>4</v>
      </c>
      <c r="G57">
        <v>7</v>
      </c>
      <c r="H57">
        <v>1.07</v>
      </c>
      <c r="I57">
        <f t="shared" si="2"/>
        <v>4</v>
      </c>
      <c r="J57">
        <v>4</v>
      </c>
      <c r="K57">
        <f t="shared" si="0"/>
        <v>4.28</v>
      </c>
      <c r="L57" t="s">
        <v>401</v>
      </c>
    </row>
    <row r="58" spans="1:12" x14ac:dyDescent="0.2">
      <c r="A58" t="s">
        <v>455</v>
      </c>
      <c r="B58" t="s">
        <v>217</v>
      </c>
      <c r="C58" t="s">
        <v>432</v>
      </c>
      <c r="D58">
        <v>4</v>
      </c>
      <c r="E58">
        <v>8</v>
      </c>
      <c r="F58">
        <v>4</v>
      </c>
      <c r="G58">
        <v>142</v>
      </c>
      <c r="H58">
        <v>1.58</v>
      </c>
      <c r="I58">
        <f t="shared" si="2"/>
        <v>16</v>
      </c>
      <c r="J58">
        <v>16</v>
      </c>
      <c r="K58">
        <f t="shared" si="0"/>
        <v>25.28</v>
      </c>
      <c r="L58" t="s">
        <v>401</v>
      </c>
    </row>
    <row r="59" spans="1:12" x14ac:dyDescent="0.2">
      <c r="A59" t="s">
        <v>455</v>
      </c>
      <c r="B59" t="s">
        <v>507</v>
      </c>
      <c r="C59" t="s">
        <v>508</v>
      </c>
      <c r="D59">
        <v>1</v>
      </c>
      <c r="E59">
        <v>8</v>
      </c>
      <c r="F59">
        <v>4</v>
      </c>
      <c r="G59">
        <v>33</v>
      </c>
      <c r="H59">
        <v>2.81</v>
      </c>
      <c r="I59">
        <f t="shared" si="2"/>
        <v>4</v>
      </c>
      <c r="J59">
        <v>4</v>
      </c>
      <c r="K59">
        <f t="shared" si="0"/>
        <v>11.24</v>
      </c>
      <c r="L59" t="s">
        <v>401</v>
      </c>
    </row>
    <row r="60" spans="1:12" x14ac:dyDescent="0.2">
      <c r="A60" t="s">
        <v>455</v>
      </c>
      <c r="B60" t="s">
        <v>509</v>
      </c>
      <c r="C60" t="s">
        <v>510</v>
      </c>
      <c r="D60">
        <v>1</v>
      </c>
      <c r="E60">
        <v>8</v>
      </c>
      <c r="F60">
        <v>4</v>
      </c>
      <c r="G60">
        <v>22</v>
      </c>
      <c r="H60">
        <v>2.86</v>
      </c>
      <c r="I60">
        <f t="shared" si="2"/>
        <v>4</v>
      </c>
      <c r="J60">
        <v>4</v>
      </c>
      <c r="K60">
        <f t="shared" si="0"/>
        <v>11.44</v>
      </c>
      <c r="L60" t="s">
        <v>401</v>
      </c>
    </row>
    <row r="61" spans="1:12" x14ac:dyDescent="0.2">
      <c r="A61" t="s">
        <v>455</v>
      </c>
      <c r="B61" t="s">
        <v>511</v>
      </c>
      <c r="C61" t="s">
        <v>512</v>
      </c>
      <c r="D61">
        <v>1</v>
      </c>
      <c r="E61">
        <v>8</v>
      </c>
      <c r="F61">
        <v>4</v>
      </c>
      <c r="G61">
        <v>39</v>
      </c>
      <c r="H61">
        <v>2.71</v>
      </c>
      <c r="I61">
        <f t="shared" si="2"/>
        <v>4</v>
      </c>
      <c r="J61">
        <v>4</v>
      </c>
      <c r="K61">
        <f t="shared" si="0"/>
        <v>10.84</v>
      </c>
      <c r="L61" t="s">
        <v>401</v>
      </c>
    </row>
    <row r="62" spans="1:12" x14ac:dyDescent="0.2">
      <c r="A62" t="s">
        <v>455</v>
      </c>
      <c r="B62" t="s">
        <v>513</v>
      </c>
      <c r="C62" t="s">
        <v>514</v>
      </c>
      <c r="D62">
        <v>3</v>
      </c>
      <c r="E62">
        <v>8</v>
      </c>
      <c r="F62">
        <v>4</v>
      </c>
      <c r="G62">
        <v>60</v>
      </c>
      <c r="H62">
        <v>5.7</v>
      </c>
      <c r="I62">
        <f t="shared" si="2"/>
        <v>12</v>
      </c>
      <c r="J62">
        <v>12</v>
      </c>
      <c r="K62">
        <f t="shared" si="0"/>
        <v>68.400000000000006</v>
      </c>
      <c r="L62" t="s">
        <v>401</v>
      </c>
    </row>
    <row r="63" spans="1:12" x14ac:dyDescent="0.2">
      <c r="A63" t="s">
        <v>455</v>
      </c>
      <c r="B63" t="s">
        <v>200</v>
      </c>
      <c r="C63" t="s">
        <v>515</v>
      </c>
      <c r="D63">
        <v>3</v>
      </c>
      <c r="E63">
        <v>8</v>
      </c>
      <c r="F63">
        <v>4</v>
      </c>
      <c r="G63">
        <v>141</v>
      </c>
      <c r="H63">
        <v>0.69</v>
      </c>
      <c r="I63">
        <f t="shared" si="2"/>
        <v>12</v>
      </c>
      <c r="J63">
        <v>12</v>
      </c>
      <c r="K63">
        <f t="shared" si="0"/>
        <v>8.2799999999999994</v>
      </c>
      <c r="L63" t="s">
        <v>401</v>
      </c>
    </row>
    <row r="64" spans="1:12" x14ac:dyDescent="0.2">
      <c r="A64" t="s">
        <v>455</v>
      </c>
      <c r="B64" t="s">
        <v>516</v>
      </c>
      <c r="C64" t="s">
        <v>517</v>
      </c>
      <c r="D64">
        <v>2</v>
      </c>
      <c r="E64">
        <v>8</v>
      </c>
      <c r="F64">
        <v>4</v>
      </c>
      <c r="G64">
        <v>52</v>
      </c>
      <c r="H64">
        <v>2.14</v>
      </c>
      <c r="I64">
        <f t="shared" si="2"/>
        <v>8</v>
      </c>
      <c r="J64">
        <v>8</v>
      </c>
      <c r="K64">
        <f t="shared" si="0"/>
        <v>17.12</v>
      </c>
      <c r="L64" t="s">
        <v>401</v>
      </c>
    </row>
    <row r="65" spans="1:12" x14ac:dyDescent="0.2">
      <c r="A65" t="s">
        <v>455</v>
      </c>
      <c r="B65" t="s">
        <v>518</v>
      </c>
      <c r="C65" t="s">
        <v>519</v>
      </c>
      <c r="D65">
        <v>3</v>
      </c>
      <c r="E65">
        <v>8</v>
      </c>
      <c r="F65">
        <v>4</v>
      </c>
      <c r="G65">
        <v>101</v>
      </c>
      <c r="H65">
        <v>2.78</v>
      </c>
      <c r="I65">
        <f t="shared" si="2"/>
        <v>12</v>
      </c>
      <c r="J65">
        <v>12</v>
      </c>
      <c r="K65">
        <f t="shared" si="0"/>
        <v>33.36</v>
      </c>
      <c r="L65" t="s">
        <v>401</v>
      </c>
    </row>
    <row r="66" spans="1:12" x14ac:dyDescent="0.2">
      <c r="A66" t="s">
        <v>455</v>
      </c>
      <c r="B66" t="s">
        <v>520</v>
      </c>
      <c r="C66" t="s">
        <v>521</v>
      </c>
      <c r="D66">
        <v>1</v>
      </c>
      <c r="E66">
        <v>8</v>
      </c>
      <c r="F66">
        <v>4</v>
      </c>
      <c r="G66">
        <v>30</v>
      </c>
      <c r="H66">
        <v>56.36</v>
      </c>
      <c r="I66">
        <f t="shared" si="2"/>
        <v>4</v>
      </c>
      <c r="J66">
        <v>4</v>
      </c>
      <c r="K66">
        <f t="shared" si="0"/>
        <v>225.44</v>
      </c>
      <c r="L66" t="s">
        <v>401</v>
      </c>
    </row>
    <row r="67" spans="1:12" x14ac:dyDescent="0.2">
      <c r="A67" t="s">
        <v>455</v>
      </c>
      <c r="B67" t="s">
        <v>522</v>
      </c>
      <c r="C67" t="s">
        <v>523</v>
      </c>
      <c r="D67">
        <v>2</v>
      </c>
      <c r="E67">
        <v>8</v>
      </c>
      <c r="F67">
        <v>4</v>
      </c>
      <c r="G67">
        <v>64</v>
      </c>
      <c r="H67">
        <v>10.44</v>
      </c>
      <c r="I67">
        <f t="shared" si="2"/>
        <v>8</v>
      </c>
      <c r="J67">
        <v>8</v>
      </c>
      <c r="K67">
        <f t="shared" ref="K67:K84" si="3">J67*H67</f>
        <v>83.52</v>
      </c>
      <c r="L67" t="s">
        <v>401</v>
      </c>
    </row>
    <row r="68" spans="1:12" x14ac:dyDescent="0.2">
      <c r="A68" t="s">
        <v>455</v>
      </c>
      <c r="B68" t="s">
        <v>524</v>
      </c>
      <c r="C68" t="s">
        <v>525</v>
      </c>
      <c r="D68">
        <v>1</v>
      </c>
      <c r="E68">
        <v>8</v>
      </c>
      <c r="F68">
        <v>4</v>
      </c>
      <c r="G68">
        <v>29</v>
      </c>
      <c r="H68">
        <v>30.72</v>
      </c>
      <c r="I68">
        <f t="shared" si="2"/>
        <v>4</v>
      </c>
      <c r="J68">
        <v>4</v>
      </c>
      <c r="K68">
        <f t="shared" si="3"/>
        <v>122.88</v>
      </c>
      <c r="L68" t="s">
        <v>401</v>
      </c>
    </row>
    <row r="69" spans="1:12" x14ac:dyDescent="0.2">
      <c r="A69" t="s">
        <v>455</v>
      </c>
      <c r="B69" t="s">
        <v>526</v>
      </c>
      <c r="C69" t="s">
        <v>527</v>
      </c>
      <c r="D69">
        <v>1</v>
      </c>
      <c r="E69">
        <v>8</v>
      </c>
      <c r="F69">
        <v>4</v>
      </c>
      <c r="G69">
        <v>39</v>
      </c>
      <c r="H69">
        <v>38.43</v>
      </c>
      <c r="I69">
        <f t="shared" si="2"/>
        <v>4</v>
      </c>
      <c r="J69">
        <v>4</v>
      </c>
      <c r="K69">
        <f t="shared" si="3"/>
        <v>153.72</v>
      </c>
      <c r="L69" t="s">
        <v>401</v>
      </c>
    </row>
    <row r="70" spans="1:12" x14ac:dyDescent="0.2">
      <c r="A70" t="s">
        <v>455</v>
      </c>
      <c r="B70" t="s">
        <v>528</v>
      </c>
      <c r="C70" t="s">
        <v>529</v>
      </c>
      <c r="D70">
        <v>1</v>
      </c>
      <c r="E70">
        <v>8</v>
      </c>
      <c r="F70">
        <v>4</v>
      </c>
      <c r="G70">
        <v>35</v>
      </c>
      <c r="H70">
        <v>85.65</v>
      </c>
      <c r="I70">
        <f t="shared" si="2"/>
        <v>4</v>
      </c>
      <c r="J70">
        <v>4</v>
      </c>
      <c r="K70">
        <f t="shared" si="3"/>
        <v>342.6</v>
      </c>
      <c r="L70" t="s">
        <v>401</v>
      </c>
    </row>
    <row r="71" spans="1:12" x14ac:dyDescent="0.2">
      <c r="A71" t="s">
        <v>455</v>
      </c>
      <c r="B71" t="s">
        <v>562</v>
      </c>
      <c r="C71" t="s">
        <v>530</v>
      </c>
      <c r="D71">
        <v>2</v>
      </c>
      <c r="E71">
        <v>8</v>
      </c>
      <c r="F71">
        <v>4</v>
      </c>
      <c r="G71">
        <v>-1</v>
      </c>
      <c r="H71">
        <v>28.74</v>
      </c>
      <c r="I71">
        <f t="shared" si="2"/>
        <v>8</v>
      </c>
      <c r="J71">
        <v>0</v>
      </c>
      <c r="K71">
        <f t="shared" si="3"/>
        <v>0</v>
      </c>
      <c r="L71" t="s">
        <v>400</v>
      </c>
    </row>
    <row r="72" spans="1:12" x14ac:dyDescent="0.2">
      <c r="A72" t="s">
        <v>455</v>
      </c>
      <c r="B72" t="s">
        <v>531</v>
      </c>
      <c r="C72" t="s">
        <v>532</v>
      </c>
      <c r="D72">
        <v>2</v>
      </c>
      <c r="E72">
        <v>8</v>
      </c>
      <c r="F72">
        <v>4</v>
      </c>
      <c r="G72">
        <v>32</v>
      </c>
      <c r="H72">
        <v>113.33</v>
      </c>
      <c r="I72">
        <f t="shared" si="2"/>
        <v>8</v>
      </c>
      <c r="J72">
        <v>8</v>
      </c>
      <c r="K72">
        <f t="shared" si="3"/>
        <v>906.64</v>
      </c>
      <c r="L72" t="s">
        <v>401</v>
      </c>
    </row>
    <row r="73" spans="1:12" x14ac:dyDescent="0.2">
      <c r="A73" t="s">
        <v>455</v>
      </c>
      <c r="B73" t="s">
        <v>533</v>
      </c>
      <c r="C73" t="s">
        <v>534</v>
      </c>
      <c r="D73">
        <v>1</v>
      </c>
      <c r="E73">
        <v>8</v>
      </c>
      <c r="F73">
        <v>4</v>
      </c>
      <c r="G73">
        <v>21</v>
      </c>
      <c r="H73">
        <v>92.6</v>
      </c>
      <c r="I73">
        <f t="shared" si="2"/>
        <v>4</v>
      </c>
      <c r="J73">
        <v>4</v>
      </c>
      <c r="K73">
        <f t="shared" si="3"/>
        <v>370.4</v>
      </c>
      <c r="L73" t="s">
        <v>401</v>
      </c>
    </row>
    <row r="74" spans="1:12" x14ac:dyDescent="0.2">
      <c r="A74" t="s">
        <v>455</v>
      </c>
      <c r="B74" t="s">
        <v>535</v>
      </c>
      <c r="C74" t="s">
        <v>536</v>
      </c>
      <c r="D74">
        <v>1</v>
      </c>
      <c r="E74">
        <v>8</v>
      </c>
      <c r="F74">
        <v>4</v>
      </c>
      <c r="G74">
        <v>65</v>
      </c>
      <c r="H74">
        <v>1.21</v>
      </c>
      <c r="I74">
        <f t="shared" si="2"/>
        <v>4</v>
      </c>
      <c r="J74">
        <v>4</v>
      </c>
      <c r="K74">
        <f t="shared" si="3"/>
        <v>4.84</v>
      </c>
      <c r="L74" t="s">
        <v>401</v>
      </c>
    </row>
    <row r="75" spans="1:12" x14ac:dyDescent="0.2">
      <c r="A75" t="s">
        <v>455</v>
      </c>
      <c r="B75" t="s">
        <v>537</v>
      </c>
      <c r="C75" t="s">
        <v>538</v>
      </c>
      <c r="D75">
        <v>1</v>
      </c>
      <c r="E75">
        <v>8</v>
      </c>
      <c r="F75">
        <v>4</v>
      </c>
      <c r="G75">
        <v>121</v>
      </c>
      <c r="H75">
        <v>5.29</v>
      </c>
      <c r="I75">
        <f t="shared" si="2"/>
        <v>4</v>
      </c>
      <c r="J75">
        <v>4</v>
      </c>
      <c r="K75">
        <f t="shared" si="3"/>
        <v>21.16</v>
      </c>
      <c r="L75" t="s">
        <v>401</v>
      </c>
    </row>
    <row r="76" spans="1:12" x14ac:dyDescent="0.2">
      <c r="A76" t="s">
        <v>455</v>
      </c>
      <c r="B76" t="s">
        <v>539</v>
      </c>
      <c r="C76" t="s">
        <v>540</v>
      </c>
      <c r="D76">
        <v>2</v>
      </c>
      <c r="E76">
        <v>8</v>
      </c>
      <c r="F76">
        <v>4</v>
      </c>
      <c r="G76">
        <v>53</v>
      </c>
      <c r="H76">
        <v>13.54</v>
      </c>
      <c r="I76">
        <f t="shared" ref="I76:I84" si="4">ABS(((D76*(E76-F76))))</f>
        <v>8</v>
      </c>
      <c r="J76">
        <v>8</v>
      </c>
      <c r="K76">
        <f t="shared" si="3"/>
        <v>108.32</v>
      </c>
      <c r="L76" t="s">
        <v>401</v>
      </c>
    </row>
    <row r="77" spans="1:12" x14ac:dyDescent="0.2">
      <c r="A77" t="s">
        <v>455</v>
      </c>
      <c r="B77" t="s">
        <v>541</v>
      </c>
      <c r="C77" t="s">
        <v>542</v>
      </c>
      <c r="D77">
        <v>3</v>
      </c>
      <c r="E77">
        <v>8</v>
      </c>
      <c r="F77">
        <v>4</v>
      </c>
      <c r="G77">
        <v>0</v>
      </c>
      <c r="H77">
        <v>1.21</v>
      </c>
      <c r="I77">
        <f t="shared" si="4"/>
        <v>12</v>
      </c>
      <c r="J77">
        <v>0</v>
      </c>
      <c r="K77">
        <f t="shared" si="3"/>
        <v>0</v>
      </c>
      <c r="L77" t="s">
        <v>402</v>
      </c>
    </row>
    <row r="78" spans="1:12" x14ac:dyDescent="0.2">
      <c r="A78" t="s">
        <v>455</v>
      </c>
      <c r="B78" t="s">
        <v>543</v>
      </c>
      <c r="C78" t="s">
        <v>544</v>
      </c>
      <c r="D78">
        <v>2</v>
      </c>
      <c r="E78">
        <v>8</v>
      </c>
      <c r="F78">
        <v>4</v>
      </c>
      <c r="G78">
        <v>12598</v>
      </c>
      <c r="H78">
        <v>0.94</v>
      </c>
      <c r="I78">
        <f t="shared" si="4"/>
        <v>8</v>
      </c>
      <c r="J78">
        <v>8</v>
      </c>
      <c r="K78">
        <f t="shared" si="3"/>
        <v>7.52</v>
      </c>
      <c r="L78" t="s">
        <v>401</v>
      </c>
    </row>
    <row r="79" spans="1:12" x14ac:dyDescent="0.2">
      <c r="A79" t="s">
        <v>455</v>
      </c>
      <c r="B79" t="s">
        <v>545</v>
      </c>
      <c r="C79" t="s">
        <v>546</v>
      </c>
      <c r="D79">
        <v>1</v>
      </c>
      <c r="E79">
        <v>8</v>
      </c>
      <c r="F79">
        <v>4</v>
      </c>
      <c r="G79">
        <v>0</v>
      </c>
      <c r="H79">
        <v>125.88</v>
      </c>
      <c r="I79">
        <f t="shared" si="4"/>
        <v>4</v>
      </c>
      <c r="J79">
        <v>0</v>
      </c>
      <c r="K79">
        <f t="shared" si="3"/>
        <v>0</v>
      </c>
      <c r="L79" t="s">
        <v>402</v>
      </c>
    </row>
    <row r="80" spans="1:12" x14ac:dyDescent="0.2">
      <c r="A80" t="s">
        <v>455</v>
      </c>
      <c r="B80" t="s">
        <v>547</v>
      </c>
      <c r="C80" t="s">
        <v>548</v>
      </c>
      <c r="D80">
        <v>7</v>
      </c>
      <c r="E80">
        <v>8</v>
      </c>
      <c r="F80">
        <v>4</v>
      </c>
      <c r="G80">
        <v>30</v>
      </c>
      <c r="H80">
        <v>6.67</v>
      </c>
      <c r="I80">
        <f t="shared" si="4"/>
        <v>28</v>
      </c>
      <c r="J80">
        <v>28</v>
      </c>
      <c r="K80">
        <f t="shared" si="3"/>
        <v>186.76</v>
      </c>
      <c r="L80" t="s">
        <v>401</v>
      </c>
    </row>
    <row r="81" spans="1:12" x14ac:dyDescent="0.2">
      <c r="A81" t="s">
        <v>549</v>
      </c>
      <c r="B81" t="s">
        <v>209</v>
      </c>
      <c r="C81" t="s">
        <v>550</v>
      </c>
      <c r="D81">
        <v>1</v>
      </c>
      <c r="E81">
        <v>27</v>
      </c>
      <c r="F81">
        <v>2</v>
      </c>
      <c r="G81">
        <v>116</v>
      </c>
      <c r="H81">
        <v>41.04</v>
      </c>
      <c r="I81">
        <f t="shared" si="4"/>
        <v>25</v>
      </c>
      <c r="J81">
        <v>25</v>
      </c>
      <c r="K81">
        <f t="shared" si="3"/>
        <v>1026</v>
      </c>
      <c r="L81" t="s">
        <v>401</v>
      </c>
    </row>
    <row r="82" spans="1:12" x14ac:dyDescent="0.2">
      <c r="A82" t="s">
        <v>549</v>
      </c>
      <c r="B82" t="s">
        <v>212</v>
      </c>
      <c r="C82" t="s">
        <v>551</v>
      </c>
      <c r="D82">
        <v>1</v>
      </c>
      <c r="E82">
        <v>27</v>
      </c>
      <c r="F82">
        <v>2</v>
      </c>
      <c r="G82">
        <v>25</v>
      </c>
      <c r="H82">
        <v>274.87</v>
      </c>
      <c r="I82">
        <f t="shared" si="4"/>
        <v>25</v>
      </c>
      <c r="J82">
        <v>25</v>
      </c>
      <c r="K82">
        <f t="shared" si="3"/>
        <v>6871.75</v>
      </c>
      <c r="L82" t="s">
        <v>401</v>
      </c>
    </row>
    <row r="83" spans="1:12" x14ac:dyDescent="0.2">
      <c r="A83" t="s">
        <v>549</v>
      </c>
      <c r="B83" t="s">
        <v>552</v>
      </c>
      <c r="C83" t="s">
        <v>273</v>
      </c>
      <c r="D83">
        <v>2</v>
      </c>
      <c r="E83">
        <v>27</v>
      </c>
      <c r="F83">
        <v>2</v>
      </c>
      <c r="G83">
        <v>-1</v>
      </c>
      <c r="H83">
        <v>7.18</v>
      </c>
      <c r="I83">
        <f t="shared" si="4"/>
        <v>50</v>
      </c>
      <c r="J83">
        <v>0</v>
      </c>
      <c r="K83">
        <f t="shared" si="3"/>
        <v>0</v>
      </c>
      <c r="L83" t="s">
        <v>400</v>
      </c>
    </row>
    <row r="84" spans="1:12" x14ac:dyDescent="0.2">
      <c r="A84" t="s">
        <v>549</v>
      </c>
      <c r="B84" t="s">
        <v>553</v>
      </c>
      <c r="C84" t="s">
        <v>554</v>
      </c>
      <c r="D84">
        <v>2</v>
      </c>
      <c r="E84">
        <v>27</v>
      </c>
      <c r="F84">
        <v>2</v>
      </c>
      <c r="G84">
        <v>4220</v>
      </c>
      <c r="H84">
        <v>2.34</v>
      </c>
      <c r="I84">
        <f t="shared" si="4"/>
        <v>50</v>
      </c>
      <c r="J84">
        <v>50</v>
      </c>
      <c r="K84">
        <f t="shared" si="3"/>
        <v>117</v>
      </c>
      <c r="L84" t="s">
        <v>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7226-9C89-6649-9B21-C84D214A97B9}">
  <dimension ref="A1:F5839"/>
  <sheetViews>
    <sheetView topLeftCell="A271" workbookViewId="0">
      <selection activeCell="E2" sqref="E2"/>
    </sheetView>
  </sheetViews>
  <sheetFormatPr baseColWidth="10" defaultRowHeight="15" x14ac:dyDescent="0.2"/>
  <cols>
    <col min="3" max="3" width="24.33203125" bestFit="1" customWidth="1"/>
    <col min="4" max="4" width="11.83203125" bestFit="1" customWidth="1"/>
    <col min="5" max="5" width="20.33203125" bestFit="1" customWidth="1"/>
    <col min="6" max="6" width="15.6640625" bestFit="1" customWidth="1"/>
  </cols>
  <sheetData>
    <row r="1" spans="1:6" x14ac:dyDescent="0.2">
      <c r="A1" t="s">
        <v>392</v>
      </c>
      <c r="B1" t="s">
        <v>55</v>
      </c>
      <c r="C1" t="s">
        <v>56</v>
      </c>
      <c r="D1" t="s">
        <v>57</v>
      </c>
      <c r="E1" t="s">
        <v>58</v>
      </c>
      <c r="F1" t="s">
        <v>60</v>
      </c>
    </row>
    <row r="2" spans="1:6" x14ac:dyDescent="0.2">
      <c r="A2">
        <v>823</v>
      </c>
      <c r="B2" t="s">
        <v>62</v>
      </c>
      <c r="C2" t="s">
        <v>63</v>
      </c>
      <c r="D2">
        <v>1</v>
      </c>
      <c r="E2">
        <v>0.34860000000000002</v>
      </c>
      <c r="F2">
        <f>D2*E2</f>
        <v>0.34860000000000002</v>
      </c>
    </row>
    <row r="3" spans="1:6" x14ac:dyDescent="0.2">
      <c r="A3">
        <v>823</v>
      </c>
      <c r="B3" t="s">
        <v>64</v>
      </c>
      <c r="C3" t="s">
        <v>65</v>
      </c>
      <c r="D3">
        <v>1</v>
      </c>
      <c r="E3">
        <v>803.07692307692309</v>
      </c>
      <c r="F3">
        <f t="shared" ref="F3:F66" si="0">D3*E3</f>
        <v>803.07692307692309</v>
      </c>
    </row>
    <row r="4" spans="1:6" x14ac:dyDescent="0.2">
      <c r="A4">
        <v>823</v>
      </c>
      <c r="B4" t="s">
        <v>67</v>
      </c>
      <c r="C4" t="s">
        <v>68</v>
      </c>
      <c r="D4">
        <v>1</v>
      </c>
      <c r="E4">
        <v>49.678567679999993</v>
      </c>
      <c r="F4">
        <f t="shared" si="0"/>
        <v>49.678567679999993</v>
      </c>
    </row>
    <row r="5" spans="1:6" x14ac:dyDescent="0.2">
      <c r="A5">
        <v>823</v>
      </c>
      <c r="B5" t="s">
        <v>70</v>
      </c>
      <c r="C5" t="s">
        <v>71</v>
      </c>
      <c r="D5">
        <v>2</v>
      </c>
      <c r="E5">
        <v>407.98649999999998</v>
      </c>
      <c r="F5">
        <f t="shared" si="0"/>
        <v>815.97299999999996</v>
      </c>
    </row>
    <row r="6" spans="1:6" x14ac:dyDescent="0.2">
      <c r="A6">
        <v>823</v>
      </c>
      <c r="B6" t="s">
        <v>73</v>
      </c>
      <c r="C6" t="s">
        <v>74</v>
      </c>
      <c r="D6">
        <v>5</v>
      </c>
      <c r="E6">
        <v>0.57783935999999991</v>
      </c>
      <c r="F6">
        <f t="shared" si="0"/>
        <v>2.8891967999999997</v>
      </c>
    </row>
    <row r="7" spans="1:6" x14ac:dyDescent="0.2">
      <c r="A7">
        <v>823</v>
      </c>
      <c r="B7" t="s">
        <v>75</v>
      </c>
      <c r="C7" t="s">
        <v>76</v>
      </c>
      <c r="D7">
        <v>75</v>
      </c>
      <c r="E7">
        <v>0.1153846153846154</v>
      </c>
      <c r="F7">
        <f t="shared" si="0"/>
        <v>8.6538461538461551</v>
      </c>
    </row>
    <row r="8" spans="1:6" x14ac:dyDescent="0.2">
      <c r="A8">
        <v>823</v>
      </c>
      <c r="B8" t="s">
        <v>77</v>
      </c>
      <c r="C8" t="s">
        <v>74</v>
      </c>
      <c r="D8">
        <v>10</v>
      </c>
      <c r="E8">
        <v>1.3943999999999999</v>
      </c>
      <c r="F8">
        <f t="shared" si="0"/>
        <v>13.943999999999999</v>
      </c>
    </row>
    <row r="9" spans="1:6" x14ac:dyDescent="0.2">
      <c r="A9">
        <v>823</v>
      </c>
      <c r="B9" t="s">
        <v>78</v>
      </c>
      <c r="C9" t="s">
        <v>76</v>
      </c>
      <c r="D9">
        <v>20</v>
      </c>
      <c r="E9">
        <v>0.71839487999999996</v>
      </c>
      <c r="F9">
        <f t="shared" si="0"/>
        <v>14.367897599999999</v>
      </c>
    </row>
    <row r="10" spans="1:6" x14ac:dyDescent="0.2">
      <c r="A10">
        <v>823</v>
      </c>
      <c r="B10" t="s">
        <v>79</v>
      </c>
      <c r="C10" t="s">
        <v>74</v>
      </c>
      <c r="D10">
        <v>15</v>
      </c>
      <c r="E10">
        <v>1.9307692307692308</v>
      </c>
      <c r="F10">
        <f t="shared" si="0"/>
        <v>28.961538461538463</v>
      </c>
    </row>
    <row r="11" spans="1:6" x14ac:dyDescent="0.2">
      <c r="A11">
        <v>823</v>
      </c>
      <c r="B11" t="s">
        <v>80</v>
      </c>
      <c r="C11" t="s">
        <v>74</v>
      </c>
      <c r="D11">
        <v>40</v>
      </c>
      <c r="E11">
        <v>0.9544999999999999</v>
      </c>
      <c r="F11">
        <f t="shared" si="0"/>
        <v>38.179999999999993</v>
      </c>
    </row>
    <row r="12" spans="1:6" x14ac:dyDescent="0.2">
      <c r="A12">
        <v>823</v>
      </c>
      <c r="B12" t="s">
        <v>81</v>
      </c>
      <c r="C12" t="s">
        <v>74</v>
      </c>
      <c r="D12">
        <v>65</v>
      </c>
      <c r="E12">
        <v>0.76359999999999995</v>
      </c>
      <c r="F12">
        <f t="shared" si="0"/>
        <v>49.633999999999993</v>
      </c>
    </row>
    <row r="13" spans="1:6" x14ac:dyDescent="0.2">
      <c r="A13">
        <v>823</v>
      </c>
      <c r="B13" t="s">
        <v>82</v>
      </c>
      <c r="C13" t="s">
        <v>83</v>
      </c>
      <c r="D13">
        <v>5</v>
      </c>
      <c r="E13">
        <v>20.351599999999998</v>
      </c>
      <c r="F13">
        <f t="shared" si="0"/>
        <v>101.75799999999998</v>
      </c>
    </row>
    <row r="14" spans="1:6" x14ac:dyDescent="0.2">
      <c r="A14">
        <v>823</v>
      </c>
      <c r="B14" t="s">
        <v>84</v>
      </c>
      <c r="C14" t="s">
        <v>85</v>
      </c>
      <c r="D14">
        <v>5</v>
      </c>
      <c r="E14">
        <v>102.33222719999999</v>
      </c>
      <c r="F14">
        <f t="shared" si="0"/>
        <v>511.66113599999994</v>
      </c>
    </row>
    <row r="15" spans="1:6" x14ac:dyDescent="0.2">
      <c r="A15">
        <v>823</v>
      </c>
      <c r="B15" t="s">
        <v>86</v>
      </c>
      <c r="C15" t="s">
        <v>85</v>
      </c>
      <c r="D15">
        <v>5</v>
      </c>
      <c r="E15">
        <v>144.26462399999997</v>
      </c>
      <c r="F15">
        <f t="shared" si="0"/>
        <v>721.32311999999979</v>
      </c>
    </row>
    <row r="16" spans="1:6" x14ac:dyDescent="0.2">
      <c r="A16">
        <v>823</v>
      </c>
      <c r="B16" t="s">
        <v>87</v>
      </c>
      <c r="C16" t="s">
        <v>88</v>
      </c>
      <c r="D16">
        <v>5</v>
      </c>
      <c r="E16">
        <v>162.02147135999999</v>
      </c>
      <c r="F16">
        <f t="shared" si="0"/>
        <v>810.10735679999993</v>
      </c>
    </row>
    <row r="17" spans="1:6" x14ac:dyDescent="0.2">
      <c r="A17">
        <v>823</v>
      </c>
      <c r="B17" t="s">
        <v>89</v>
      </c>
      <c r="C17" t="s">
        <v>85</v>
      </c>
      <c r="D17">
        <v>5</v>
      </c>
      <c r="E17">
        <v>211.01287872</v>
      </c>
      <c r="F17">
        <f t="shared" si="0"/>
        <v>1055.0643936000001</v>
      </c>
    </row>
    <row r="18" spans="1:6" x14ac:dyDescent="0.2">
      <c r="A18">
        <v>823</v>
      </c>
      <c r="B18" t="s">
        <v>90</v>
      </c>
      <c r="C18" t="s">
        <v>88</v>
      </c>
      <c r="D18">
        <v>5</v>
      </c>
      <c r="E18">
        <v>238.16351999999995</v>
      </c>
      <c r="F18">
        <f t="shared" si="0"/>
        <v>1190.8175999999999</v>
      </c>
    </row>
    <row r="19" spans="1:6" x14ac:dyDescent="0.2">
      <c r="A19">
        <v>823</v>
      </c>
      <c r="B19" t="s">
        <v>92</v>
      </c>
      <c r="C19" t="s">
        <v>93</v>
      </c>
      <c r="D19">
        <v>5</v>
      </c>
      <c r="E19">
        <v>19.297499999999999</v>
      </c>
      <c r="F19">
        <f t="shared" si="0"/>
        <v>96.487499999999997</v>
      </c>
    </row>
    <row r="20" spans="1:6" x14ac:dyDescent="0.2">
      <c r="A20">
        <v>823</v>
      </c>
      <c r="B20" t="s">
        <v>94</v>
      </c>
      <c r="C20" t="s">
        <v>95</v>
      </c>
      <c r="D20">
        <v>1</v>
      </c>
      <c r="E20">
        <v>644.46267648000003</v>
      </c>
      <c r="F20">
        <f t="shared" si="0"/>
        <v>644.46267648000003</v>
      </c>
    </row>
    <row r="21" spans="1:6" x14ac:dyDescent="0.2">
      <c r="A21">
        <v>823</v>
      </c>
      <c r="B21" t="s">
        <v>236</v>
      </c>
      <c r="C21" t="s">
        <v>237</v>
      </c>
      <c r="D21">
        <v>6</v>
      </c>
      <c r="E21">
        <v>132.79999999999998</v>
      </c>
      <c r="F21">
        <f t="shared" si="0"/>
        <v>796.8</v>
      </c>
    </row>
    <row r="22" spans="1:6" x14ac:dyDescent="0.2">
      <c r="A22">
        <v>823</v>
      </c>
      <c r="B22" t="s">
        <v>238</v>
      </c>
      <c r="C22" t="s">
        <v>239</v>
      </c>
      <c r="D22">
        <v>4</v>
      </c>
      <c r="E22">
        <v>340.93846153846152</v>
      </c>
      <c r="F22">
        <f t="shared" si="0"/>
        <v>1363.7538461538461</v>
      </c>
    </row>
    <row r="23" spans="1:6" x14ac:dyDescent="0.2">
      <c r="A23">
        <v>823</v>
      </c>
      <c r="B23" t="s">
        <v>240</v>
      </c>
      <c r="C23" t="s">
        <v>241</v>
      </c>
      <c r="D23">
        <v>4</v>
      </c>
      <c r="E23">
        <v>309.01538461538462</v>
      </c>
      <c r="F23">
        <f t="shared" si="0"/>
        <v>1236.0615384615385</v>
      </c>
    </row>
    <row r="24" spans="1:6" x14ac:dyDescent="0.2">
      <c r="A24">
        <v>823</v>
      </c>
      <c r="B24" t="s">
        <v>242</v>
      </c>
      <c r="C24" t="s">
        <v>243</v>
      </c>
      <c r="D24">
        <v>2</v>
      </c>
      <c r="E24">
        <v>427.76923076923072</v>
      </c>
      <c r="F24">
        <f t="shared" si="0"/>
        <v>855.53846153846143</v>
      </c>
    </row>
    <row r="25" spans="1:6" x14ac:dyDescent="0.2">
      <c r="A25">
        <v>823</v>
      </c>
      <c r="B25" t="s">
        <v>244</v>
      </c>
      <c r="C25" t="s">
        <v>184</v>
      </c>
      <c r="D25">
        <v>4</v>
      </c>
      <c r="E25">
        <v>18.643076923076922</v>
      </c>
      <c r="F25">
        <f t="shared" si="0"/>
        <v>74.572307692307689</v>
      </c>
    </row>
    <row r="26" spans="1:6" x14ac:dyDescent="0.2">
      <c r="A26">
        <v>823</v>
      </c>
      <c r="B26" t="s">
        <v>245</v>
      </c>
      <c r="C26" t="s">
        <v>246</v>
      </c>
      <c r="D26">
        <v>8</v>
      </c>
      <c r="E26">
        <v>0.44819999999999999</v>
      </c>
      <c r="F26">
        <f t="shared" si="0"/>
        <v>3.5855999999999999</v>
      </c>
    </row>
    <row r="27" spans="1:6" x14ac:dyDescent="0.2">
      <c r="A27">
        <v>823</v>
      </c>
      <c r="B27" t="s">
        <v>75</v>
      </c>
      <c r="C27" t="s">
        <v>247</v>
      </c>
      <c r="D27">
        <v>8</v>
      </c>
      <c r="E27">
        <v>0.1153846153846154</v>
      </c>
      <c r="F27">
        <f t="shared" si="0"/>
        <v>0.92307692307692324</v>
      </c>
    </row>
    <row r="28" spans="1:6" x14ac:dyDescent="0.2">
      <c r="A28">
        <v>823</v>
      </c>
      <c r="B28" t="s">
        <v>197</v>
      </c>
      <c r="C28" t="s">
        <v>117</v>
      </c>
      <c r="D28">
        <v>8</v>
      </c>
      <c r="E28">
        <v>7.4699999999999989E-2</v>
      </c>
      <c r="F28">
        <f t="shared" si="0"/>
        <v>0.59759999999999991</v>
      </c>
    </row>
    <row r="29" spans="1:6" x14ac:dyDescent="0.2">
      <c r="A29">
        <v>823</v>
      </c>
      <c r="B29" t="s">
        <v>248</v>
      </c>
      <c r="C29" t="s">
        <v>249</v>
      </c>
      <c r="D29">
        <v>1</v>
      </c>
      <c r="E29">
        <v>31064.984615384612</v>
      </c>
      <c r="F29">
        <f t="shared" si="0"/>
        <v>31064.984615384612</v>
      </c>
    </row>
    <row r="30" spans="1:6" x14ac:dyDescent="0.2">
      <c r="A30">
        <v>823</v>
      </c>
      <c r="B30" t="s">
        <v>250</v>
      </c>
      <c r="C30" t="s">
        <v>251</v>
      </c>
      <c r="D30">
        <v>2</v>
      </c>
      <c r="E30">
        <v>564.54124607999995</v>
      </c>
      <c r="F30">
        <f t="shared" si="0"/>
        <v>1129.0824921599999</v>
      </c>
    </row>
    <row r="31" spans="1:6" x14ac:dyDescent="0.2">
      <c r="A31">
        <v>823</v>
      </c>
      <c r="B31" t="s">
        <v>146</v>
      </c>
      <c r="C31" t="s">
        <v>147</v>
      </c>
      <c r="D31">
        <v>5</v>
      </c>
      <c r="E31">
        <v>8021.5764999999992</v>
      </c>
      <c r="F31">
        <f t="shared" si="0"/>
        <v>40107.882499999992</v>
      </c>
    </row>
    <row r="32" spans="1:6" x14ac:dyDescent="0.2">
      <c r="A32">
        <v>823</v>
      </c>
      <c r="B32" t="s">
        <v>215</v>
      </c>
      <c r="C32" t="s">
        <v>208</v>
      </c>
      <c r="D32">
        <v>1</v>
      </c>
      <c r="E32">
        <v>1.42898112</v>
      </c>
      <c r="F32">
        <f t="shared" si="0"/>
        <v>1.42898112</v>
      </c>
    </row>
    <row r="33" spans="1:6" x14ac:dyDescent="0.2">
      <c r="A33">
        <v>823</v>
      </c>
      <c r="B33" t="s">
        <v>200</v>
      </c>
      <c r="C33" t="s">
        <v>199</v>
      </c>
      <c r="D33">
        <v>3</v>
      </c>
      <c r="E33">
        <v>0.66373439999999995</v>
      </c>
      <c r="F33">
        <f t="shared" si="0"/>
        <v>1.9912031999999997</v>
      </c>
    </row>
    <row r="34" spans="1:6" x14ac:dyDescent="0.2">
      <c r="A34">
        <v>823</v>
      </c>
      <c r="B34" t="s">
        <v>216</v>
      </c>
      <c r="C34" t="s">
        <v>199</v>
      </c>
      <c r="D34">
        <v>1</v>
      </c>
      <c r="E34">
        <v>0.66400000000000003</v>
      </c>
      <c r="F34">
        <f t="shared" si="0"/>
        <v>0.66400000000000003</v>
      </c>
    </row>
    <row r="35" spans="1:6" x14ac:dyDescent="0.2">
      <c r="A35">
        <v>823</v>
      </c>
      <c r="B35" t="s">
        <v>217</v>
      </c>
      <c r="C35" t="s">
        <v>199</v>
      </c>
      <c r="D35">
        <v>1</v>
      </c>
      <c r="E35">
        <v>4.2164000000000001</v>
      </c>
      <c r="F35">
        <f t="shared" si="0"/>
        <v>4.2164000000000001</v>
      </c>
    </row>
    <row r="36" spans="1:6" x14ac:dyDescent="0.2">
      <c r="A36">
        <v>823</v>
      </c>
      <c r="B36" t="s">
        <v>218</v>
      </c>
      <c r="C36" t="s">
        <v>208</v>
      </c>
      <c r="D36">
        <v>3</v>
      </c>
      <c r="E36">
        <v>7.3454999999999995</v>
      </c>
      <c r="F36">
        <f t="shared" si="0"/>
        <v>22.036499999999997</v>
      </c>
    </row>
    <row r="37" spans="1:6" x14ac:dyDescent="0.2">
      <c r="A37">
        <v>823</v>
      </c>
      <c r="B37" t="s">
        <v>219</v>
      </c>
      <c r="C37" t="s">
        <v>199</v>
      </c>
      <c r="D37">
        <v>2</v>
      </c>
      <c r="E37">
        <v>1.4774</v>
      </c>
      <c r="F37">
        <f t="shared" si="0"/>
        <v>2.9548000000000001</v>
      </c>
    </row>
    <row r="38" spans="1:6" x14ac:dyDescent="0.2">
      <c r="A38">
        <v>823</v>
      </c>
      <c r="B38" t="s">
        <v>220</v>
      </c>
      <c r="C38" t="s">
        <v>208</v>
      </c>
      <c r="D38">
        <v>1</v>
      </c>
      <c r="E38">
        <v>3.7267000000000001</v>
      </c>
      <c r="F38">
        <f t="shared" si="0"/>
        <v>3.7267000000000001</v>
      </c>
    </row>
    <row r="39" spans="1:6" x14ac:dyDescent="0.2">
      <c r="A39">
        <v>823</v>
      </c>
      <c r="B39" t="s">
        <v>221</v>
      </c>
      <c r="C39" t="s">
        <v>199</v>
      </c>
      <c r="D39">
        <v>5</v>
      </c>
      <c r="E39">
        <v>0.97939999999999994</v>
      </c>
      <c r="F39">
        <f t="shared" si="0"/>
        <v>4.8969999999999994</v>
      </c>
    </row>
    <row r="40" spans="1:6" x14ac:dyDescent="0.2">
      <c r="A40">
        <v>823</v>
      </c>
      <c r="B40" t="s">
        <v>222</v>
      </c>
      <c r="C40" t="s">
        <v>208</v>
      </c>
      <c r="D40">
        <v>1</v>
      </c>
      <c r="E40">
        <v>6.0672999999999995</v>
      </c>
      <c r="F40">
        <f t="shared" si="0"/>
        <v>6.0672999999999995</v>
      </c>
    </row>
    <row r="41" spans="1:6" x14ac:dyDescent="0.2">
      <c r="A41">
        <v>823</v>
      </c>
      <c r="B41" t="s">
        <v>223</v>
      </c>
      <c r="C41" t="s">
        <v>224</v>
      </c>
      <c r="D41">
        <v>1</v>
      </c>
      <c r="E41">
        <v>19.4635</v>
      </c>
      <c r="F41">
        <f t="shared" si="0"/>
        <v>19.4635</v>
      </c>
    </row>
    <row r="42" spans="1:6" x14ac:dyDescent="0.2">
      <c r="A42">
        <v>823</v>
      </c>
      <c r="B42" t="s">
        <v>225</v>
      </c>
      <c r="C42" t="s">
        <v>226</v>
      </c>
      <c r="D42">
        <v>1</v>
      </c>
      <c r="E42">
        <v>10.221509759999998</v>
      </c>
      <c r="F42">
        <f t="shared" si="0"/>
        <v>10.221509759999998</v>
      </c>
    </row>
    <row r="43" spans="1:6" x14ac:dyDescent="0.2">
      <c r="A43">
        <v>823</v>
      </c>
      <c r="B43" t="s">
        <v>227</v>
      </c>
      <c r="C43" t="s">
        <v>208</v>
      </c>
      <c r="D43">
        <v>5</v>
      </c>
      <c r="E43">
        <v>3.6307692307692312</v>
      </c>
      <c r="F43">
        <f t="shared" si="0"/>
        <v>18.153846153846157</v>
      </c>
    </row>
    <row r="44" spans="1:6" x14ac:dyDescent="0.2">
      <c r="A44">
        <v>823</v>
      </c>
      <c r="B44" t="s">
        <v>228</v>
      </c>
      <c r="C44" t="s">
        <v>229</v>
      </c>
      <c r="D44">
        <v>5</v>
      </c>
      <c r="E44">
        <v>306.94982975999994</v>
      </c>
      <c r="F44">
        <f t="shared" si="0"/>
        <v>1534.7491487999996</v>
      </c>
    </row>
    <row r="45" spans="1:6" x14ac:dyDescent="0.2">
      <c r="A45">
        <v>823</v>
      </c>
      <c r="B45" t="s">
        <v>116</v>
      </c>
      <c r="C45" t="s">
        <v>117</v>
      </c>
      <c r="D45">
        <v>1</v>
      </c>
      <c r="E45">
        <v>0.25729999999999997</v>
      </c>
      <c r="F45">
        <f t="shared" si="0"/>
        <v>0.25729999999999997</v>
      </c>
    </row>
    <row r="46" spans="1:6" x14ac:dyDescent="0.2">
      <c r="A46">
        <v>823</v>
      </c>
      <c r="B46" t="s">
        <v>78</v>
      </c>
      <c r="C46" t="s">
        <v>76</v>
      </c>
      <c r="D46">
        <v>1</v>
      </c>
      <c r="E46">
        <v>0.71839487999999996</v>
      </c>
      <c r="F46">
        <f t="shared" si="0"/>
        <v>0.71839487999999996</v>
      </c>
    </row>
    <row r="47" spans="1:6" x14ac:dyDescent="0.2">
      <c r="A47">
        <v>823</v>
      </c>
      <c r="B47" t="s">
        <v>231</v>
      </c>
      <c r="C47" t="s">
        <v>208</v>
      </c>
      <c r="D47">
        <v>4</v>
      </c>
      <c r="E47">
        <v>2.0832999999999999</v>
      </c>
      <c r="F47">
        <f t="shared" si="0"/>
        <v>8.3331999999999997</v>
      </c>
    </row>
    <row r="48" spans="1:6" x14ac:dyDescent="0.2">
      <c r="A48">
        <v>823</v>
      </c>
      <c r="B48" t="s">
        <v>232</v>
      </c>
      <c r="C48" t="s">
        <v>119</v>
      </c>
      <c r="D48">
        <v>3</v>
      </c>
      <c r="E48">
        <v>1.5935999999999999</v>
      </c>
      <c r="F48">
        <f t="shared" si="0"/>
        <v>4.7807999999999993</v>
      </c>
    </row>
    <row r="49" spans="1:6" x14ac:dyDescent="0.2">
      <c r="A49">
        <v>823</v>
      </c>
      <c r="B49" t="s">
        <v>233</v>
      </c>
      <c r="C49" t="s">
        <v>234</v>
      </c>
      <c r="D49">
        <v>1</v>
      </c>
      <c r="E49">
        <v>3989.2954</v>
      </c>
      <c r="F49">
        <f t="shared" si="0"/>
        <v>3989.2954</v>
      </c>
    </row>
    <row r="50" spans="1:6" x14ac:dyDescent="0.2">
      <c r="A50">
        <v>823</v>
      </c>
      <c r="B50" t="s">
        <v>142</v>
      </c>
      <c r="C50" t="s">
        <v>143</v>
      </c>
      <c r="D50">
        <v>3</v>
      </c>
      <c r="E50">
        <v>18141.642</v>
      </c>
      <c r="F50">
        <f t="shared" si="0"/>
        <v>54424.925999999999</v>
      </c>
    </row>
    <row r="51" spans="1:6" x14ac:dyDescent="0.2">
      <c r="A51">
        <v>823</v>
      </c>
      <c r="B51" t="s">
        <v>144</v>
      </c>
      <c r="C51" t="s">
        <v>145</v>
      </c>
      <c r="D51">
        <v>2</v>
      </c>
      <c r="E51">
        <v>7346.6769230769241</v>
      </c>
      <c r="F51">
        <f t="shared" si="0"/>
        <v>14693.353846153848</v>
      </c>
    </row>
    <row r="52" spans="1:6" x14ac:dyDescent="0.2">
      <c r="A52">
        <v>823</v>
      </c>
      <c r="B52" t="s">
        <v>197</v>
      </c>
      <c r="C52" t="s">
        <v>117</v>
      </c>
      <c r="D52">
        <v>4</v>
      </c>
      <c r="E52">
        <v>7.4699999999999989E-2</v>
      </c>
      <c r="F52">
        <f t="shared" si="0"/>
        <v>0.29879999999999995</v>
      </c>
    </row>
    <row r="53" spans="1:6" x14ac:dyDescent="0.2">
      <c r="A53">
        <v>823</v>
      </c>
      <c r="B53" t="s">
        <v>198</v>
      </c>
      <c r="C53" t="s">
        <v>199</v>
      </c>
      <c r="D53">
        <v>1</v>
      </c>
      <c r="E53">
        <v>0.66373439999999995</v>
      </c>
      <c r="F53">
        <f t="shared" si="0"/>
        <v>0.66373439999999995</v>
      </c>
    </row>
    <row r="54" spans="1:6" x14ac:dyDescent="0.2">
      <c r="A54">
        <v>823</v>
      </c>
      <c r="B54" t="s">
        <v>200</v>
      </c>
      <c r="C54" t="s">
        <v>199</v>
      </c>
      <c r="D54">
        <v>118</v>
      </c>
      <c r="E54">
        <v>0.66373439999999995</v>
      </c>
      <c r="F54">
        <f t="shared" si="0"/>
        <v>78.320659199999994</v>
      </c>
    </row>
    <row r="55" spans="1:6" x14ac:dyDescent="0.2">
      <c r="A55">
        <v>823</v>
      </c>
      <c r="B55" t="s">
        <v>201</v>
      </c>
      <c r="C55" t="s">
        <v>76</v>
      </c>
      <c r="D55">
        <v>1</v>
      </c>
      <c r="E55">
        <v>0.22645055999999994</v>
      </c>
      <c r="F55">
        <f t="shared" si="0"/>
        <v>0.22645055999999994</v>
      </c>
    </row>
    <row r="56" spans="1:6" x14ac:dyDescent="0.2">
      <c r="A56">
        <v>823</v>
      </c>
      <c r="B56" t="s">
        <v>202</v>
      </c>
      <c r="C56" t="s">
        <v>203</v>
      </c>
      <c r="D56">
        <v>1</v>
      </c>
      <c r="E56">
        <v>12.45</v>
      </c>
      <c r="F56">
        <f t="shared" si="0"/>
        <v>12.45</v>
      </c>
    </row>
    <row r="57" spans="1:6" x14ac:dyDescent="0.2">
      <c r="A57">
        <v>823</v>
      </c>
      <c r="B57" t="s">
        <v>204</v>
      </c>
      <c r="C57" t="s">
        <v>205</v>
      </c>
      <c r="D57">
        <v>3</v>
      </c>
      <c r="E57">
        <v>103.72216512</v>
      </c>
      <c r="F57">
        <f t="shared" si="0"/>
        <v>311.16649536</v>
      </c>
    </row>
    <row r="58" spans="1:6" x14ac:dyDescent="0.2">
      <c r="A58">
        <v>823</v>
      </c>
      <c r="B58" t="s">
        <v>116</v>
      </c>
      <c r="C58" t="s">
        <v>117</v>
      </c>
      <c r="D58">
        <v>1</v>
      </c>
      <c r="E58">
        <v>0.25729999999999997</v>
      </c>
      <c r="F58">
        <f t="shared" si="0"/>
        <v>0.25729999999999997</v>
      </c>
    </row>
    <row r="59" spans="1:6" x14ac:dyDescent="0.2">
      <c r="A59">
        <v>823</v>
      </c>
      <c r="B59" t="s">
        <v>78</v>
      </c>
      <c r="C59" t="s">
        <v>76</v>
      </c>
      <c r="D59">
        <v>2</v>
      </c>
      <c r="E59">
        <v>0.71839487999999996</v>
      </c>
      <c r="F59">
        <f t="shared" si="0"/>
        <v>1.4367897599999999</v>
      </c>
    </row>
    <row r="60" spans="1:6" x14ac:dyDescent="0.2">
      <c r="A60">
        <v>823</v>
      </c>
      <c r="B60" t="s">
        <v>207</v>
      </c>
      <c r="C60" t="s">
        <v>208</v>
      </c>
      <c r="D60">
        <v>3</v>
      </c>
      <c r="E60">
        <v>4.6314000000000002</v>
      </c>
      <c r="F60">
        <f t="shared" si="0"/>
        <v>13.894200000000001</v>
      </c>
    </row>
    <row r="61" spans="1:6" x14ac:dyDescent="0.2">
      <c r="A61">
        <v>823</v>
      </c>
      <c r="B61" t="s">
        <v>209</v>
      </c>
      <c r="C61" t="s">
        <v>210</v>
      </c>
      <c r="D61">
        <v>6</v>
      </c>
      <c r="E61">
        <v>39.550761599999994</v>
      </c>
      <c r="F61">
        <f t="shared" si="0"/>
        <v>237.30456959999998</v>
      </c>
    </row>
    <row r="62" spans="1:6" x14ac:dyDescent="0.2">
      <c r="A62">
        <v>823</v>
      </c>
      <c r="B62" t="s">
        <v>211</v>
      </c>
      <c r="C62" t="s">
        <v>203</v>
      </c>
      <c r="D62">
        <v>6</v>
      </c>
      <c r="E62">
        <v>25.754899999999999</v>
      </c>
      <c r="F62">
        <f t="shared" si="0"/>
        <v>154.52940000000001</v>
      </c>
    </row>
    <row r="63" spans="1:6" x14ac:dyDescent="0.2">
      <c r="A63">
        <v>823</v>
      </c>
      <c r="B63" t="s">
        <v>212</v>
      </c>
      <c r="C63" t="s">
        <v>213</v>
      </c>
      <c r="D63">
        <v>1</v>
      </c>
      <c r="E63">
        <v>272.92059999999998</v>
      </c>
      <c r="F63">
        <f t="shared" si="0"/>
        <v>272.92059999999998</v>
      </c>
    </row>
    <row r="64" spans="1:6" x14ac:dyDescent="0.2">
      <c r="A64">
        <v>823</v>
      </c>
      <c r="B64" t="s">
        <v>149</v>
      </c>
      <c r="C64" t="s">
        <v>150</v>
      </c>
      <c r="D64">
        <v>3</v>
      </c>
      <c r="E64">
        <v>0.7054999999999999</v>
      </c>
      <c r="F64">
        <f t="shared" si="0"/>
        <v>2.1164999999999998</v>
      </c>
    </row>
    <row r="65" spans="1:6" x14ac:dyDescent="0.2">
      <c r="A65">
        <v>823</v>
      </c>
      <c r="B65" t="s">
        <v>151</v>
      </c>
      <c r="C65" t="s">
        <v>152</v>
      </c>
      <c r="D65">
        <v>1</v>
      </c>
      <c r="E65">
        <v>5.6190999999999995</v>
      </c>
      <c r="F65">
        <f t="shared" si="0"/>
        <v>5.6190999999999995</v>
      </c>
    </row>
    <row r="66" spans="1:6" x14ac:dyDescent="0.2">
      <c r="A66">
        <v>823</v>
      </c>
      <c r="B66" t="s">
        <v>153</v>
      </c>
      <c r="C66" t="s">
        <v>119</v>
      </c>
      <c r="D66">
        <v>1</v>
      </c>
      <c r="E66">
        <v>1.11663552</v>
      </c>
      <c r="F66">
        <f t="shared" si="0"/>
        <v>1.11663552</v>
      </c>
    </row>
    <row r="67" spans="1:6" x14ac:dyDescent="0.2">
      <c r="A67">
        <v>823</v>
      </c>
      <c r="B67" t="s">
        <v>154</v>
      </c>
      <c r="C67" t="s">
        <v>117</v>
      </c>
      <c r="D67">
        <v>3</v>
      </c>
      <c r="E67">
        <v>4.3657999999999992</v>
      </c>
      <c r="F67">
        <f t="shared" ref="F67:F130" si="1">D67*E67</f>
        <v>13.097399999999997</v>
      </c>
    </row>
    <row r="68" spans="1:6" x14ac:dyDescent="0.2">
      <c r="A68">
        <v>823</v>
      </c>
      <c r="B68" t="s">
        <v>155</v>
      </c>
      <c r="C68" t="s">
        <v>156</v>
      </c>
      <c r="D68">
        <v>2</v>
      </c>
      <c r="E68">
        <v>28.551999999999996</v>
      </c>
      <c r="F68">
        <f t="shared" si="1"/>
        <v>57.103999999999992</v>
      </c>
    </row>
    <row r="69" spans="1:6" x14ac:dyDescent="0.2">
      <c r="A69">
        <v>823</v>
      </c>
      <c r="B69" t="s">
        <v>157</v>
      </c>
      <c r="C69" t="s">
        <v>158</v>
      </c>
      <c r="D69">
        <v>1</v>
      </c>
      <c r="E69">
        <v>29.456700000000001</v>
      </c>
      <c r="F69">
        <f t="shared" si="1"/>
        <v>29.456700000000001</v>
      </c>
    </row>
    <row r="70" spans="1:6" x14ac:dyDescent="0.2">
      <c r="A70">
        <v>823</v>
      </c>
      <c r="B70" t="s">
        <v>159</v>
      </c>
      <c r="C70" t="s">
        <v>117</v>
      </c>
      <c r="D70">
        <v>5</v>
      </c>
      <c r="E70">
        <v>11.976899999999999</v>
      </c>
      <c r="F70">
        <f t="shared" si="1"/>
        <v>59.884499999999996</v>
      </c>
    </row>
    <row r="71" spans="1:6" x14ac:dyDescent="0.2">
      <c r="A71">
        <v>823</v>
      </c>
      <c r="B71" t="s">
        <v>116</v>
      </c>
      <c r="C71" t="s">
        <v>117</v>
      </c>
      <c r="D71">
        <v>1</v>
      </c>
      <c r="E71">
        <v>0.25729999999999997</v>
      </c>
      <c r="F71">
        <f t="shared" si="1"/>
        <v>0.25729999999999997</v>
      </c>
    </row>
    <row r="72" spans="1:6" x14ac:dyDescent="0.2">
      <c r="A72">
        <v>823</v>
      </c>
      <c r="B72" t="s">
        <v>160</v>
      </c>
      <c r="C72" t="s">
        <v>161</v>
      </c>
      <c r="D72">
        <v>1</v>
      </c>
      <c r="E72">
        <v>15.9194</v>
      </c>
      <c r="F72">
        <f t="shared" si="1"/>
        <v>15.9194</v>
      </c>
    </row>
    <row r="73" spans="1:6" x14ac:dyDescent="0.2">
      <c r="A73">
        <v>823</v>
      </c>
      <c r="B73" t="s">
        <v>162</v>
      </c>
      <c r="C73" t="s">
        <v>163</v>
      </c>
      <c r="D73">
        <v>1</v>
      </c>
      <c r="E73">
        <v>62.822699999999998</v>
      </c>
      <c r="F73">
        <f t="shared" si="1"/>
        <v>62.822699999999998</v>
      </c>
    </row>
    <row r="74" spans="1:6" x14ac:dyDescent="0.2">
      <c r="A74">
        <v>823</v>
      </c>
      <c r="B74" t="s">
        <v>164</v>
      </c>
      <c r="C74" t="s">
        <v>165</v>
      </c>
      <c r="D74">
        <v>5</v>
      </c>
      <c r="E74">
        <v>29.381999999999998</v>
      </c>
      <c r="F74">
        <f t="shared" si="1"/>
        <v>146.91</v>
      </c>
    </row>
    <row r="75" spans="1:6" x14ac:dyDescent="0.2">
      <c r="A75">
        <v>823</v>
      </c>
      <c r="B75" t="s">
        <v>166</v>
      </c>
      <c r="C75" t="s">
        <v>76</v>
      </c>
      <c r="D75">
        <v>5</v>
      </c>
      <c r="E75">
        <v>0.97109999999999985</v>
      </c>
      <c r="F75">
        <f t="shared" si="1"/>
        <v>4.8554999999999993</v>
      </c>
    </row>
    <row r="76" spans="1:6" x14ac:dyDescent="0.2">
      <c r="A76">
        <v>823</v>
      </c>
      <c r="B76" t="s">
        <v>167</v>
      </c>
      <c r="C76" t="s">
        <v>168</v>
      </c>
      <c r="D76">
        <v>1</v>
      </c>
      <c r="E76">
        <v>68.201099999999997</v>
      </c>
      <c r="F76">
        <f t="shared" si="1"/>
        <v>68.201099999999997</v>
      </c>
    </row>
    <row r="77" spans="1:6" x14ac:dyDescent="0.2">
      <c r="A77">
        <v>823</v>
      </c>
      <c r="B77" t="s">
        <v>169</v>
      </c>
      <c r="C77" t="s">
        <v>119</v>
      </c>
      <c r="D77">
        <v>1</v>
      </c>
      <c r="E77">
        <v>26.078600000000002</v>
      </c>
      <c r="F77">
        <f t="shared" si="1"/>
        <v>26.078600000000002</v>
      </c>
    </row>
    <row r="78" spans="1:6" x14ac:dyDescent="0.2">
      <c r="A78">
        <v>823</v>
      </c>
      <c r="B78" t="s">
        <v>170</v>
      </c>
      <c r="C78" t="s">
        <v>171</v>
      </c>
      <c r="D78">
        <v>4</v>
      </c>
      <c r="E78">
        <v>15.438000000000001</v>
      </c>
      <c r="F78">
        <f t="shared" si="1"/>
        <v>61.752000000000002</v>
      </c>
    </row>
    <row r="79" spans="1:6" x14ac:dyDescent="0.2">
      <c r="A79">
        <v>823</v>
      </c>
      <c r="B79" t="s">
        <v>172</v>
      </c>
      <c r="C79" t="s">
        <v>173</v>
      </c>
      <c r="D79">
        <v>3</v>
      </c>
      <c r="E79">
        <v>158.41380000000001</v>
      </c>
      <c r="F79">
        <f t="shared" si="1"/>
        <v>475.2414</v>
      </c>
    </row>
    <row r="80" spans="1:6" x14ac:dyDescent="0.2">
      <c r="A80">
        <v>823</v>
      </c>
      <c r="B80" t="s">
        <v>174</v>
      </c>
      <c r="C80" t="s">
        <v>119</v>
      </c>
      <c r="D80">
        <v>1</v>
      </c>
      <c r="E80">
        <v>1.2616000000000001</v>
      </c>
      <c r="F80">
        <f t="shared" si="1"/>
        <v>1.2616000000000001</v>
      </c>
    </row>
    <row r="81" spans="1:6" x14ac:dyDescent="0.2">
      <c r="A81">
        <v>823</v>
      </c>
      <c r="B81" t="s">
        <v>175</v>
      </c>
      <c r="C81" t="s">
        <v>176</v>
      </c>
      <c r="D81">
        <v>3</v>
      </c>
      <c r="E81">
        <v>194.7595</v>
      </c>
      <c r="F81">
        <f t="shared" si="1"/>
        <v>584.27850000000001</v>
      </c>
    </row>
    <row r="82" spans="1:6" x14ac:dyDescent="0.2">
      <c r="A82">
        <v>823</v>
      </c>
      <c r="B82" t="s">
        <v>177</v>
      </c>
      <c r="C82" t="s">
        <v>178</v>
      </c>
      <c r="D82">
        <v>2</v>
      </c>
      <c r="E82">
        <v>1660.6244256000002</v>
      </c>
      <c r="F82">
        <f t="shared" si="1"/>
        <v>3321.2488512000004</v>
      </c>
    </row>
    <row r="83" spans="1:6" x14ac:dyDescent="0.2">
      <c r="A83">
        <v>823</v>
      </c>
      <c r="B83" t="s">
        <v>179</v>
      </c>
      <c r="C83" t="s">
        <v>119</v>
      </c>
      <c r="D83">
        <v>4</v>
      </c>
      <c r="E83">
        <v>32.444700000000005</v>
      </c>
      <c r="F83">
        <f t="shared" si="1"/>
        <v>129.77880000000002</v>
      </c>
    </row>
    <row r="84" spans="1:6" x14ac:dyDescent="0.2">
      <c r="A84">
        <v>823</v>
      </c>
      <c r="B84" t="s">
        <v>180</v>
      </c>
      <c r="C84" t="s">
        <v>181</v>
      </c>
      <c r="D84">
        <v>1</v>
      </c>
      <c r="E84">
        <v>64.117499999999993</v>
      </c>
      <c r="F84">
        <f t="shared" si="1"/>
        <v>64.117499999999993</v>
      </c>
    </row>
    <row r="85" spans="1:6" x14ac:dyDescent="0.2">
      <c r="A85">
        <v>823</v>
      </c>
      <c r="B85" t="s">
        <v>182</v>
      </c>
      <c r="C85" t="s">
        <v>158</v>
      </c>
      <c r="D85">
        <v>118</v>
      </c>
      <c r="E85">
        <v>80.788189439999996</v>
      </c>
      <c r="F85">
        <f t="shared" si="1"/>
        <v>9533.00635392</v>
      </c>
    </row>
    <row r="86" spans="1:6" x14ac:dyDescent="0.2">
      <c r="A86">
        <v>823</v>
      </c>
      <c r="B86" t="s">
        <v>183</v>
      </c>
      <c r="C86" t="s">
        <v>184</v>
      </c>
      <c r="D86">
        <v>1</v>
      </c>
      <c r="E86">
        <v>548.61538461538476</v>
      </c>
      <c r="F86">
        <f t="shared" si="1"/>
        <v>548.61538461538476</v>
      </c>
    </row>
    <row r="87" spans="1:6" x14ac:dyDescent="0.2">
      <c r="A87">
        <v>823</v>
      </c>
      <c r="B87" t="s">
        <v>185</v>
      </c>
      <c r="C87" t="s">
        <v>186</v>
      </c>
      <c r="D87">
        <v>1</v>
      </c>
      <c r="E87">
        <v>278.05</v>
      </c>
      <c r="F87">
        <f t="shared" si="1"/>
        <v>278.05</v>
      </c>
    </row>
    <row r="88" spans="1:6" x14ac:dyDescent="0.2">
      <c r="A88">
        <v>823</v>
      </c>
      <c r="B88" t="s">
        <v>187</v>
      </c>
      <c r="C88" t="s">
        <v>188</v>
      </c>
      <c r="D88">
        <v>3</v>
      </c>
      <c r="E88">
        <v>105.03649999999999</v>
      </c>
      <c r="F88">
        <f t="shared" si="1"/>
        <v>315.10949999999997</v>
      </c>
    </row>
    <row r="89" spans="1:6" x14ac:dyDescent="0.2">
      <c r="A89">
        <v>823</v>
      </c>
      <c r="B89" t="s">
        <v>189</v>
      </c>
      <c r="C89" t="s">
        <v>163</v>
      </c>
      <c r="D89">
        <v>1</v>
      </c>
      <c r="E89">
        <v>154.25968320000001</v>
      </c>
      <c r="F89">
        <f t="shared" si="1"/>
        <v>154.25968320000001</v>
      </c>
    </row>
    <row r="90" spans="1:6" x14ac:dyDescent="0.2">
      <c r="A90">
        <v>823</v>
      </c>
      <c r="B90" t="s">
        <v>190</v>
      </c>
      <c r="C90" t="s">
        <v>191</v>
      </c>
      <c r="D90">
        <v>2</v>
      </c>
      <c r="E90">
        <v>1397.886</v>
      </c>
      <c r="F90">
        <f t="shared" si="1"/>
        <v>2795.7719999999999</v>
      </c>
    </row>
    <row r="91" spans="1:6" x14ac:dyDescent="0.2">
      <c r="A91">
        <v>823</v>
      </c>
      <c r="B91" t="s">
        <v>192</v>
      </c>
      <c r="C91" t="s">
        <v>193</v>
      </c>
      <c r="D91">
        <v>3</v>
      </c>
      <c r="E91">
        <v>843.03639167999984</v>
      </c>
      <c r="F91">
        <f t="shared" si="1"/>
        <v>2529.1091750399996</v>
      </c>
    </row>
    <row r="92" spans="1:6" x14ac:dyDescent="0.2">
      <c r="A92">
        <v>823</v>
      </c>
      <c r="B92" t="s">
        <v>194</v>
      </c>
      <c r="C92" t="s">
        <v>193</v>
      </c>
      <c r="D92">
        <v>6</v>
      </c>
      <c r="E92">
        <v>868.20489999999995</v>
      </c>
      <c r="F92">
        <f t="shared" si="1"/>
        <v>5209.2294000000002</v>
      </c>
    </row>
    <row r="93" spans="1:6" x14ac:dyDescent="0.2">
      <c r="A93">
        <v>823</v>
      </c>
      <c r="B93" t="s">
        <v>195</v>
      </c>
      <c r="C93" t="s">
        <v>117</v>
      </c>
      <c r="D93">
        <v>6</v>
      </c>
      <c r="E93">
        <v>1.0374999999999999</v>
      </c>
      <c r="F93">
        <f t="shared" si="1"/>
        <v>6.2249999999999996</v>
      </c>
    </row>
    <row r="94" spans="1:6" x14ac:dyDescent="0.2">
      <c r="A94">
        <v>823</v>
      </c>
      <c r="B94" t="s">
        <v>135</v>
      </c>
      <c r="C94" t="s">
        <v>136</v>
      </c>
      <c r="D94">
        <v>1</v>
      </c>
      <c r="E94">
        <v>395.04690624</v>
      </c>
      <c r="F94">
        <f t="shared" si="1"/>
        <v>395.04690624</v>
      </c>
    </row>
    <row r="95" spans="1:6" x14ac:dyDescent="0.2">
      <c r="A95">
        <v>823</v>
      </c>
      <c r="B95" t="s">
        <v>137</v>
      </c>
      <c r="C95" t="s">
        <v>138</v>
      </c>
      <c r="D95">
        <v>3</v>
      </c>
      <c r="E95">
        <v>252.98431871999998</v>
      </c>
      <c r="F95">
        <f t="shared" si="1"/>
        <v>758.95295615999999</v>
      </c>
    </row>
    <row r="96" spans="1:6" x14ac:dyDescent="0.2">
      <c r="A96">
        <v>823</v>
      </c>
      <c r="B96" t="s">
        <v>139</v>
      </c>
      <c r="C96" t="s">
        <v>140</v>
      </c>
      <c r="D96">
        <v>1</v>
      </c>
      <c r="E96">
        <v>2054.4575</v>
      </c>
      <c r="F96">
        <f t="shared" si="1"/>
        <v>2054.4575</v>
      </c>
    </row>
    <row r="97" spans="1:6" x14ac:dyDescent="0.2">
      <c r="A97">
        <v>823</v>
      </c>
      <c r="B97" t="s">
        <v>116</v>
      </c>
      <c r="C97" t="s">
        <v>117</v>
      </c>
      <c r="D97">
        <v>1</v>
      </c>
      <c r="E97">
        <v>0.25729999999999997</v>
      </c>
      <c r="F97">
        <f t="shared" si="1"/>
        <v>0.25729999999999997</v>
      </c>
    </row>
    <row r="98" spans="1:6" x14ac:dyDescent="0.2">
      <c r="A98">
        <v>823</v>
      </c>
      <c r="B98" t="s">
        <v>118</v>
      </c>
      <c r="C98" t="s">
        <v>119</v>
      </c>
      <c r="D98">
        <v>3</v>
      </c>
      <c r="E98">
        <v>0.83</v>
      </c>
      <c r="F98">
        <f t="shared" si="1"/>
        <v>2.4899999999999998</v>
      </c>
    </row>
    <row r="99" spans="1:6" x14ac:dyDescent="0.2">
      <c r="A99">
        <v>823</v>
      </c>
      <c r="B99" t="s">
        <v>120</v>
      </c>
      <c r="C99" t="s">
        <v>117</v>
      </c>
      <c r="D99">
        <v>2</v>
      </c>
      <c r="E99">
        <v>1.5603999999999998</v>
      </c>
      <c r="F99">
        <f t="shared" si="1"/>
        <v>3.1207999999999996</v>
      </c>
    </row>
    <row r="100" spans="1:6" x14ac:dyDescent="0.2">
      <c r="A100">
        <v>823</v>
      </c>
      <c r="B100" t="s">
        <v>121</v>
      </c>
      <c r="C100" t="s">
        <v>117</v>
      </c>
      <c r="D100">
        <v>1</v>
      </c>
      <c r="E100">
        <v>270.83729999999997</v>
      </c>
      <c r="F100">
        <f t="shared" si="1"/>
        <v>270.83729999999997</v>
      </c>
    </row>
    <row r="101" spans="1:6" x14ac:dyDescent="0.2">
      <c r="A101">
        <v>823</v>
      </c>
      <c r="B101" t="s">
        <v>122</v>
      </c>
      <c r="C101" t="s">
        <v>76</v>
      </c>
      <c r="D101">
        <v>5</v>
      </c>
      <c r="E101">
        <v>14.915099999999999</v>
      </c>
      <c r="F101">
        <f t="shared" si="1"/>
        <v>74.575499999999991</v>
      </c>
    </row>
    <row r="102" spans="1:6" x14ac:dyDescent="0.2">
      <c r="A102">
        <v>823</v>
      </c>
      <c r="B102" t="s">
        <v>123</v>
      </c>
      <c r="C102" t="s">
        <v>119</v>
      </c>
      <c r="D102">
        <v>1</v>
      </c>
      <c r="E102">
        <v>122.52459999999999</v>
      </c>
      <c r="F102">
        <f t="shared" si="1"/>
        <v>122.52459999999999</v>
      </c>
    </row>
    <row r="103" spans="1:6" x14ac:dyDescent="0.2">
      <c r="A103">
        <v>823</v>
      </c>
      <c r="B103" t="s">
        <v>124</v>
      </c>
      <c r="C103" t="s">
        <v>119</v>
      </c>
      <c r="D103">
        <v>1</v>
      </c>
      <c r="E103">
        <v>65.877099999999999</v>
      </c>
      <c r="F103">
        <f t="shared" si="1"/>
        <v>65.877099999999999</v>
      </c>
    </row>
    <row r="104" spans="1:6" x14ac:dyDescent="0.2">
      <c r="A104">
        <v>823</v>
      </c>
      <c r="B104" t="s">
        <v>125</v>
      </c>
      <c r="C104" t="s">
        <v>117</v>
      </c>
      <c r="D104">
        <v>1</v>
      </c>
      <c r="E104">
        <v>45.957099999999997</v>
      </c>
      <c r="F104">
        <f t="shared" si="1"/>
        <v>45.957099999999997</v>
      </c>
    </row>
    <row r="105" spans="1:6" x14ac:dyDescent="0.2">
      <c r="A105">
        <v>823</v>
      </c>
      <c r="B105" t="s">
        <v>126</v>
      </c>
      <c r="C105" t="s">
        <v>127</v>
      </c>
      <c r="D105">
        <v>5</v>
      </c>
      <c r="E105">
        <v>411.49739999999997</v>
      </c>
      <c r="F105">
        <f t="shared" si="1"/>
        <v>2057.4870000000001</v>
      </c>
    </row>
    <row r="106" spans="1:6" x14ac:dyDescent="0.2">
      <c r="A106">
        <v>823</v>
      </c>
      <c r="B106" t="s">
        <v>129</v>
      </c>
      <c r="C106" t="s">
        <v>130</v>
      </c>
      <c r="D106">
        <v>5</v>
      </c>
      <c r="E106">
        <v>6724.2781999999997</v>
      </c>
      <c r="F106">
        <f t="shared" si="1"/>
        <v>33621.390999999996</v>
      </c>
    </row>
    <row r="107" spans="1:6" x14ac:dyDescent="0.2">
      <c r="A107">
        <v>823</v>
      </c>
      <c r="B107" t="s">
        <v>132</v>
      </c>
      <c r="C107" t="s">
        <v>133</v>
      </c>
      <c r="D107">
        <v>1</v>
      </c>
      <c r="E107">
        <v>1168.0257999999999</v>
      </c>
      <c r="F107">
        <f t="shared" si="1"/>
        <v>1168.0257999999999</v>
      </c>
    </row>
    <row r="108" spans="1:6" x14ac:dyDescent="0.2">
      <c r="A108">
        <v>823</v>
      </c>
      <c r="B108" t="s">
        <v>110</v>
      </c>
      <c r="C108" t="s">
        <v>111</v>
      </c>
      <c r="D108">
        <v>1</v>
      </c>
      <c r="E108">
        <v>119.83539999999999</v>
      </c>
      <c r="F108">
        <f t="shared" si="1"/>
        <v>119.83539999999999</v>
      </c>
    </row>
    <row r="109" spans="1:6" x14ac:dyDescent="0.2">
      <c r="A109">
        <v>823</v>
      </c>
      <c r="B109" t="s">
        <v>112</v>
      </c>
      <c r="C109" t="s">
        <v>113</v>
      </c>
      <c r="D109">
        <v>4</v>
      </c>
      <c r="E109">
        <v>97.646153846153851</v>
      </c>
      <c r="F109">
        <f t="shared" si="1"/>
        <v>390.5846153846154</v>
      </c>
    </row>
    <row r="110" spans="1:6" x14ac:dyDescent="0.2">
      <c r="A110">
        <v>823</v>
      </c>
      <c r="B110" t="s">
        <v>110</v>
      </c>
      <c r="C110" t="s">
        <v>111</v>
      </c>
      <c r="D110">
        <v>3</v>
      </c>
      <c r="E110">
        <v>119.83539999999999</v>
      </c>
      <c r="F110">
        <f t="shared" si="1"/>
        <v>359.50619999999998</v>
      </c>
    </row>
    <row r="111" spans="1:6" x14ac:dyDescent="0.2">
      <c r="A111">
        <v>823</v>
      </c>
      <c r="B111" t="s">
        <v>112</v>
      </c>
      <c r="C111" t="s">
        <v>113</v>
      </c>
      <c r="D111">
        <v>1</v>
      </c>
      <c r="E111">
        <v>97.646153846153851</v>
      </c>
      <c r="F111">
        <f t="shared" si="1"/>
        <v>97.646153846153851</v>
      </c>
    </row>
    <row r="112" spans="1:6" x14ac:dyDescent="0.2">
      <c r="A112">
        <v>823</v>
      </c>
      <c r="B112" t="s">
        <v>97</v>
      </c>
      <c r="C112" t="s">
        <v>98</v>
      </c>
      <c r="D112">
        <v>3</v>
      </c>
      <c r="E112">
        <v>189.87909999999999</v>
      </c>
      <c r="F112">
        <f t="shared" si="1"/>
        <v>569.63729999999998</v>
      </c>
    </row>
    <row r="113" spans="1:6" x14ac:dyDescent="0.2">
      <c r="A113">
        <v>823</v>
      </c>
      <c r="B113" t="s">
        <v>99</v>
      </c>
      <c r="C113" t="s">
        <v>100</v>
      </c>
      <c r="D113">
        <v>2</v>
      </c>
      <c r="E113">
        <v>1287.1384615384613</v>
      </c>
      <c r="F113">
        <f t="shared" si="1"/>
        <v>2574.2769230769227</v>
      </c>
    </row>
    <row r="114" spans="1:6" x14ac:dyDescent="0.2">
      <c r="A114">
        <v>823</v>
      </c>
      <c r="B114" t="s">
        <v>101</v>
      </c>
      <c r="C114" t="s">
        <v>102</v>
      </c>
      <c r="D114">
        <v>4</v>
      </c>
      <c r="E114">
        <v>1363.0371551999999</v>
      </c>
      <c r="F114">
        <f t="shared" si="1"/>
        <v>5452.1486207999997</v>
      </c>
    </row>
    <row r="115" spans="1:6" x14ac:dyDescent="0.2">
      <c r="A115">
        <v>823</v>
      </c>
      <c r="B115" t="s">
        <v>103</v>
      </c>
      <c r="C115" t="s">
        <v>104</v>
      </c>
      <c r="D115">
        <v>1</v>
      </c>
      <c r="E115">
        <v>423.58219999999994</v>
      </c>
      <c r="F115">
        <f t="shared" si="1"/>
        <v>423.58219999999994</v>
      </c>
    </row>
    <row r="116" spans="1:6" x14ac:dyDescent="0.2">
      <c r="A116">
        <v>823</v>
      </c>
      <c r="B116" t="s">
        <v>105</v>
      </c>
      <c r="C116" t="s">
        <v>106</v>
      </c>
      <c r="D116">
        <v>118</v>
      </c>
      <c r="E116">
        <v>36.470199999999998</v>
      </c>
      <c r="F116">
        <f t="shared" si="1"/>
        <v>4303.4835999999996</v>
      </c>
    </row>
    <row r="117" spans="1:6" x14ac:dyDescent="0.2">
      <c r="A117">
        <v>823</v>
      </c>
      <c r="B117" t="s">
        <v>107</v>
      </c>
      <c r="C117" t="s">
        <v>108</v>
      </c>
      <c r="D117">
        <v>1</v>
      </c>
      <c r="E117">
        <v>61.492307692307698</v>
      </c>
      <c r="F117">
        <f t="shared" si="1"/>
        <v>61.492307692307698</v>
      </c>
    </row>
    <row r="118" spans="1:6" x14ac:dyDescent="0.2">
      <c r="A118">
        <v>823</v>
      </c>
      <c r="B118" t="s">
        <v>62</v>
      </c>
      <c r="C118" t="s">
        <v>323</v>
      </c>
      <c r="D118">
        <v>1</v>
      </c>
      <c r="E118">
        <v>0.34859999999999997</v>
      </c>
      <c r="F118">
        <f t="shared" si="1"/>
        <v>0.34859999999999997</v>
      </c>
    </row>
    <row r="119" spans="1:6" x14ac:dyDescent="0.2">
      <c r="A119">
        <v>823</v>
      </c>
      <c r="B119" t="s">
        <v>324</v>
      </c>
      <c r="C119" t="s">
        <v>273</v>
      </c>
      <c r="D119">
        <v>3</v>
      </c>
      <c r="E119">
        <v>0.9544999999999999</v>
      </c>
      <c r="F119">
        <f t="shared" si="1"/>
        <v>2.8634999999999997</v>
      </c>
    </row>
    <row r="120" spans="1:6" x14ac:dyDescent="0.2">
      <c r="A120">
        <v>823</v>
      </c>
      <c r="B120" t="s">
        <v>325</v>
      </c>
      <c r="C120" t="s">
        <v>273</v>
      </c>
      <c r="D120">
        <v>1</v>
      </c>
      <c r="E120">
        <v>3.3692307692307697</v>
      </c>
      <c r="F120">
        <f t="shared" si="1"/>
        <v>3.3692307692307697</v>
      </c>
    </row>
    <row r="121" spans="1:6" x14ac:dyDescent="0.2">
      <c r="A121">
        <v>823</v>
      </c>
      <c r="B121" t="s">
        <v>154</v>
      </c>
      <c r="C121" t="s">
        <v>278</v>
      </c>
      <c r="D121">
        <v>2</v>
      </c>
      <c r="E121">
        <v>4.3657999999999992</v>
      </c>
      <c r="F121">
        <f t="shared" si="1"/>
        <v>8.7315999999999985</v>
      </c>
    </row>
    <row r="122" spans="1:6" x14ac:dyDescent="0.2">
      <c r="A122">
        <v>823</v>
      </c>
      <c r="B122" t="s">
        <v>290</v>
      </c>
      <c r="C122" t="s">
        <v>278</v>
      </c>
      <c r="D122">
        <v>3</v>
      </c>
      <c r="E122">
        <v>43.751809919999999</v>
      </c>
      <c r="F122">
        <f t="shared" si="1"/>
        <v>131.25542976</v>
      </c>
    </row>
    <row r="123" spans="1:6" x14ac:dyDescent="0.2">
      <c r="A123">
        <v>823</v>
      </c>
      <c r="B123" t="s">
        <v>288</v>
      </c>
      <c r="C123" t="s">
        <v>289</v>
      </c>
      <c r="D123">
        <v>6</v>
      </c>
      <c r="E123">
        <v>7.3401215999999998</v>
      </c>
      <c r="F123">
        <f t="shared" si="1"/>
        <v>44.040729599999999</v>
      </c>
    </row>
    <row r="124" spans="1:6" x14ac:dyDescent="0.2">
      <c r="A124">
        <v>823</v>
      </c>
      <c r="B124" t="s">
        <v>287</v>
      </c>
      <c r="C124" t="s">
        <v>273</v>
      </c>
      <c r="D124">
        <v>6</v>
      </c>
      <c r="E124">
        <v>100.66898687999999</v>
      </c>
      <c r="F124">
        <f t="shared" si="1"/>
        <v>604.01392127999998</v>
      </c>
    </row>
    <row r="125" spans="1:6" x14ac:dyDescent="0.2">
      <c r="A125">
        <v>823</v>
      </c>
      <c r="B125" t="s">
        <v>285</v>
      </c>
      <c r="C125" t="s">
        <v>286</v>
      </c>
      <c r="D125">
        <v>1</v>
      </c>
      <c r="E125">
        <v>58.189985279999981</v>
      </c>
      <c r="F125">
        <f t="shared" si="1"/>
        <v>58.189985279999981</v>
      </c>
    </row>
    <row r="126" spans="1:6" x14ac:dyDescent="0.2">
      <c r="A126">
        <v>823</v>
      </c>
      <c r="B126" t="s">
        <v>291</v>
      </c>
      <c r="C126" t="s">
        <v>278</v>
      </c>
      <c r="D126">
        <v>3</v>
      </c>
      <c r="E126">
        <v>24.136399999999998</v>
      </c>
      <c r="F126">
        <f t="shared" si="1"/>
        <v>72.409199999999998</v>
      </c>
    </row>
    <row r="127" spans="1:6" x14ac:dyDescent="0.2">
      <c r="A127">
        <v>823</v>
      </c>
      <c r="B127" t="s">
        <v>277</v>
      </c>
      <c r="C127" t="s">
        <v>278</v>
      </c>
      <c r="D127">
        <v>1</v>
      </c>
      <c r="E127">
        <v>41.026594559999999</v>
      </c>
      <c r="F127">
        <f t="shared" si="1"/>
        <v>41.026594559999999</v>
      </c>
    </row>
    <row r="128" spans="1:6" x14ac:dyDescent="0.2">
      <c r="A128">
        <v>823</v>
      </c>
      <c r="B128" t="s">
        <v>326</v>
      </c>
      <c r="C128" t="s">
        <v>278</v>
      </c>
      <c r="D128">
        <v>1</v>
      </c>
      <c r="E128">
        <v>3.97459776</v>
      </c>
      <c r="F128">
        <f t="shared" si="1"/>
        <v>3.97459776</v>
      </c>
    </row>
    <row r="129" spans="1:6" x14ac:dyDescent="0.2">
      <c r="A129">
        <v>823</v>
      </c>
      <c r="B129" t="s">
        <v>274</v>
      </c>
      <c r="C129" t="s">
        <v>273</v>
      </c>
      <c r="D129">
        <v>3</v>
      </c>
      <c r="E129">
        <v>149.23091903999997</v>
      </c>
      <c r="F129">
        <f t="shared" si="1"/>
        <v>447.6927571199999</v>
      </c>
    </row>
    <row r="130" spans="1:6" x14ac:dyDescent="0.2">
      <c r="A130">
        <v>823</v>
      </c>
      <c r="B130" t="s">
        <v>327</v>
      </c>
      <c r="C130" t="s">
        <v>309</v>
      </c>
      <c r="D130">
        <v>2</v>
      </c>
      <c r="E130">
        <v>1532.5236863999999</v>
      </c>
      <c r="F130">
        <f t="shared" si="1"/>
        <v>3065.0473727999997</v>
      </c>
    </row>
    <row r="131" spans="1:6" x14ac:dyDescent="0.2">
      <c r="A131">
        <v>823</v>
      </c>
      <c r="B131" t="s">
        <v>328</v>
      </c>
      <c r="C131" t="s">
        <v>329</v>
      </c>
      <c r="D131">
        <v>1</v>
      </c>
      <c r="E131">
        <v>155.62307692307695</v>
      </c>
      <c r="F131">
        <f t="shared" ref="F131:F194" si="2">D131*E131</f>
        <v>155.62307692307695</v>
      </c>
    </row>
    <row r="132" spans="1:6" x14ac:dyDescent="0.2">
      <c r="A132">
        <v>823</v>
      </c>
      <c r="B132" t="s">
        <v>330</v>
      </c>
      <c r="C132" t="s">
        <v>331</v>
      </c>
      <c r="D132">
        <v>5</v>
      </c>
      <c r="E132">
        <v>710.44615384615395</v>
      </c>
      <c r="F132">
        <f t="shared" si="2"/>
        <v>3552.2307692307695</v>
      </c>
    </row>
    <row r="133" spans="1:6" x14ac:dyDescent="0.2">
      <c r="A133">
        <v>823</v>
      </c>
      <c r="B133" t="s">
        <v>332</v>
      </c>
      <c r="C133" t="s">
        <v>333</v>
      </c>
      <c r="D133">
        <v>1</v>
      </c>
      <c r="E133">
        <v>167.55384615384617</v>
      </c>
      <c r="F133">
        <f t="shared" si="2"/>
        <v>167.55384615384617</v>
      </c>
    </row>
    <row r="134" spans="1:6" x14ac:dyDescent="0.2">
      <c r="A134">
        <v>823</v>
      </c>
      <c r="B134" t="s">
        <v>272</v>
      </c>
      <c r="C134" t="s">
        <v>273</v>
      </c>
      <c r="D134">
        <v>1</v>
      </c>
      <c r="E134">
        <v>170.11122239999997</v>
      </c>
      <c r="F134">
        <f t="shared" si="2"/>
        <v>170.11122239999997</v>
      </c>
    </row>
    <row r="135" spans="1:6" x14ac:dyDescent="0.2">
      <c r="A135">
        <v>823</v>
      </c>
      <c r="B135" t="s">
        <v>275</v>
      </c>
      <c r="C135" t="s">
        <v>276</v>
      </c>
      <c r="D135">
        <v>1</v>
      </c>
      <c r="E135">
        <v>9.0814483199999998</v>
      </c>
      <c r="F135">
        <f t="shared" si="2"/>
        <v>9.0814483199999998</v>
      </c>
    </row>
    <row r="136" spans="1:6" x14ac:dyDescent="0.2">
      <c r="A136">
        <v>823</v>
      </c>
      <c r="B136" t="s">
        <v>334</v>
      </c>
      <c r="C136" t="s">
        <v>329</v>
      </c>
      <c r="D136">
        <v>5</v>
      </c>
      <c r="E136">
        <v>149.03076923076924</v>
      </c>
      <c r="F136">
        <f t="shared" si="2"/>
        <v>745.15384615384619</v>
      </c>
    </row>
    <row r="137" spans="1:6" x14ac:dyDescent="0.2">
      <c r="A137">
        <v>823</v>
      </c>
      <c r="B137" t="s">
        <v>335</v>
      </c>
      <c r="C137" t="s">
        <v>331</v>
      </c>
      <c r="D137">
        <v>5</v>
      </c>
      <c r="E137">
        <v>703.1</v>
      </c>
      <c r="F137">
        <f t="shared" si="2"/>
        <v>3515.5</v>
      </c>
    </row>
    <row r="138" spans="1:6" x14ac:dyDescent="0.2">
      <c r="A138">
        <v>823</v>
      </c>
      <c r="B138" t="s">
        <v>336</v>
      </c>
      <c r="C138" t="s">
        <v>333</v>
      </c>
      <c r="D138">
        <v>1</v>
      </c>
      <c r="E138">
        <v>288.42307692307691</v>
      </c>
      <c r="F138">
        <f t="shared" si="2"/>
        <v>288.42307692307691</v>
      </c>
    </row>
    <row r="139" spans="1:6" x14ac:dyDescent="0.2">
      <c r="A139">
        <v>823</v>
      </c>
      <c r="B139" t="s">
        <v>337</v>
      </c>
      <c r="C139" t="s">
        <v>297</v>
      </c>
      <c r="D139">
        <v>1</v>
      </c>
      <c r="E139">
        <v>11.761099999999999</v>
      </c>
      <c r="F139">
        <f t="shared" si="2"/>
        <v>11.761099999999999</v>
      </c>
    </row>
    <row r="140" spans="1:6" x14ac:dyDescent="0.2">
      <c r="A140">
        <v>823</v>
      </c>
      <c r="B140" t="s">
        <v>338</v>
      </c>
      <c r="C140" t="s">
        <v>297</v>
      </c>
      <c r="D140">
        <v>4</v>
      </c>
      <c r="E140">
        <v>11.712959999999999</v>
      </c>
      <c r="F140">
        <f t="shared" si="2"/>
        <v>46.851839999999996</v>
      </c>
    </row>
    <row r="141" spans="1:6" x14ac:dyDescent="0.2">
      <c r="A141">
        <v>823</v>
      </c>
      <c r="B141" t="s">
        <v>339</v>
      </c>
      <c r="C141" t="s">
        <v>297</v>
      </c>
      <c r="D141">
        <v>3</v>
      </c>
      <c r="E141">
        <v>20.279038079999996</v>
      </c>
      <c r="F141">
        <f t="shared" si="2"/>
        <v>60.837114239999991</v>
      </c>
    </row>
    <row r="142" spans="1:6" x14ac:dyDescent="0.2">
      <c r="A142">
        <v>823</v>
      </c>
      <c r="B142" t="s">
        <v>340</v>
      </c>
      <c r="C142" t="s">
        <v>309</v>
      </c>
      <c r="D142">
        <v>1</v>
      </c>
      <c r="E142">
        <v>1536.3343027199999</v>
      </c>
      <c r="F142">
        <f t="shared" si="2"/>
        <v>1536.3343027199999</v>
      </c>
    </row>
    <row r="143" spans="1:6" x14ac:dyDescent="0.2">
      <c r="A143">
        <v>823</v>
      </c>
      <c r="B143" t="s">
        <v>341</v>
      </c>
      <c r="C143" t="s">
        <v>342</v>
      </c>
      <c r="D143">
        <v>3</v>
      </c>
      <c r="E143">
        <v>307.22449999999998</v>
      </c>
      <c r="F143">
        <f t="shared" si="2"/>
        <v>921.67349999999988</v>
      </c>
    </row>
    <row r="144" spans="1:6" x14ac:dyDescent="0.2">
      <c r="A144">
        <v>823</v>
      </c>
      <c r="B144" t="s">
        <v>284</v>
      </c>
      <c r="C144" t="s">
        <v>273</v>
      </c>
      <c r="D144">
        <v>2</v>
      </c>
      <c r="E144">
        <v>15.547002240000001</v>
      </c>
      <c r="F144">
        <f t="shared" si="2"/>
        <v>31.094004480000002</v>
      </c>
    </row>
    <row r="145" spans="1:6" x14ac:dyDescent="0.2">
      <c r="A145">
        <v>823</v>
      </c>
      <c r="B145" t="s">
        <v>283</v>
      </c>
      <c r="C145" t="s">
        <v>278</v>
      </c>
      <c r="D145">
        <v>4</v>
      </c>
      <c r="E145">
        <v>101.76219647999997</v>
      </c>
      <c r="F145">
        <f t="shared" si="2"/>
        <v>407.04878591999989</v>
      </c>
    </row>
    <row r="146" spans="1:6" x14ac:dyDescent="0.2">
      <c r="A146">
        <v>823</v>
      </c>
      <c r="B146" t="s">
        <v>281</v>
      </c>
      <c r="C146" t="s">
        <v>282</v>
      </c>
      <c r="D146">
        <v>1</v>
      </c>
      <c r="E146">
        <v>43.369186559999996</v>
      </c>
      <c r="F146">
        <f t="shared" si="2"/>
        <v>43.369186559999996</v>
      </c>
    </row>
    <row r="147" spans="1:6" x14ac:dyDescent="0.2">
      <c r="A147">
        <v>823</v>
      </c>
      <c r="B147" t="s">
        <v>279</v>
      </c>
      <c r="C147" t="s">
        <v>280</v>
      </c>
      <c r="D147">
        <v>118</v>
      </c>
      <c r="E147">
        <v>36.786503039999999</v>
      </c>
      <c r="F147">
        <f t="shared" si="2"/>
        <v>4340.8073587199997</v>
      </c>
    </row>
    <row r="148" spans="1:6" x14ac:dyDescent="0.2">
      <c r="A148">
        <v>823</v>
      </c>
      <c r="B148" t="s">
        <v>343</v>
      </c>
      <c r="C148" t="s">
        <v>282</v>
      </c>
      <c r="D148">
        <v>1</v>
      </c>
      <c r="E148">
        <v>16.807499999999997</v>
      </c>
      <c r="F148">
        <f t="shared" si="2"/>
        <v>16.807499999999997</v>
      </c>
    </row>
    <row r="149" spans="1:6" x14ac:dyDescent="0.2">
      <c r="A149">
        <v>823</v>
      </c>
      <c r="B149" t="s">
        <v>344</v>
      </c>
      <c r="C149" t="s">
        <v>282</v>
      </c>
      <c r="D149">
        <v>1</v>
      </c>
      <c r="E149">
        <v>12.767126399999999</v>
      </c>
      <c r="F149">
        <f t="shared" si="2"/>
        <v>12.767126399999999</v>
      </c>
    </row>
    <row r="150" spans="1:6" x14ac:dyDescent="0.2">
      <c r="A150">
        <v>823</v>
      </c>
      <c r="B150" t="s">
        <v>270</v>
      </c>
      <c r="C150" t="s">
        <v>271</v>
      </c>
      <c r="D150">
        <v>3</v>
      </c>
      <c r="E150">
        <v>3027.0973823999993</v>
      </c>
      <c r="F150">
        <f t="shared" si="2"/>
        <v>9081.292147199998</v>
      </c>
    </row>
    <row r="151" spans="1:6" x14ac:dyDescent="0.2">
      <c r="A151">
        <v>823</v>
      </c>
      <c r="B151" t="s">
        <v>272</v>
      </c>
      <c r="C151" t="s">
        <v>273</v>
      </c>
      <c r="D151">
        <v>1</v>
      </c>
      <c r="E151">
        <v>170.11122239999997</v>
      </c>
      <c r="F151">
        <f t="shared" si="2"/>
        <v>170.11122239999997</v>
      </c>
    </row>
    <row r="152" spans="1:6" x14ac:dyDescent="0.2">
      <c r="A152">
        <v>823</v>
      </c>
      <c r="B152" t="s">
        <v>274</v>
      </c>
      <c r="C152" t="s">
        <v>273</v>
      </c>
      <c r="D152">
        <v>2</v>
      </c>
      <c r="E152">
        <v>149.23091903999997</v>
      </c>
      <c r="F152">
        <f t="shared" si="2"/>
        <v>298.46183807999995</v>
      </c>
    </row>
    <row r="153" spans="1:6" x14ac:dyDescent="0.2">
      <c r="A153">
        <v>823</v>
      </c>
      <c r="B153" t="s">
        <v>275</v>
      </c>
      <c r="C153" t="s">
        <v>276</v>
      </c>
      <c r="D153">
        <v>3</v>
      </c>
      <c r="E153">
        <v>9.0814483199999998</v>
      </c>
      <c r="F153">
        <f t="shared" si="2"/>
        <v>27.244344959999999</v>
      </c>
    </row>
    <row r="154" spans="1:6" x14ac:dyDescent="0.2">
      <c r="A154">
        <v>823</v>
      </c>
      <c r="B154" t="s">
        <v>277</v>
      </c>
      <c r="C154" t="s">
        <v>278</v>
      </c>
      <c r="D154">
        <v>6</v>
      </c>
      <c r="E154">
        <v>41.026594559999999</v>
      </c>
      <c r="F154">
        <f t="shared" si="2"/>
        <v>246.15956735999998</v>
      </c>
    </row>
    <row r="155" spans="1:6" x14ac:dyDescent="0.2">
      <c r="A155">
        <v>823</v>
      </c>
      <c r="B155" t="s">
        <v>279</v>
      </c>
      <c r="C155" t="s">
        <v>280</v>
      </c>
      <c r="D155">
        <v>6</v>
      </c>
      <c r="E155">
        <v>36.786503039999999</v>
      </c>
      <c r="F155">
        <f t="shared" si="2"/>
        <v>220.71901824</v>
      </c>
    </row>
    <row r="156" spans="1:6" x14ac:dyDescent="0.2">
      <c r="A156">
        <v>823</v>
      </c>
      <c r="B156" t="s">
        <v>281</v>
      </c>
      <c r="C156" t="s">
        <v>282</v>
      </c>
      <c r="D156">
        <v>1</v>
      </c>
      <c r="E156">
        <v>43.369186559999996</v>
      </c>
      <c r="F156">
        <f t="shared" si="2"/>
        <v>43.369186559999996</v>
      </c>
    </row>
    <row r="157" spans="1:6" x14ac:dyDescent="0.2">
      <c r="A157">
        <v>823</v>
      </c>
      <c r="B157" t="s">
        <v>283</v>
      </c>
      <c r="C157" t="s">
        <v>278</v>
      </c>
      <c r="D157">
        <v>3</v>
      </c>
      <c r="E157">
        <v>101.76219647999997</v>
      </c>
      <c r="F157">
        <f t="shared" si="2"/>
        <v>305.28658943999994</v>
      </c>
    </row>
    <row r="158" spans="1:6" x14ac:dyDescent="0.2">
      <c r="A158">
        <v>823</v>
      </c>
      <c r="B158" t="s">
        <v>284</v>
      </c>
      <c r="C158" t="s">
        <v>273</v>
      </c>
      <c r="D158">
        <v>1</v>
      </c>
      <c r="E158">
        <v>15.547002240000001</v>
      </c>
      <c r="F158">
        <f t="shared" si="2"/>
        <v>15.547002240000001</v>
      </c>
    </row>
    <row r="159" spans="1:6" x14ac:dyDescent="0.2">
      <c r="A159">
        <v>823</v>
      </c>
      <c r="B159" t="s">
        <v>285</v>
      </c>
      <c r="C159" t="s">
        <v>286</v>
      </c>
      <c r="D159">
        <v>1</v>
      </c>
      <c r="E159">
        <v>58.189985279999981</v>
      </c>
      <c r="F159">
        <f t="shared" si="2"/>
        <v>58.189985279999981</v>
      </c>
    </row>
    <row r="160" spans="1:6" x14ac:dyDescent="0.2">
      <c r="A160">
        <v>823</v>
      </c>
      <c r="B160" t="s">
        <v>287</v>
      </c>
      <c r="C160" t="s">
        <v>273</v>
      </c>
      <c r="D160">
        <v>3</v>
      </c>
      <c r="E160">
        <v>100.66898687999999</v>
      </c>
      <c r="F160">
        <f t="shared" si="2"/>
        <v>302.00696063999999</v>
      </c>
    </row>
    <row r="161" spans="1:6" x14ac:dyDescent="0.2">
      <c r="A161">
        <v>823</v>
      </c>
      <c r="B161" t="s">
        <v>288</v>
      </c>
      <c r="C161" t="s">
        <v>289</v>
      </c>
      <c r="D161">
        <v>2</v>
      </c>
      <c r="E161">
        <v>7.3401215999999998</v>
      </c>
      <c r="F161">
        <f t="shared" si="2"/>
        <v>14.6802432</v>
      </c>
    </row>
    <row r="162" spans="1:6" x14ac:dyDescent="0.2">
      <c r="A162">
        <v>823</v>
      </c>
      <c r="B162" t="s">
        <v>290</v>
      </c>
      <c r="C162" t="s">
        <v>278</v>
      </c>
      <c r="D162">
        <v>1</v>
      </c>
      <c r="E162">
        <v>43.751809919999999</v>
      </c>
      <c r="F162">
        <f t="shared" si="2"/>
        <v>43.751809919999999</v>
      </c>
    </row>
    <row r="163" spans="1:6" x14ac:dyDescent="0.2">
      <c r="A163">
        <v>823</v>
      </c>
      <c r="B163" t="s">
        <v>277</v>
      </c>
      <c r="C163" t="s">
        <v>278</v>
      </c>
      <c r="D163">
        <v>5</v>
      </c>
      <c r="E163">
        <v>41.026594559999999</v>
      </c>
      <c r="F163">
        <f t="shared" si="2"/>
        <v>205.1329728</v>
      </c>
    </row>
    <row r="164" spans="1:6" x14ac:dyDescent="0.2">
      <c r="A164">
        <v>823</v>
      </c>
      <c r="B164" t="s">
        <v>291</v>
      </c>
      <c r="C164" t="s">
        <v>278</v>
      </c>
      <c r="D164">
        <v>1</v>
      </c>
      <c r="E164">
        <v>24.136399999999998</v>
      </c>
      <c r="F164">
        <f t="shared" si="2"/>
        <v>24.136399999999998</v>
      </c>
    </row>
    <row r="165" spans="1:6" x14ac:dyDescent="0.2">
      <c r="A165">
        <v>823</v>
      </c>
      <c r="B165" t="s">
        <v>292</v>
      </c>
      <c r="C165" t="s">
        <v>293</v>
      </c>
      <c r="D165">
        <v>1</v>
      </c>
      <c r="E165">
        <v>96.852699999999999</v>
      </c>
      <c r="F165">
        <f t="shared" si="2"/>
        <v>96.852699999999999</v>
      </c>
    </row>
    <row r="166" spans="1:6" x14ac:dyDescent="0.2">
      <c r="A166">
        <v>823</v>
      </c>
      <c r="B166" t="s">
        <v>294</v>
      </c>
      <c r="C166" t="s">
        <v>278</v>
      </c>
      <c r="D166">
        <v>1</v>
      </c>
      <c r="E166">
        <v>26.221413119999998</v>
      </c>
      <c r="F166">
        <f t="shared" si="2"/>
        <v>26.221413119999998</v>
      </c>
    </row>
    <row r="167" spans="1:6" x14ac:dyDescent="0.2">
      <c r="A167">
        <v>823</v>
      </c>
      <c r="B167" t="s">
        <v>295</v>
      </c>
      <c r="C167" t="s">
        <v>273</v>
      </c>
      <c r="D167">
        <v>5</v>
      </c>
      <c r="E167">
        <v>54.886930560000003</v>
      </c>
      <c r="F167">
        <f t="shared" si="2"/>
        <v>274.43465280000004</v>
      </c>
    </row>
    <row r="168" spans="1:6" x14ac:dyDescent="0.2">
      <c r="A168">
        <v>823</v>
      </c>
      <c r="B168" t="s">
        <v>296</v>
      </c>
      <c r="C168" t="s">
        <v>297</v>
      </c>
      <c r="D168">
        <v>5</v>
      </c>
      <c r="E168">
        <v>5.5028999999999995</v>
      </c>
      <c r="F168">
        <f t="shared" si="2"/>
        <v>27.514499999999998</v>
      </c>
    </row>
    <row r="169" spans="1:6" x14ac:dyDescent="0.2">
      <c r="A169">
        <v>823</v>
      </c>
      <c r="B169" t="s">
        <v>298</v>
      </c>
      <c r="C169" t="s">
        <v>297</v>
      </c>
      <c r="D169">
        <v>1</v>
      </c>
      <c r="E169">
        <v>5.9344999999999999</v>
      </c>
      <c r="F169">
        <f t="shared" si="2"/>
        <v>5.9344999999999999</v>
      </c>
    </row>
    <row r="170" spans="1:6" x14ac:dyDescent="0.2">
      <c r="A170">
        <v>823</v>
      </c>
      <c r="B170" t="s">
        <v>299</v>
      </c>
      <c r="C170" t="s">
        <v>297</v>
      </c>
      <c r="D170">
        <v>1</v>
      </c>
      <c r="E170">
        <v>4.3574999999999999</v>
      </c>
      <c r="F170">
        <f t="shared" si="2"/>
        <v>4.3574999999999999</v>
      </c>
    </row>
    <row r="171" spans="1:6" x14ac:dyDescent="0.2">
      <c r="A171">
        <v>823</v>
      </c>
      <c r="B171" t="s">
        <v>122</v>
      </c>
      <c r="C171" t="s">
        <v>276</v>
      </c>
      <c r="D171">
        <v>4</v>
      </c>
      <c r="E171">
        <v>14.915099999999999</v>
      </c>
      <c r="F171">
        <f t="shared" si="2"/>
        <v>59.660399999999996</v>
      </c>
    </row>
    <row r="172" spans="1:6" x14ac:dyDescent="0.2">
      <c r="A172">
        <v>823</v>
      </c>
      <c r="B172" t="s">
        <v>120</v>
      </c>
      <c r="C172" t="s">
        <v>278</v>
      </c>
      <c r="D172">
        <v>3</v>
      </c>
      <c r="E172">
        <v>1.5603999999999998</v>
      </c>
      <c r="F172">
        <f t="shared" si="2"/>
        <v>4.6811999999999996</v>
      </c>
    </row>
    <row r="173" spans="1:6" x14ac:dyDescent="0.2">
      <c r="A173">
        <v>823</v>
      </c>
      <c r="B173" t="s">
        <v>300</v>
      </c>
      <c r="C173" t="s">
        <v>273</v>
      </c>
      <c r="D173">
        <v>1</v>
      </c>
      <c r="E173">
        <v>60.589999999999996</v>
      </c>
      <c r="F173">
        <f t="shared" si="2"/>
        <v>60.589999999999996</v>
      </c>
    </row>
    <row r="174" spans="1:6" x14ac:dyDescent="0.2">
      <c r="A174">
        <v>823</v>
      </c>
      <c r="B174" t="s">
        <v>301</v>
      </c>
      <c r="C174" t="s">
        <v>302</v>
      </c>
      <c r="D174">
        <v>3</v>
      </c>
      <c r="E174">
        <v>104.88565247999999</v>
      </c>
      <c r="F174">
        <f t="shared" si="2"/>
        <v>314.65695743999999</v>
      </c>
    </row>
    <row r="175" spans="1:6" x14ac:dyDescent="0.2">
      <c r="A175">
        <v>823</v>
      </c>
      <c r="B175" t="s">
        <v>303</v>
      </c>
      <c r="C175" t="s">
        <v>304</v>
      </c>
      <c r="D175">
        <v>2</v>
      </c>
      <c r="E175">
        <v>683.94489999999996</v>
      </c>
      <c r="F175">
        <f t="shared" si="2"/>
        <v>1367.8897999999999</v>
      </c>
    </row>
    <row r="176" spans="1:6" x14ac:dyDescent="0.2">
      <c r="A176">
        <v>823</v>
      </c>
      <c r="B176" t="s">
        <v>305</v>
      </c>
      <c r="C176" t="s">
        <v>273</v>
      </c>
      <c r="D176">
        <v>4</v>
      </c>
      <c r="E176">
        <v>71.189099999999996</v>
      </c>
      <c r="F176">
        <f t="shared" si="2"/>
        <v>284.75639999999999</v>
      </c>
    </row>
    <row r="177" spans="1:6" x14ac:dyDescent="0.2">
      <c r="A177">
        <v>823</v>
      </c>
      <c r="B177" t="s">
        <v>294</v>
      </c>
      <c r="C177" t="s">
        <v>278</v>
      </c>
      <c r="D177">
        <v>1</v>
      </c>
      <c r="E177">
        <v>26.221413119999998</v>
      </c>
      <c r="F177">
        <f t="shared" si="2"/>
        <v>26.221413119999998</v>
      </c>
    </row>
    <row r="178" spans="1:6" x14ac:dyDescent="0.2">
      <c r="A178">
        <v>823</v>
      </c>
      <c r="B178" t="s">
        <v>306</v>
      </c>
      <c r="C178" t="s">
        <v>273</v>
      </c>
      <c r="D178">
        <v>118</v>
      </c>
      <c r="E178">
        <v>99.575777279999997</v>
      </c>
      <c r="F178">
        <f t="shared" si="2"/>
        <v>11749.94171904</v>
      </c>
    </row>
    <row r="179" spans="1:6" x14ac:dyDescent="0.2">
      <c r="A179">
        <v>823</v>
      </c>
      <c r="B179" t="s">
        <v>294</v>
      </c>
      <c r="C179" t="s">
        <v>278</v>
      </c>
      <c r="D179">
        <v>1</v>
      </c>
      <c r="E179">
        <v>26.221413119999998</v>
      </c>
      <c r="F179">
        <f t="shared" si="2"/>
        <v>26.221413119999998</v>
      </c>
    </row>
    <row r="180" spans="1:6" x14ac:dyDescent="0.2">
      <c r="A180">
        <v>823</v>
      </c>
      <c r="B180" t="s">
        <v>306</v>
      </c>
      <c r="C180" t="s">
        <v>273</v>
      </c>
      <c r="D180">
        <v>1</v>
      </c>
      <c r="E180">
        <v>99.575777279999997</v>
      </c>
      <c r="F180">
        <f t="shared" si="2"/>
        <v>99.575777279999997</v>
      </c>
    </row>
    <row r="181" spans="1:6" x14ac:dyDescent="0.2">
      <c r="A181">
        <v>823</v>
      </c>
      <c r="B181" t="s">
        <v>308</v>
      </c>
      <c r="C181" t="s">
        <v>309</v>
      </c>
      <c r="D181">
        <v>3</v>
      </c>
      <c r="E181">
        <v>167.62307692307692</v>
      </c>
      <c r="F181">
        <f t="shared" si="2"/>
        <v>502.86923076923074</v>
      </c>
    </row>
    <row r="182" spans="1:6" x14ac:dyDescent="0.2">
      <c r="A182">
        <v>823</v>
      </c>
      <c r="B182" t="s">
        <v>310</v>
      </c>
      <c r="C182" t="s">
        <v>273</v>
      </c>
      <c r="D182">
        <v>1</v>
      </c>
      <c r="E182">
        <v>0.33200000000000002</v>
      </c>
      <c r="F182">
        <f t="shared" si="2"/>
        <v>0.33200000000000002</v>
      </c>
    </row>
    <row r="183" spans="1:6" x14ac:dyDescent="0.2">
      <c r="A183">
        <v>823</v>
      </c>
      <c r="B183" t="s">
        <v>197</v>
      </c>
      <c r="C183" t="s">
        <v>278</v>
      </c>
      <c r="D183">
        <v>2</v>
      </c>
      <c r="E183">
        <v>7.4699999999999989E-2</v>
      </c>
      <c r="F183">
        <f t="shared" si="2"/>
        <v>0.14939999999999998</v>
      </c>
    </row>
    <row r="184" spans="1:6" x14ac:dyDescent="0.2">
      <c r="A184">
        <v>823</v>
      </c>
      <c r="B184" t="s">
        <v>311</v>
      </c>
      <c r="C184" t="s">
        <v>273</v>
      </c>
      <c r="D184">
        <v>3</v>
      </c>
      <c r="E184">
        <v>1.5935999999999999</v>
      </c>
      <c r="F184">
        <f t="shared" si="2"/>
        <v>4.7807999999999993</v>
      </c>
    </row>
    <row r="185" spans="1:6" x14ac:dyDescent="0.2">
      <c r="A185">
        <v>823</v>
      </c>
      <c r="B185" t="s">
        <v>312</v>
      </c>
      <c r="C185" t="s">
        <v>278</v>
      </c>
      <c r="D185">
        <v>6</v>
      </c>
      <c r="E185">
        <v>21.040500000000002</v>
      </c>
      <c r="F185">
        <f t="shared" si="2"/>
        <v>126.24300000000001</v>
      </c>
    </row>
    <row r="186" spans="1:6" x14ac:dyDescent="0.2">
      <c r="A186">
        <v>823</v>
      </c>
      <c r="B186" t="s">
        <v>75</v>
      </c>
      <c r="C186" t="s">
        <v>313</v>
      </c>
      <c r="D186">
        <v>6</v>
      </c>
      <c r="E186">
        <v>0.1153846153846154</v>
      </c>
      <c r="F186">
        <f t="shared" si="2"/>
        <v>0.6923076923076924</v>
      </c>
    </row>
    <row r="187" spans="1:6" x14ac:dyDescent="0.2">
      <c r="A187">
        <v>823</v>
      </c>
      <c r="B187" t="s">
        <v>314</v>
      </c>
      <c r="C187" t="s">
        <v>273</v>
      </c>
      <c r="D187">
        <v>1</v>
      </c>
      <c r="E187">
        <v>0.45650000000000002</v>
      </c>
      <c r="F187">
        <f t="shared" si="2"/>
        <v>0.45650000000000002</v>
      </c>
    </row>
    <row r="188" spans="1:6" x14ac:dyDescent="0.2">
      <c r="A188">
        <v>823</v>
      </c>
      <c r="B188" t="s">
        <v>314</v>
      </c>
      <c r="C188" t="s">
        <v>315</v>
      </c>
      <c r="D188">
        <v>3</v>
      </c>
      <c r="E188">
        <v>0.45650000000000002</v>
      </c>
      <c r="F188">
        <f t="shared" si="2"/>
        <v>1.3694999999999999</v>
      </c>
    </row>
    <row r="189" spans="1:6" x14ac:dyDescent="0.2">
      <c r="A189">
        <v>823</v>
      </c>
      <c r="B189" t="s">
        <v>316</v>
      </c>
      <c r="C189" t="s">
        <v>317</v>
      </c>
      <c r="D189">
        <v>1</v>
      </c>
      <c r="E189">
        <v>92.206615384615375</v>
      </c>
      <c r="F189">
        <f t="shared" si="2"/>
        <v>92.206615384615375</v>
      </c>
    </row>
    <row r="190" spans="1:6" x14ac:dyDescent="0.2">
      <c r="A190">
        <v>823</v>
      </c>
      <c r="B190" t="s">
        <v>318</v>
      </c>
      <c r="C190" t="s">
        <v>319</v>
      </c>
      <c r="D190">
        <v>1</v>
      </c>
      <c r="E190">
        <v>85.453846153846172</v>
      </c>
      <c r="F190">
        <f t="shared" si="2"/>
        <v>85.453846153846172</v>
      </c>
    </row>
    <row r="191" spans="1:6" x14ac:dyDescent="0.2">
      <c r="A191">
        <v>823</v>
      </c>
      <c r="B191" t="s">
        <v>320</v>
      </c>
      <c r="C191" t="s">
        <v>321</v>
      </c>
      <c r="D191">
        <v>3</v>
      </c>
      <c r="E191">
        <v>92.206615384615375</v>
      </c>
      <c r="F191">
        <f t="shared" si="2"/>
        <v>276.61984615384614</v>
      </c>
    </row>
    <row r="192" spans="1:6" x14ac:dyDescent="0.2">
      <c r="A192">
        <v>823</v>
      </c>
      <c r="B192" t="s">
        <v>267</v>
      </c>
      <c r="C192" t="s">
        <v>268</v>
      </c>
      <c r="D192">
        <v>2</v>
      </c>
      <c r="E192">
        <v>84863.132923076919</v>
      </c>
      <c r="F192">
        <f t="shared" si="2"/>
        <v>169726.26584615384</v>
      </c>
    </row>
    <row r="193" spans="1:6" x14ac:dyDescent="0.2">
      <c r="A193">
        <v>823</v>
      </c>
      <c r="B193" t="s">
        <v>260</v>
      </c>
      <c r="C193" t="s">
        <v>261</v>
      </c>
      <c r="D193">
        <v>1</v>
      </c>
      <c r="E193">
        <v>2908.2944615384613</v>
      </c>
      <c r="F193">
        <f t="shared" si="2"/>
        <v>2908.2944615384613</v>
      </c>
    </row>
    <row r="194" spans="1:6" x14ac:dyDescent="0.2">
      <c r="A194">
        <v>823</v>
      </c>
      <c r="B194" t="s">
        <v>262</v>
      </c>
      <c r="C194" t="s">
        <v>263</v>
      </c>
      <c r="D194">
        <v>5</v>
      </c>
      <c r="E194">
        <v>3207.1966153846147</v>
      </c>
      <c r="F194">
        <f t="shared" si="2"/>
        <v>16035.983076923074</v>
      </c>
    </row>
    <row r="195" spans="1:6" x14ac:dyDescent="0.2">
      <c r="A195">
        <v>823</v>
      </c>
      <c r="B195" t="s">
        <v>264</v>
      </c>
      <c r="C195" t="s">
        <v>265</v>
      </c>
      <c r="D195">
        <v>1</v>
      </c>
      <c r="E195">
        <v>3466.73123076923</v>
      </c>
      <c r="F195">
        <f t="shared" ref="F195:F258" si="3">D195*E195</f>
        <v>3466.73123076923</v>
      </c>
    </row>
    <row r="196" spans="1:6" x14ac:dyDescent="0.2">
      <c r="A196">
        <v>823</v>
      </c>
      <c r="B196" t="s">
        <v>259</v>
      </c>
      <c r="C196" t="s">
        <v>258</v>
      </c>
      <c r="D196">
        <v>1</v>
      </c>
      <c r="E196">
        <v>3325.9759999999997</v>
      </c>
      <c r="F196">
        <f t="shared" si="3"/>
        <v>3325.9759999999997</v>
      </c>
    </row>
    <row r="197" spans="1:6" x14ac:dyDescent="0.2">
      <c r="A197">
        <v>823</v>
      </c>
      <c r="B197" t="s">
        <v>257</v>
      </c>
      <c r="C197" t="s">
        <v>258</v>
      </c>
      <c r="D197">
        <v>1</v>
      </c>
      <c r="E197">
        <v>3325.9759999999997</v>
      </c>
      <c r="F197">
        <f t="shared" si="3"/>
        <v>3325.9759999999997</v>
      </c>
    </row>
    <row r="198" spans="1:6" x14ac:dyDescent="0.2">
      <c r="A198">
        <v>823</v>
      </c>
      <c r="B198" t="s">
        <v>255</v>
      </c>
      <c r="C198" t="s">
        <v>256</v>
      </c>
      <c r="D198">
        <v>5</v>
      </c>
      <c r="E198">
        <v>18546.094615384613</v>
      </c>
      <c r="F198">
        <f t="shared" si="3"/>
        <v>92730.473076923066</v>
      </c>
    </row>
    <row r="199" spans="1:6" x14ac:dyDescent="0.2">
      <c r="A199">
        <v>823</v>
      </c>
      <c r="B199" t="s">
        <v>253</v>
      </c>
      <c r="C199" t="s">
        <v>254</v>
      </c>
      <c r="D199">
        <v>5</v>
      </c>
      <c r="E199">
        <v>21043.67953846154</v>
      </c>
      <c r="F199">
        <f t="shared" si="3"/>
        <v>105218.3976923077</v>
      </c>
    </row>
    <row r="200" spans="1:6" x14ac:dyDescent="0.2">
      <c r="A200">
        <v>823</v>
      </c>
      <c r="B200" t="s">
        <v>359</v>
      </c>
      <c r="C200" t="s">
        <v>360</v>
      </c>
      <c r="D200">
        <v>1</v>
      </c>
      <c r="E200">
        <v>1844.9384615384615</v>
      </c>
      <c r="F200">
        <f t="shared" si="3"/>
        <v>1844.9384615384615</v>
      </c>
    </row>
    <row r="201" spans="1:6" x14ac:dyDescent="0.2">
      <c r="A201">
        <v>823</v>
      </c>
      <c r="B201" t="s">
        <v>389</v>
      </c>
      <c r="C201" t="s">
        <v>390</v>
      </c>
      <c r="D201">
        <v>1</v>
      </c>
      <c r="E201">
        <v>4906</v>
      </c>
      <c r="F201">
        <f t="shared" si="3"/>
        <v>4906</v>
      </c>
    </row>
    <row r="202" spans="1:6" x14ac:dyDescent="0.2">
      <c r="A202">
        <v>824</v>
      </c>
      <c r="B202" t="s">
        <v>62</v>
      </c>
      <c r="C202" t="s">
        <v>63</v>
      </c>
      <c r="D202">
        <v>4</v>
      </c>
      <c r="E202">
        <v>0.34860000000000002</v>
      </c>
      <c r="F202">
        <f t="shared" si="3"/>
        <v>1.3944000000000001</v>
      </c>
    </row>
    <row r="203" spans="1:6" x14ac:dyDescent="0.2">
      <c r="A203">
        <v>824</v>
      </c>
      <c r="B203" t="s">
        <v>64</v>
      </c>
      <c r="C203" t="s">
        <v>65</v>
      </c>
      <c r="D203">
        <v>3</v>
      </c>
      <c r="E203">
        <v>803.07692307692309</v>
      </c>
      <c r="F203">
        <f t="shared" si="3"/>
        <v>2409.2307692307695</v>
      </c>
    </row>
    <row r="204" spans="1:6" x14ac:dyDescent="0.2">
      <c r="A204">
        <v>824</v>
      </c>
      <c r="B204" t="s">
        <v>67</v>
      </c>
      <c r="C204" t="s">
        <v>68</v>
      </c>
      <c r="D204">
        <v>1</v>
      </c>
      <c r="E204">
        <v>49.678567679999993</v>
      </c>
      <c r="F204">
        <f t="shared" si="3"/>
        <v>49.678567679999993</v>
      </c>
    </row>
    <row r="205" spans="1:6" x14ac:dyDescent="0.2">
      <c r="A205">
        <v>824</v>
      </c>
      <c r="B205" t="s">
        <v>70</v>
      </c>
      <c r="C205" t="s">
        <v>71</v>
      </c>
      <c r="D205">
        <v>3</v>
      </c>
      <c r="E205">
        <v>407.98649999999998</v>
      </c>
      <c r="F205">
        <f t="shared" si="3"/>
        <v>1223.9594999999999</v>
      </c>
    </row>
    <row r="206" spans="1:6" x14ac:dyDescent="0.2">
      <c r="A206">
        <v>824</v>
      </c>
      <c r="B206" t="s">
        <v>73</v>
      </c>
      <c r="C206" t="s">
        <v>74</v>
      </c>
      <c r="D206">
        <v>2</v>
      </c>
      <c r="E206">
        <v>0.57783935999999991</v>
      </c>
      <c r="F206">
        <f t="shared" si="3"/>
        <v>1.1556787199999998</v>
      </c>
    </row>
    <row r="207" spans="1:6" x14ac:dyDescent="0.2">
      <c r="A207">
        <v>824</v>
      </c>
      <c r="B207" t="s">
        <v>75</v>
      </c>
      <c r="C207" t="s">
        <v>76</v>
      </c>
      <c r="D207">
        <v>4</v>
      </c>
      <c r="E207">
        <v>0.1153846153846154</v>
      </c>
      <c r="F207">
        <f t="shared" si="3"/>
        <v>0.46153846153846162</v>
      </c>
    </row>
    <row r="208" spans="1:6" x14ac:dyDescent="0.2">
      <c r="A208">
        <v>824</v>
      </c>
      <c r="B208" t="s">
        <v>77</v>
      </c>
      <c r="C208" t="s">
        <v>74</v>
      </c>
      <c r="D208">
        <v>1</v>
      </c>
      <c r="E208">
        <v>1.3943999999999999</v>
      </c>
      <c r="F208">
        <f t="shared" si="3"/>
        <v>1.3943999999999999</v>
      </c>
    </row>
    <row r="209" spans="1:6" x14ac:dyDescent="0.2">
      <c r="A209">
        <v>824</v>
      </c>
      <c r="B209" t="s">
        <v>78</v>
      </c>
      <c r="C209" t="s">
        <v>76</v>
      </c>
      <c r="D209">
        <v>118</v>
      </c>
      <c r="E209">
        <v>0.71839487999999996</v>
      </c>
      <c r="F209">
        <f t="shared" si="3"/>
        <v>84.770595839999999</v>
      </c>
    </row>
    <row r="210" spans="1:6" x14ac:dyDescent="0.2">
      <c r="A210">
        <v>824</v>
      </c>
      <c r="B210" t="s">
        <v>79</v>
      </c>
      <c r="C210" t="s">
        <v>74</v>
      </c>
      <c r="D210">
        <v>1</v>
      </c>
      <c r="E210">
        <v>1.9307692307692308</v>
      </c>
      <c r="F210">
        <f t="shared" si="3"/>
        <v>1.9307692307692308</v>
      </c>
    </row>
    <row r="211" spans="1:6" x14ac:dyDescent="0.2">
      <c r="A211">
        <v>824</v>
      </c>
      <c r="B211" t="s">
        <v>80</v>
      </c>
      <c r="C211" t="s">
        <v>74</v>
      </c>
      <c r="D211">
        <v>1</v>
      </c>
      <c r="E211">
        <v>0.9544999999999999</v>
      </c>
      <c r="F211">
        <f t="shared" si="3"/>
        <v>0.9544999999999999</v>
      </c>
    </row>
    <row r="212" spans="1:6" x14ac:dyDescent="0.2">
      <c r="A212">
        <v>824</v>
      </c>
      <c r="B212" t="s">
        <v>81</v>
      </c>
      <c r="C212" t="s">
        <v>74</v>
      </c>
      <c r="D212">
        <v>3</v>
      </c>
      <c r="E212">
        <v>0.76359999999999995</v>
      </c>
      <c r="F212">
        <f t="shared" si="3"/>
        <v>2.2907999999999999</v>
      </c>
    </row>
    <row r="213" spans="1:6" x14ac:dyDescent="0.2">
      <c r="A213">
        <v>824</v>
      </c>
      <c r="B213" t="s">
        <v>82</v>
      </c>
      <c r="C213" t="s">
        <v>83</v>
      </c>
      <c r="D213">
        <v>1</v>
      </c>
      <c r="E213">
        <v>20.351599999999998</v>
      </c>
      <c r="F213">
        <f t="shared" si="3"/>
        <v>20.351599999999998</v>
      </c>
    </row>
    <row r="214" spans="1:6" x14ac:dyDescent="0.2">
      <c r="A214">
        <v>824</v>
      </c>
      <c r="B214" t="s">
        <v>84</v>
      </c>
      <c r="C214" t="s">
        <v>85</v>
      </c>
      <c r="D214">
        <v>2</v>
      </c>
      <c r="E214">
        <v>102.33222719999999</v>
      </c>
      <c r="F214">
        <f t="shared" si="3"/>
        <v>204.66445439999998</v>
      </c>
    </row>
    <row r="215" spans="1:6" x14ac:dyDescent="0.2">
      <c r="A215">
        <v>824</v>
      </c>
      <c r="B215" t="s">
        <v>86</v>
      </c>
      <c r="C215" t="s">
        <v>85</v>
      </c>
      <c r="D215">
        <v>3</v>
      </c>
      <c r="E215">
        <v>144.26462399999997</v>
      </c>
      <c r="F215">
        <f t="shared" si="3"/>
        <v>432.79387199999991</v>
      </c>
    </row>
    <row r="216" spans="1:6" x14ac:dyDescent="0.2">
      <c r="A216">
        <v>824</v>
      </c>
      <c r="B216" t="s">
        <v>87</v>
      </c>
      <c r="C216" t="s">
        <v>88</v>
      </c>
      <c r="D216">
        <v>6</v>
      </c>
      <c r="E216">
        <v>162.02147135999999</v>
      </c>
      <c r="F216">
        <f t="shared" si="3"/>
        <v>972.12882816000001</v>
      </c>
    </row>
    <row r="217" spans="1:6" x14ac:dyDescent="0.2">
      <c r="A217">
        <v>824</v>
      </c>
      <c r="B217" t="s">
        <v>89</v>
      </c>
      <c r="C217" t="s">
        <v>85</v>
      </c>
      <c r="D217">
        <v>6</v>
      </c>
      <c r="E217">
        <v>211.01287872</v>
      </c>
      <c r="F217">
        <f t="shared" si="3"/>
        <v>1266.07727232</v>
      </c>
    </row>
    <row r="218" spans="1:6" x14ac:dyDescent="0.2">
      <c r="A218">
        <v>824</v>
      </c>
      <c r="B218" t="s">
        <v>90</v>
      </c>
      <c r="C218" t="s">
        <v>88</v>
      </c>
      <c r="D218">
        <v>1</v>
      </c>
      <c r="E218">
        <v>238.16351999999995</v>
      </c>
      <c r="F218">
        <f t="shared" si="3"/>
        <v>238.16351999999995</v>
      </c>
    </row>
    <row r="219" spans="1:6" x14ac:dyDescent="0.2">
      <c r="A219">
        <v>824</v>
      </c>
      <c r="B219" t="s">
        <v>92</v>
      </c>
      <c r="C219" t="s">
        <v>93</v>
      </c>
      <c r="D219">
        <v>3</v>
      </c>
      <c r="E219">
        <v>19.297499999999999</v>
      </c>
      <c r="F219">
        <f t="shared" si="3"/>
        <v>57.892499999999998</v>
      </c>
    </row>
    <row r="220" spans="1:6" x14ac:dyDescent="0.2">
      <c r="A220">
        <v>824</v>
      </c>
      <c r="B220" t="s">
        <v>94</v>
      </c>
      <c r="C220" t="s">
        <v>95</v>
      </c>
      <c r="D220">
        <v>1</v>
      </c>
      <c r="E220">
        <v>644.46267648000003</v>
      </c>
      <c r="F220">
        <f t="shared" si="3"/>
        <v>644.46267648000003</v>
      </c>
    </row>
    <row r="221" spans="1:6" x14ac:dyDescent="0.2">
      <c r="A221">
        <v>824</v>
      </c>
      <c r="B221" t="s">
        <v>236</v>
      </c>
      <c r="C221" t="s">
        <v>237</v>
      </c>
      <c r="D221">
        <v>1</v>
      </c>
      <c r="E221">
        <v>132.79999999999998</v>
      </c>
      <c r="F221">
        <f t="shared" si="3"/>
        <v>132.79999999999998</v>
      </c>
    </row>
    <row r="222" spans="1:6" x14ac:dyDescent="0.2">
      <c r="A222">
        <v>824</v>
      </c>
      <c r="B222" t="s">
        <v>238</v>
      </c>
      <c r="C222" t="s">
        <v>239</v>
      </c>
      <c r="D222">
        <v>3</v>
      </c>
      <c r="E222">
        <v>340.93846153846152</v>
      </c>
      <c r="F222">
        <f t="shared" si="3"/>
        <v>1022.8153846153846</v>
      </c>
    </row>
    <row r="223" spans="1:6" x14ac:dyDescent="0.2">
      <c r="A223">
        <v>824</v>
      </c>
      <c r="B223" t="s">
        <v>240</v>
      </c>
      <c r="C223" t="s">
        <v>241</v>
      </c>
      <c r="D223">
        <v>2</v>
      </c>
      <c r="E223">
        <v>309.01538461538462</v>
      </c>
      <c r="F223">
        <f t="shared" si="3"/>
        <v>618.03076923076924</v>
      </c>
    </row>
    <row r="224" spans="1:6" x14ac:dyDescent="0.2">
      <c r="A224">
        <v>824</v>
      </c>
      <c r="B224" t="s">
        <v>242</v>
      </c>
      <c r="C224" t="s">
        <v>243</v>
      </c>
      <c r="D224">
        <v>1</v>
      </c>
      <c r="E224">
        <v>427.76923076923072</v>
      </c>
      <c r="F224">
        <f t="shared" si="3"/>
        <v>427.76923076923072</v>
      </c>
    </row>
    <row r="225" spans="1:6" x14ac:dyDescent="0.2">
      <c r="A225">
        <v>824</v>
      </c>
      <c r="B225" t="s">
        <v>244</v>
      </c>
      <c r="C225" t="s">
        <v>184</v>
      </c>
      <c r="D225">
        <v>5</v>
      </c>
      <c r="E225">
        <v>18.643076923076922</v>
      </c>
      <c r="F225">
        <f t="shared" si="3"/>
        <v>93.215384615384608</v>
      </c>
    </row>
    <row r="226" spans="1:6" x14ac:dyDescent="0.2">
      <c r="A226">
        <v>824</v>
      </c>
      <c r="B226" t="s">
        <v>245</v>
      </c>
      <c r="C226" t="s">
        <v>246</v>
      </c>
      <c r="D226">
        <v>1</v>
      </c>
      <c r="E226">
        <v>0.44819999999999999</v>
      </c>
      <c r="F226">
        <f t="shared" si="3"/>
        <v>0.44819999999999999</v>
      </c>
    </row>
    <row r="227" spans="1:6" x14ac:dyDescent="0.2">
      <c r="A227">
        <v>824</v>
      </c>
      <c r="B227" t="s">
        <v>75</v>
      </c>
      <c r="C227" t="s">
        <v>247</v>
      </c>
      <c r="D227">
        <v>1</v>
      </c>
      <c r="E227">
        <v>0.1153846153846154</v>
      </c>
      <c r="F227">
        <f t="shared" si="3"/>
        <v>0.1153846153846154</v>
      </c>
    </row>
    <row r="228" spans="1:6" x14ac:dyDescent="0.2">
      <c r="A228">
        <v>824</v>
      </c>
      <c r="B228" t="s">
        <v>197</v>
      </c>
      <c r="C228" t="s">
        <v>117</v>
      </c>
      <c r="D228">
        <v>1</v>
      </c>
      <c r="E228">
        <v>7.4699999999999989E-2</v>
      </c>
      <c r="F228">
        <f t="shared" si="3"/>
        <v>7.4699999999999989E-2</v>
      </c>
    </row>
    <row r="229" spans="1:6" x14ac:dyDescent="0.2">
      <c r="A229">
        <v>824</v>
      </c>
      <c r="B229" t="s">
        <v>248</v>
      </c>
      <c r="C229" t="s">
        <v>249</v>
      </c>
      <c r="D229">
        <v>5</v>
      </c>
      <c r="E229">
        <v>31064.984615384612</v>
      </c>
      <c r="F229">
        <f t="shared" si="3"/>
        <v>155324.92307692306</v>
      </c>
    </row>
    <row r="230" spans="1:6" x14ac:dyDescent="0.2">
      <c r="A230">
        <v>824</v>
      </c>
      <c r="B230" t="s">
        <v>250</v>
      </c>
      <c r="C230" t="s">
        <v>251</v>
      </c>
      <c r="D230">
        <v>5</v>
      </c>
      <c r="E230">
        <v>564.54124607999995</v>
      </c>
      <c r="F230">
        <f t="shared" si="3"/>
        <v>2822.7062303999996</v>
      </c>
    </row>
    <row r="231" spans="1:6" x14ac:dyDescent="0.2">
      <c r="A231">
        <v>824</v>
      </c>
      <c r="B231" t="s">
        <v>146</v>
      </c>
      <c r="C231" t="s">
        <v>147</v>
      </c>
      <c r="D231">
        <v>1</v>
      </c>
      <c r="E231">
        <v>8021.5764999999992</v>
      </c>
      <c r="F231">
        <f t="shared" si="3"/>
        <v>8021.5764999999992</v>
      </c>
    </row>
    <row r="232" spans="1:6" x14ac:dyDescent="0.2">
      <c r="A232">
        <v>824</v>
      </c>
      <c r="B232" t="s">
        <v>215</v>
      </c>
      <c r="C232" t="s">
        <v>208</v>
      </c>
      <c r="D232">
        <v>1</v>
      </c>
      <c r="E232">
        <v>1.42898112</v>
      </c>
      <c r="F232">
        <f t="shared" si="3"/>
        <v>1.42898112</v>
      </c>
    </row>
    <row r="233" spans="1:6" x14ac:dyDescent="0.2">
      <c r="A233">
        <v>824</v>
      </c>
      <c r="B233" t="s">
        <v>200</v>
      </c>
      <c r="C233" t="s">
        <v>199</v>
      </c>
      <c r="D233">
        <v>4</v>
      </c>
      <c r="E233">
        <v>0.66373439999999995</v>
      </c>
      <c r="F233">
        <f t="shared" si="3"/>
        <v>2.6549375999999998</v>
      </c>
    </row>
    <row r="234" spans="1:6" x14ac:dyDescent="0.2">
      <c r="A234">
        <v>824</v>
      </c>
      <c r="B234" t="s">
        <v>216</v>
      </c>
      <c r="C234" t="s">
        <v>199</v>
      </c>
      <c r="D234">
        <v>3</v>
      </c>
      <c r="E234">
        <v>0.66400000000000003</v>
      </c>
      <c r="F234">
        <f t="shared" si="3"/>
        <v>1.992</v>
      </c>
    </row>
    <row r="235" spans="1:6" x14ac:dyDescent="0.2">
      <c r="A235">
        <v>824</v>
      </c>
      <c r="B235" t="s">
        <v>217</v>
      </c>
      <c r="C235" t="s">
        <v>199</v>
      </c>
      <c r="D235">
        <v>1</v>
      </c>
      <c r="E235">
        <v>4.2164000000000001</v>
      </c>
      <c r="F235">
        <f t="shared" si="3"/>
        <v>4.2164000000000001</v>
      </c>
    </row>
    <row r="236" spans="1:6" x14ac:dyDescent="0.2">
      <c r="A236">
        <v>824</v>
      </c>
      <c r="B236" t="s">
        <v>218</v>
      </c>
      <c r="C236" t="s">
        <v>208</v>
      </c>
      <c r="D236">
        <v>3</v>
      </c>
      <c r="E236">
        <v>7.3454999999999995</v>
      </c>
      <c r="F236">
        <f t="shared" si="3"/>
        <v>22.036499999999997</v>
      </c>
    </row>
    <row r="237" spans="1:6" x14ac:dyDescent="0.2">
      <c r="A237">
        <v>824</v>
      </c>
      <c r="B237" t="s">
        <v>219</v>
      </c>
      <c r="C237" t="s">
        <v>199</v>
      </c>
      <c r="D237">
        <v>2</v>
      </c>
      <c r="E237">
        <v>1.4774</v>
      </c>
      <c r="F237">
        <f t="shared" si="3"/>
        <v>2.9548000000000001</v>
      </c>
    </row>
    <row r="238" spans="1:6" x14ac:dyDescent="0.2">
      <c r="A238">
        <v>824</v>
      </c>
      <c r="B238" t="s">
        <v>220</v>
      </c>
      <c r="C238" t="s">
        <v>208</v>
      </c>
      <c r="D238">
        <v>4</v>
      </c>
      <c r="E238">
        <v>3.7267000000000001</v>
      </c>
      <c r="F238">
        <f t="shared" si="3"/>
        <v>14.9068</v>
      </c>
    </row>
    <row r="239" spans="1:6" x14ac:dyDescent="0.2">
      <c r="A239">
        <v>824</v>
      </c>
      <c r="B239" t="s">
        <v>221</v>
      </c>
      <c r="C239" t="s">
        <v>199</v>
      </c>
      <c r="D239">
        <v>1</v>
      </c>
      <c r="E239">
        <v>0.97939999999999994</v>
      </c>
      <c r="F239">
        <f t="shared" si="3"/>
        <v>0.97939999999999994</v>
      </c>
    </row>
    <row r="240" spans="1:6" x14ac:dyDescent="0.2">
      <c r="A240">
        <v>824</v>
      </c>
      <c r="B240" t="s">
        <v>222</v>
      </c>
      <c r="C240" t="s">
        <v>208</v>
      </c>
      <c r="D240">
        <v>118</v>
      </c>
      <c r="E240">
        <v>6.0672999999999995</v>
      </c>
      <c r="F240">
        <f t="shared" si="3"/>
        <v>715.94139999999993</v>
      </c>
    </row>
    <row r="241" spans="1:6" x14ac:dyDescent="0.2">
      <c r="A241">
        <v>824</v>
      </c>
      <c r="B241" t="s">
        <v>223</v>
      </c>
      <c r="C241" t="s">
        <v>224</v>
      </c>
      <c r="D241">
        <v>1</v>
      </c>
      <c r="E241">
        <v>19.4635</v>
      </c>
      <c r="F241">
        <f t="shared" si="3"/>
        <v>19.4635</v>
      </c>
    </row>
    <row r="242" spans="1:6" x14ac:dyDescent="0.2">
      <c r="A242">
        <v>824</v>
      </c>
      <c r="B242" t="s">
        <v>225</v>
      </c>
      <c r="C242" t="s">
        <v>226</v>
      </c>
      <c r="D242">
        <v>1</v>
      </c>
      <c r="E242">
        <v>10.221509759999998</v>
      </c>
      <c r="F242">
        <f t="shared" si="3"/>
        <v>10.221509759999998</v>
      </c>
    </row>
    <row r="243" spans="1:6" x14ac:dyDescent="0.2">
      <c r="A243">
        <v>824</v>
      </c>
      <c r="B243" t="s">
        <v>227</v>
      </c>
      <c r="C243" t="s">
        <v>208</v>
      </c>
      <c r="D243">
        <v>3</v>
      </c>
      <c r="E243">
        <v>3.6307692307692312</v>
      </c>
      <c r="F243">
        <f t="shared" si="3"/>
        <v>10.892307692307693</v>
      </c>
    </row>
    <row r="244" spans="1:6" x14ac:dyDescent="0.2">
      <c r="A244">
        <v>824</v>
      </c>
      <c r="B244" t="s">
        <v>228</v>
      </c>
      <c r="C244" t="s">
        <v>229</v>
      </c>
      <c r="D244">
        <v>1</v>
      </c>
      <c r="E244">
        <v>306.94982975999994</v>
      </c>
      <c r="F244">
        <f t="shared" si="3"/>
        <v>306.94982975999994</v>
      </c>
    </row>
    <row r="245" spans="1:6" x14ac:dyDescent="0.2">
      <c r="A245">
        <v>824</v>
      </c>
      <c r="B245" t="s">
        <v>116</v>
      </c>
      <c r="C245" t="s">
        <v>117</v>
      </c>
      <c r="D245">
        <v>2</v>
      </c>
      <c r="E245">
        <v>0.25729999999999997</v>
      </c>
      <c r="F245">
        <f t="shared" si="3"/>
        <v>0.51459999999999995</v>
      </c>
    </row>
    <row r="246" spans="1:6" x14ac:dyDescent="0.2">
      <c r="A246">
        <v>824</v>
      </c>
      <c r="B246" t="s">
        <v>78</v>
      </c>
      <c r="C246" t="s">
        <v>76</v>
      </c>
      <c r="D246">
        <v>3</v>
      </c>
      <c r="E246">
        <v>0.71839487999999996</v>
      </c>
      <c r="F246">
        <f t="shared" si="3"/>
        <v>2.1551846399999999</v>
      </c>
    </row>
    <row r="247" spans="1:6" x14ac:dyDescent="0.2">
      <c r="A247">
        <v>824</v>
      </c>
      <c r="B247" t="s">
        <v>231</v>
      </c>
      <c r="C247" t="s">
        <v>208</v>
      </c>
      <c r="D247">
        <v>6</v>
      </c>
      <c r="E247">
        <v>2.0832999999999999</v>
      </c>
      <c r="F247">
        <f t="shared" si="3"/>
        <v>12.4998</v>
      </c>
    </row>
    <row r="248" spans="1:6" x14ac:dyDescent="0.2">
      <c r="A248">
        <v>824</v>
      </c>
      <c r="B248" t="s">
        <v>232</v>
      </c>
      <c r="C248" t="s">
        <v>119</v>
      </c>
      <c r="D248">
        <v>6</v>
      </c>
      <c r="E248">
        <v>1.5935999999999999</v>
      </c>
      <c r="F248">
        <f t="shared" si="3"/>
        <v>9.5615999999999985</v>
      </c>
    </row>
    <row r="249" spans="1:6" x14ac:dyDescent="0.2">
      <c r="A249">
        <v>824</v>
      </c>
      <c r="B249" t="s">
        <v>233</v>
      </c>
      <c r="C249" t="s">
        <v>234</v>
      </c>
      <c r="D249">
        <v>1</v>
      </c>
      <c r="E249">
        <v>3989.2954</v>
      </c>
      <c r="F249">
        <f t="shared" si="3"/>
        <v>3989.2954</v>
      </c>
    </row>
    <row r="250" spans="1:6" x14ac:dyDescent="0.2">
      <c r="A250">
        <v>824</v>
      </c>
      <c r="B250" t="s">
        <v>142</v>
      </c>
      <c r="C250" t="s">
        <v>143</v>
      </c>
      <c r="D250">
        <v>3</v>
      </c>
      <c r="E250">
        <v>18141.642</v>
      </c>
      <c r="F250">
        <f t="shared" si="3"/>
        <v>54424.925999999999</v>
      </c>
    </row>
    <row r="251" spans="1:6" x14ac:dyDescent="0.2">
      <c r="A251">
        <v>824</v>
      </c>
      <c r="B251" t="s">
        <v>144</v>
      </c>
      <c r="C251" t="s">
        <v>145</v>
      </c>
      <c r="D251">
        <v>1</v>
      </c>
      <c r="E251">
        <v>7346.6769230769241</v>
      </c>
      <c r="F251">
        <f t="shared" si="3"/>
        <v>7346.6769230769241</v>
      </c>
    </row>
    <row r="252" spans="1:6" x14ac:dyDescent="0.2">
      <c r="A252">
        <v>824</v>
      </c>
      <c r="B252" t="s">
        <v>197</v>
      </c>
      <c r="C252" t="s">
        <v>117</v>
      </c>
      <c r="D252">
        <v>1</v>
      </c>
      <c r="E252">
        <v>7.4699999999999989E-2</v>
      </c>
      <c r="F252">
        <f t="shared" si="3"/>
        <v>7.4699999999999989E-2</v>
      </c>
    </row>
    <row r="253" spans="1:6" x14ac:dyDescent="0.2">
      <c r="A253">
        <v>824</v>
      </c>
      <c r="B253" t="s">
        <v>198</v>
      </c>
      <c r="C253" t="s">
        <v>199</v>
      </c>
      <c r="D253">
        <v>3</v>
      </c>
      <c r="E253">
        <v>0.66373439999999995</v>
      </c>
      <c r="F253">
        <f t="shared" si="3"/>
        <v>1.9912031999999997</v>
      </c>
    </row>
    <row r="254" spans="1:6" x14ac:dyDescent="0.2">
      <c r="A254">
        <v>824</v>
      </c>
      <c r="B254" t="s">
        <v>200</v>
      </c>
      <c r="C254" t="s">
        <v>199</v>
      </c>
      <c r="D254">
        <v>2</v>
      </c>
      <c r="E254">
        <v>0.66373439999999995</v>
      </c>
      <c r="F254">
        <f t="shared" si="3"/>
        <v>1.3274687999999999</v>
      </c>
    </row>
    <row r="255" spans="1:6" x14ac:dyDescent="0.2">
      <c r="A255">
        <v>824</v>
      </c>
      <c r="B255" t="s">
        <v>201</v>
      </c>
      <c r="C255" t="s">
        <v>76</v>
      </c>
      <c r="D255">
        <v>1</v>
      </c>
      <c r="E255">
        <v>0.22645055999999994</v>
      </c>
      <c r="F255">
        <f t="shared" si="3"/>
        <v>0.22645055999999994</v>
      </c>
    </row>
    <row r="256" spans="1:6" x14ac:dyDescent="0.2">
      <c r="A256">
        <v>824</v>
      </c>
      <c r="B256" t="s">
        <v>202</v>
      </c>
      <c r="C256" t="s">
        <v>203</v>
      </c>
      <c r="D256">
        <v>5</v>
      </c>
      <c r="E256">
        <v>12.45</v>
      </c>
      <c r="F256">
        <f t="shared" si="3"/>
        <v>62.25</v>
      </c>
    </row>
    <row r="257" spans="1:6" x14ac:dyDescent="0.2">
      <c r="A257">
        <v>824</v>
      </c>
      <c r="B257" t="s">
        <v>204</v>
      </c>
      <c r="C257" t="s">
        <v>205</v>
      </c>
      <c r="D257">
        <v>1</v>
      </c>
      <c r="E257">
        <v>103.72216512</v>
      </c>
      <c r="F257">
        <f t="shared" si="3"/>
        <v>103.72216512</v>
      </c>
    </row>
    <row r="258" spans="1:6" x14ac:dyDescent="0.2">
      <c r="A258">
        <v>824</v>
      </c>
      <c r="B258" t="s">
        <v>116</v>
      </c>
      <c r="C258" t="s">
        <v>117</v>
      </c>
      <c r="D258">
        <v>3</v>
      </c>
      <c r="E258">
        <v>0.25729999999999997</v>
      </c>
      <c r="F258">
        <f t="shared" si="3"/>
        <v>0.77189999999999992</v>
      </c>
    </row>
    <row r="259" spans="1:6" x14ac:dyDescent="0.2">
      <c r="A259">
        <v>824</v>
      </c>
      <c r="B259" t="s">
        <v>78</v>
      </c>
      <c r="C259" t="s">
        <v>76</v>
      </c>
      <c r="D259">
        <v>6</v>
      </c>
      <c r="E259">
        <v>0.71839487999999996</v>
      </c>
      <c r="F259">
        <f t="shared" ref="F259:F322" si="4">D259*E259</f>
        <v>4.3103692799999997</v>
      </c>
    </row>
    <row r="260" spans="1:6" x14ac:dyDescent="0.2">
      <c r="A260">
        <v>824</v>
      </c>
      <c r="B260" t="s">
        <v>207</v>
      </c>
      <c r="C260" t="s">
        <v>208</v>
      </c>
      <c r="D260">
        <v>6</v>
      </c>
      <c r="E260">
        <v>4.6314000000000002</v>
      </c>
      <c r="F260">
        <f t="shared" si="4"/>
        <v>27.788400000000003</v>
      </c>
    </row>
    <row r="261" spans="1:6" x14ac:dyDescent="0.2">
      <c r="A261">
        <v>824</v>
      </c>
      <c r="B261" t="s">
        <v>209</v>
      </c>
      <c r="C261" t="s">
        <v>210</v>
      </c>
      <c r="D261">
        <v>1</v>
      </c>
      <c r="E261">
        <v>39.550761599999994</v>
      </c>
      <c r="F261">
        <f t="shared" si="4"/>
        <v>39.550761599999994</v>
      </c>
    </row>
    <row r="262" spans="1:6" x14ac:dyDescent="0.2">
      <c r="A262">
        <v>824</v>
      </c>
      <c r="B262" t="s">
        <v>211</v>
      </c>
      <c r="C262" t="s">
        <v>203</v>
      </c>
      <c r="D262">
        <v>3</v>
      </c>
      <c r="E262">
        <v>25.754899999999999</v>
      </c>
      <c r="F262">
        <f t="shared" si="4"/>
        <v>77.264700000000005</v>
      </c>
    </row>
    <row r="263" spans="1:6" x14ac:dyDescent="0.2">
      <c r="A263">
        <v>824</v>
      </c>
      <c r="B263" t="s">
        <v>212</v>
      </c>
      <c r="C263" t="s">
        <v>213</v>
      </c>
      <c r="D263">
        <v>1</v>
      </c>
      <c r="E263">
        <v>272.92059999999998</v>
      </c>
      <c r="F263">
        <f t="shared" si="4"/>
        <v>272.92059999999998</v>
      </c>
    </row>
    <row r="264" spans="1:6" x14ac:dyDescent="0.2">
      <c r="A264">
        <v>824</v>
      </c>
      <c r="B264" t="s">
        <v>149</v>
      </c>
      <c r="C264" t="s">
        <v>150</v>
      </c>
      <c r="D264">
        <v>1</v>
      </c>
      <c r="E264">
        <v>0.7054999999999999</v>
      </c>
      <c r="F264">
        <f t="shared" si="4"/>
        <v>0.7054999999999999</v>
      </c>
    </row>
    <row r="265" spans="1:6" x14ac:dyDescent="0.2">
      <c r="A265">
        <v>824</v>
      </c>
      <c r="B265" t="s">
        <v>151</v>
      </c>
      <c r="C265" t="s">
        <v>152</v>
      </c>
      <c r="D265">
        <v>3</v>
      </c>
      <c r="E265">
        <v>5.6190999999999995</v>
      </c>
      <c r="F265">
        <f t="shared" si="4"/>
        <v>16.857299999999999</v>
      </c>
    </row>
    <row r="266" spans="1:6" x14ac:dyDescent="0.2">
      <c r="A266">
        <v>824</v>
      </c>
      <c r="B266" t="s">
        <v>153</v>
      </c>
      <c r="C266" t="s">
        <v>119</v>
      </c>
      <c r="D266">
        <v>2</v>
      </c>
      <c r="E266">
        <v>1.11663552</v>
      </c>
      <c r="F266">
        <f t="shared" si="4"/>
        <v>2.23327104</v>
      </c>
    </row>
    <row r="267" spans="1:6" x14ac:dyDescent="0.2">
      <c r="A267">
        <v>824</v>
      </c>
      <c r="B267" t="s">
        <v>154</v>
      </c>
      <c r="C267" t="s">
        <v>117</v>
      </c>
      <c r="D267">
        <v>1</v>
      </c>
      <c r="E267">
        <v>4.3657999999999992</v>
      </c>
      <c r="F267">
        <f t="shared" si="4"/>
        <v>4.3657999999999992</v>
      </c>
    </row>
    <row r="268" spans="1:6" x14ac:dyDescent="0.2">
      <c r="A268">
        <v>824</v>
      </c>
      <c r="B268" t="s">
        <v>155</v>
      </c>
      <c r="C268" t="s">
        <v>156</v>
      </c>
      <c r="D268">
        <v>5</v>
      </c>
      <c r="E268">
        <v>28.551999999999996</v>
      </c>
      <c r="F268">
        <f t="shared" si="4"/>
        <v>142.76</v>
      </c>
    </row>
    <row r="269" spans="1:6" x14ac:dyDescent="0.2">
      <c r="A269">
        <v>824</v>
      </c>
      <c r="B269" t="s">
        <v>157</v>
      </c>
      <c r="C269" t="s">
        <v>158</v>
      </c>
      <c r="D269">
        <v>1</v>
      </c>
      <c r="E269">
        <v>29.456700000000001</v>
      </c>
      <c r="F269">
        <f t="shared" si="4"/>
        <v>29.456700000000001</v>
      </c>
    </row>
    <row r="270" spans="1:6" x14ac:dyDescent="0.2">
      <c r="A270">
        <v>824</v>
      </c>
      <c r="B270" t="s">
        <v>159</v>
      </c>
      <c r="C270" t="s">
        <v>117</v>
      </c>
      <c r="D270">
        <v>1</v>
      </c>
      <c r="E270">
        <v>11.976899999999999</v>
      </c>
      <c r="F270">
        <f t="shared" si="4"/>
        <v>11.976899999999999</v>
      </c>
    </row>
    <row r="271" spans="1:6" x14ac:dyDescent="0.2">
      <c r="A271">
        <v>824</v>
      </c>
      <c r="B271" t="s">
        <v>116</v>
      </c>
      <c r="C271" t="s">
        <v>117</v>
      </c>
      <c r="D271">
        <v>1</v>
      </c>
      <c r="E271">
        <v>0.25729999999999997</v>
      </c>
      <c r="F271">
        <f t="shared" si="4"/>
        <v>0.25729999999999997</v>
      </c>
    </row>
    <row r="272" spans="1:6" x14ac:dyDescent="0.2">
      <c r="A272">
        <v>824</v>
      </c>
      <c r="B272" t="s">
        <v>160</v>
      </c>
      <c r="C272" t="s">
        <v>161</v>
      </c>
      <c r="D272">
        <v>5</v>
      </c>
      <c r="E272">
        <v>15.9194</v>
      </c>
      <c r="F272">
        <f t="shared" si="4"/>
        <v>79.596999999999994</v>
      </c>
    </row>
    <row r="273" spans="1:6" x14ac:dyDescent="0.2">
      <c r="A273">
        <v>824</v>
      </c>
      <c r="B273" t="s">
        <v>162</v>
      </c>
      <c r="C273" t="s">
        <v>163</v>
      </c>
      <c r="D273">
        <v>5</v>
      </c>
      <c r="E273">
        <v>62.822699999999998</v>
      </c>
      <c r="F273">
        <f t="shared" si="4"/>
        <v>314.11349999999999</v>
      </c>
    </row>
    <row r="274" spans="1:6" x14ac:dyDescent="0.2">
      <c r="A274">
        <v>824</v>
      </c>
      <c r="B274" t="s">
        <v>164</v>
      </c>
      <c r="C274" t="s">
        <v>165</v>
      </c>
      <c r="D274">
        <v>1</v>
      </c>
      <c r="E274">
        <v>29.381999999999998</v>
      </c>
      <c r="F274">
        <f t="shared" si="4"/>
        <v>29.381999999999998</v>
      </c>
    </row>
    <row r="275" spans="1:6" x14ac:dyDescent="0.2">
      <c r="A275">
        <v>824</v>
      </c>
      <c r="B275" t="s">
        <v>166</v>
      </c>
      <c r="C275" t="s">
        <v>76</v>
      </c>
      <c r="D275">
        <v>1</v>
      </c>
      <c r="E275">
        <v>0.97109999999999985</v>
      </c>
      <c r="F275">
        <f t="shared" si="4"/>
        <v>0.97109999999999985</v>
      </c>
    </row>
    <row r="276" spans="1:6" x14ac:dyDescent="0.2">
      <c r="A276">
        <v>824</v>
      </c>
      <c r="B276" t="s">
        <v>167</v>
      </c>
      <c r="C276" t="s">
        <v>168</v>
      </c>
      <c r="D276">
        <v>4</v>
      </c>
      <c r="E276">
        <v>68.201099999999997</v>
      </c>
      <c r="F276">
        <f t="shared" si="4"/>
        <v>272.80439999999999</v>
      </c>
    </row>
    <row r="277" spans="1:6" x14ac:dyDescent="0.2">
      <c r="A277">
        <v>824</v>
      </c>
      <c r="B277" t="s">
        <v>169</v>
      </c>
      <c r="C277" t="s">
        <v>119</v>
      </c>
      <c r="D277">
        <v>3</v>
      </c>
      <c r="E277">
        <v>26.078600000000002</v>
      </c>
      <c r="F277">
        <f t="shared" si="4"/>
        <v>78.235800000000012</v>
      </c>
    </row>
    <row r="278" spans="1:6" x14ac:dyDescent="0.2">
      <c r="A278">
        <v>824</v>
      </c>
      <c r="B278" t="s">
        <v>170</v>
      </c>
      <c r="C278" t="s">
        <v>171</v>
      </c>
      <c r="D278">
        <v>1</v>
      </c>
      <c r="E278">
        <v>15.438000000000001</v>
      </c>
      <c r="F278">
        <f t="shared" si="4"/>
        <v>15.438000000000001</v>
      </c>
    </row>
    <row r="279" spans="1:6" x14ac:dyDescent="0.2">
      <c r="A279">
        <v>824</v>
      </c>
      <c r="B279" t="s">
        <v>172</v>
      </c>
      <c r="C279" t="s">
        <v>173</v>
      </c>
      <c r="D279">
        <v>3</v>
      </c>
      <c r="E279">
        <v>158.41380000000001</v>
      </c>
      <c r="F279">
        <f t="shared" si="4"/>
        <v>475.2414</v>
      </c>
    </row>
    <row r="280" spans="1:6" x14ac:dyDescent="0.2">
      <c r="A280">
        <v>824</v>
      </c>
      <c r="B280" t="s">
        <v>174</v>
      </c>
      <c r="C280" t="s">
        <v>119</v>
      </c>
      <c r="D280">
        <v>2</v>
      </c>
      <c r="E280">
        <v>1.2616000000000001</v>
      </c>
      <c r="F280">
        <f t="shared" si="4"/>
        <v>2.5232000000000001</v>
      </c>
    </row>
    <row r="281" spans="1:6" x14ac:dyDescent="0.2">
      <c r="A281">
        <v>824</v>
      </c>
      <c r="B281" t="s">
        <v>175</v>
      </c>
      <c r="C281" t="s">
        <v>176</v>
      </c>
      <c r="D281">
        <v>4</v>
      </c>
      <c r="E281">
        <v>194.7595</v>
      </c>
      <c r="F281">
        <f t="shared" si="4"/>
        <v>779.03800000000001</v>
      </c>
    </row>
    <row r="282" spans="1:6" x14ac:dyDescent="0.2">
      <c r="A282">
        <v>824</v>
      </c>
      <c r="B282" t="s">
        <v>177</v>
      </c>
      <c r="C282" t="s">
        <v>178</v>
      </c>
      <c r="D282">
        <v>1</v>
      </c>
      <c r="E282">
        <v>1660.6244256000002</v>
      </c>
      <c r="F282">
        <f t="shared" si="4"/>
        <v>1660.6244256000002</v>
      </c>
    </row>
    <row r="283" spans="1:6" x14ac:dyDescent="0.2">
      <c r="A283">
        <v>824</v>
      </c>
      <c r="B283" t="s">
        <v>179</v>
      </c>
      <c r="C283" t="s">
        <v>119</v>
      </c>
      <c r="D283">
        <v>118</v>
      </c>
      <c r="E283">
        <v>32.444700000000005</v>
      </c>
      <c r="F283">
        <f t="shared" si="4"/>
        <v>3828.4746000000005</v>
      </c>
    </row>
    <row r="284" spans="1:6" x14ac:dyDescent="0.2">
      <c r="A284">
        <v>824</v>
      </c>
      <c r="B284" t="s">
        <v>180</v>
      </c>
      <c r="C284" t="s">
        <v>181</v>
      </c>
      <c r="D284">
        <v>1</v>
      </c>
      <c r="E284">
        <v>64.117499999999993</v>
      </c>
      <c r="F284">
        <f t="shared" si="4"/>
        <v>64.117499999999993</v>
      </c>
    </row>
    <row r="285" spans="1:6" x14ac:dyDescent="0.2">
      <c r="A285">
        <v>824</v>
      </c>
      <c r="B285" t="s">
        <v>182</v>
      </c>
      <c r="C285" t="s">
        <v>158</v>
      </c>
      <c r="D285">
        <v>1</v>
      </c>
      <c r="E285">
        <v>80.788189439999996</v>
      </c>
      <c r="F285">
        <f t="shared" si="4"/>
        <v>80.788189439999996</v>
      </c>
    </row>
    <row r="286" spans="1:6" x14ac:dyDescent="0.2">
      <c r="A286">
        <v>824</v>
      </c>
      <c r="B286" t="s">
        <v>183</v>
      </c>
      <c r="C286" t="s">
        <v>184</v>
      </c>
      <c r="D286">
        <v>3</v>
      </c>
      <c r="E286">
        <v>548.61538461538476</v>
      </c>
      <c r="F286">
        <f t="shared" si="4"/>
        <v>1645.8461538461543</v>
      </c>
    </row>
    <row r="287" spans="1:6" x14ac:dyDescent="0.2">
      <c r="A287">
        <v>824</v>
      </c>
      <c r="B287" t="s">
        <v>185</v>
      </c>
      <c r="C287" t="s">
        <v>186</v>
      </c>
      <c r="D287">
        <v>1</v>
      </c>
      <c r="E287">
        <v>278.05</v>
      </c>
      <c r="F287">
        <f t="shared" si="4"/>
        <v>278.05</v>
      </c>
    </row>
    <row r="288" spans="1:6" x14ac:dyDescent="0.2">
      <c r="A288">
        <v>824</v>
      </c>
      <c r="B288" t="s">
        <v>187</v>
      </c>
      <c r="C288" t="s">
        <v>188</v>
      </c>
      <c r="D288">
        <v>2</v>
      </c>
      <c r="E288">
        <v>105.03649999999999</v>
      </c>
      <c r="F288">
        <f t="shared" si="4"/>
        <v>210.07299999999998</v>
      </c>
    </row>
    <row r="289" spans="1:6" x14ac:dyDescent="0.2">
      <c r="A289">
        <v>824</v>
      </c>
      <c r="B289" t="s">
        <v>189</v>
      </c>
      <c r="C289" t="s">
        <v>163</v>
      </c>
      <c r="D289">
        <v>3</v>
      </c>
      <c r="E289">
        <v>154.25968320000001</v>
      </c>
      <c r="F289">
        <f t="shared" si="4"/>
        <v>462.77904960000001</v>
      </c>
    </row>
    <row r="290" spans="1:6" x14ac:dyDescent="0.2">
      <c r="A290">
        <v>824</v>
      </c>
      <c r="B290" t="s">
        <v>190</v>
      </c>
      <c r="C290" t="s">
        <v>191</v>
      </c>
      <c r="D290">
        <v>6</v>
      </c>
      <c r="E290">
        <v>1397.886</v>
      </c>
      <c r="F290">
        <f t="shared" si="4"/>
        <v>8387.3159999999989</v>
      </c>
    </row>
    <row r="291" spans="1:6" x14ac:dyDescent="0.2">
      <c r="A291">
        <v>824</v>
      </c>
      <c r="B291" t="s">
        <v>192</v>
      </c>
      <c r="C291" t="s">
        <v>193</v>
      </c>
      <c r="D291">
        <v>6</v>
      </c>
      <c r="E291">
        <v>843.03639167999984</v>
      </c>
      <c r="F291">
        <f t="shared" si="4"/>
        <v>5058.2183500799993</v>
      </c>
    </row>
    <row r="292" spans="1:6" x14ac:dyDescent="0.2">
      <c r="A292">
        <v>824</v>
      </c>
      <c r="B292" t="s">
        <v>194</v>
      </c>
      <c r="C292" t="s">
        <v>193</v>
      </c>
      <c r="D292">
        <v>1</v>
      </c>
      <c r="E292">
        <v>868.20489999999995</v>
      </c>
      <c r="F292">
        <f t="shared" si="4"/>
        <v>868.20489999999995</v>
      </c>
    </row>
    <row r="293" spans="1:6" x14ac:dyDescent="0.2">
      <c r="A293">
        <v>824</v>
      </c>
      <c r="B293" t="s">
        <v>195</v>
      </c>
      <c r="C293" t="s">
        <v>117</v>
      </c>
      <c r="D293">
        <v>3</v>
      </c>
      <c r="E293">
        <v>1.0374999999999999</v>
      </c>
      <c r="F293">
        <f t="shared" si="4"/>
        <v>3.1124999999999998</v>
      </c>
    </row>
    <row r="294" spans="1:6" x14ac:dyDescent="0.2">
      <c r="A294">
        <v>824</v>
      </c>
      <c r="B294" t="s">
        <v>135</v>
      </c>
      <c r="C294" t="s">
        <v>136</v>
      </c>
      <c r="D294">
        <v>1</v>
      </c>
      <c r="E294">
        <v>395.04690624</v>
      </c>
      <c r="F294">
        <f t="shared" si="4"/>
        <v>395.04690624</v>
      </c>
    </row>
    <row r="295" spans="1:6" x14ac:dyDescent="0.2">
      <c r="A295">
        <v>824</v>
      </c>
      <c r="B295" t="s">
        <v>137</v>
      </c>
      <c r="C295" t="s">
        <v>138</v>
      </c>
      <c r="D295">
        <v>1</v>
      </c>
      <c r="E295">
        <v>252.98431871999998</v>
      </c>
      <c r="F295">
        <f t="shared" si="4"/>
        <v>252.98431871999998</v>
      </c>
    </row>
    <row r="296" spans="1:6" x14ac:dyDescent="0.2">
      <c r="A296">
        <v>824</v>
      </c>
      <c r="B296" t="s">
        <v>139</v>
      </c>
      <c r="C296" t="s">
        <v>140</v>
      </c>
      <c r="D296">
        <v>3</v>
      </c>
      <c r="E296">
        <v>2054.4575</v>
      </c>
      <c r="F296">
        <f t="shared" si="4"/>
        <v>6163.3724999999995</v>
      </c>
    </row>
    <row r="297" spans="1:6" x14ac:dyDescent="0.2">
      <c r="A297">
        <v>824</v>
      </c>
      <c r="B297" t="s">
        <v>116</v>
      </c>
      <c r="C297" t="s">
        <v>117</v>
      </c>
      <c r="D297">
        <v>2</v>
      </c>
      <c r="E297">
        <v>0.25729999999999997</v>
      </c>
      <c r="F297">
        <f t="shared" si="4"/>
        <v>0.51459999999999995</v>
      </c>
    </row>
    <row r="298" spans="1:6" x14ac:dyDescent="0.2">
      <c r="A298">
        <v>824</v>
      </c>
      <c r="B298" t="s">
        <v>118</v>
      </c>
      <c r="C298" t="s">
        <v>119</v>
      </c>
      <c r="D298">
        <v>1</v>
      </c>
      <c r="E298">
        <v>0.83</v>
      </c>
      <c r="F298">
        <f t="shared" si="4"/>
        <v>0.83</v>
      </c>
    </row>
    <row r="299" spans="1:6" x14ac:dyDescent="0.2">
      <c r="A299">
        <v>824</v>
      </c>
      <c r="B299" t="s">
        <v>120</v>
      </c>
      <c r="C299" t="s">
        <v>117</v>
      </c>
      <c r="D299">
        <v>5</v>
      </c>
      <c r="E299">
        <v>1.5603999999999998</v>
      </c>
      <c r="F299">
        <f t="shared" si="4"/>
        <v>7.8019999999999987</v>
      </c>
    </row>
    <row r="300" spans="1:6" x14ac:dyDescent="0.2">
      <c r="A300">
        <v>824</v>
      </c>
      <c r="B300" t="s">
        <v>121</v>
      </c>
      <c r="C300" t="s">
        <v>117</v>
      </c>
      <c r="D300">
        <v>1</v>
      </c>
      <c r="E300">
        <v>270.83729999999997</v>
      </c>
      <c r="F300">
        <f t="shared" si="4"/>
        <v>270.83729999999997</v>
      </c>
    </row>
    <row r="301" spans="1:6" x14ac:dyDescent="0.2">
      <c r="A301">
        <v>824</v>
      </c>
      <c r="B301" t="s">
        <v>122</v>
      </c>
      <c r="C301" t="s">
        <v>76</v>
      </c>
      <c r="D301">
        <v>1</v>
      </c>
      <c r="E301">
        <v>14.915099999999999</v>
      </c>
      <c r="F301">
        <f t="shared" si="4"/>
        <v>14.915099999999999</v>
      </c>
    </row>
    <row r="302" spans="1:6" x14ac:dyDescent="0.2">
      <c r="A302">
        <v>824</v>
      </c>
      <c r="B302" t="s">
        <v>123</v>
      </c>
      <c r="C302" t="s">
        <v>119</v>
      </c>
      <c r="D302">
        <v>1</v>
      </c>
      <c r="E302">
        <v>122.52459999999999</v>
      </c>
      <c r="F302">
        <f t="shared" si="4"/>
        <v>122.52459999999999</v>
      </c>
    </row>
    <row r="303" spans="1:6" x14ac:dyDescent="0.2">
      <c r="A303">
        <v>824</v>
      </c>
      <c r="B303" t="s">
        <v>124</v>
      </c>
      <c r="C303" t="s">
        <v>119</v>
      </c>
      <c r="D303">
        <v>5</v>
      </c>
      <c r="E303">
        <v>65.877099999999999</v>
      </c>
      <c r="F303">
        <f t="shared" si="4"/>
        <v>329.38549999999998</v>
      </c>
    </row>
    <row r="304" spans="1:6" x14ac:dyDescent="0.2">
      <c r="A304">
        <v>824</v>
      </c>
      <c r="B304" t="s">
        <v>125</v>
      </c>
      <c r="C304" t="s">
        <v>117</v>
      </c>
      <c r="D304">
        <v>5</v>
      </c>
      <c r="E304">
        <v>45.957099999999997</v>
      </c>
      <c r="F304">
        <f t="shared" si="4"/>
        <v>229.78549999999998</v>
      </c>
    </row>
    <row r="305" spans="1:6" x14ac:dyDescent="0.2">
      <c r="A305">
        <v>824</v>
      </c>
      <c r="B305" t="s">
        <v>126</v>
      </c>
      <c r="C305" t="s">
        <v>127</v>
      </c>
      <c r="D305">
        <v>1</v>
      </c>
      <c r="E305">
        <v>411.49739999999997</v>
      </c>
      <c r="F305">
        <f t="shared" si="4"/>
        <v>411.49739999999997</v>
      </c>
    </row>
    <row r="306" spans="1:6" x14ac:dyDescent="0.2">
      <c r="A306">
        <v>824</v>
      </c>
      <c r="B306" t="s">
        <v>129</v>
      </c>
      <c r="C306" t="s">
        <v>130</v>
      </c>
      <c r="D306">
        <v>1</v>
      </c>
      <c r="E306">
        <v>6724.2781999999997</v>
      </c>
      <c r="F306">
        <f t="shared" si="4"/>
        <v>6724.2781999999997</v>
      </c>
    </row>
    <row r="307" spans="1:6" x14ac:dyDescent="0.2">
      <c r="A307">
        <v>824</v>
      </c>
      <c r="B307" t="s">
        <v>132</v>
      </c>
      <c r="C307" t="s">
        <v>133</v>
      </c>
      <c r="D307">
        <v>4</v>
      </c>
      <c r="E307">
        <v>1168.0257999999999</v>
      </c>
      <c r="F307">
        <f t="shared" si="4"/>
        <v>4672.1031999999996</v>
      </c>
    </row>
    <row r="308" spans="1:6" x14ac:dyDescent="0.2">
      <c r="A308">
        <v>824</v>
      </c>
      <c r="B308" t="s">
        <v>110</v>
      </c>
      <c r="C308" t="s">
        <v>111</v>
      </c>
      <c r="D308">
        <v>3</v>
      </c>
      <c r="E308">
        <v>119.83539999999999</v>
      </c>
      <c r="F308">
        <f t="shared" si="4"/>
        <v>359.50619999999998</v>
      </c>
    </row>
    <row r="309" spans="1:6" x14ac:dyDescent="0.2">
      <c r="A309">
        <v>824</v>
      </c>
      <c r="B309" t="s">
        <v>112</v>
      </c>
      <c r="C309" t="s">
        <v>113</v>
      </c>
      <c r="D309">
        <v>1</v>
      </c>
      <c r="E309">
        <v>97.646153846153851</v>
      </c>
      <c r="F309">
        <f t="shared" si="4"/>
        <v>97.646153846153851</v>
      </c>
    </row>
    <row r="310" spans="1:6" x14ac:dyDescent="0.2">
      <c r="A310">
        <v>824</v>
      </c>
      <c r="B310" t="s">
        <v>110</v>
      </c>
      <c r="C310" t="s">
        <v>111</v>
      </c>
      <c r="D310">
        <v>3</v>
      </c>
      <c r="E310">
        <v>119.83539999999999</v>
      </c>
      <c r="F310">
        <f t="shared" si="4"/>
        <v>359.50619999999998</v>
      </c>
    </row>
    <row r="311" spans="1:6" x14ac:dyDescent="0.2">
      <c r="A311">
        <v>824</v>
      </c>
      <c r="B311" t="s">
        <v>112</v>
      </c>
      <c r="C311" t="s">
        <v>113</v>
      </c>
      <c r="D311">
        <v>2</v>
      </c>
      <c r="E311">
        <v>97.646153846153851</v>
      </c>
      <c r="F311">
        <f t="shared" si="4"/>
        <v>195.2923076923077</v>
      </c>
    </row>
    <row r="312" spans="1:6" x14ac:dyDescent="0.2">
      <c r="A312">
        <v>824</v>
      </c>
      <c r="B312" t="s">
        <v>97</v>
      </c>
      <c r="C312" t="s">
        <v>98</v>
      </c>
      <c r="D312">
        <v>4</v>
      </c>
      <c r="E312">
        <v>189.87909999999999</v>
      </c>
      <c r="F312">
        <f t="shared" si="4"/>
        <v>759.51639999999998</v>
      </c>
    </row>
    <row r="313" spans="1:6" x14ac:dyDescent="0.2">
      <c r="A313">
        <v>824</v>
      </c>
      <c r="B313" t="s">
        <v>99</v>
      </c>
      <c r="C313" t="s">
        <v>100</v>
      </c>
      <c r="D313">
        <v>1</v>
      </c>
      <c r="E313">
        <v>1287.1384615384613</v>
      </c>
      <c r="F313">
        <f t="shared" si="4"/>
        <v>1287.1384615384613</v>
      </c>
    </row>
    <row r="314" spans="1:6" x14ac:dyDescent="0.2">
      <c r="A314">
        <v>824</v>
      </c>
      <c r="B314" t="s">
        <v>101</v>
      </c>
      <c r="C314" t="s">
        <v>102</v>
      </c>
      <c r="D314">
        <v>118</v>
      </c>
      <c r="E314">
        <v>1363.0371551999999</v>
      </c>
      <c r="F314">
        <f t="shared" si="4"/>
        <v>160838.38431359999</v>
      </c>
    </row>
    <row r="315" spans="1:6" x14ac:dyDescent="0.2">
      <c r="A315">
        <v>824</v>
      </c>
      <c r="B315" t="s">
        <v>103</v>
      </c>
      <c r="C315" t="s">
        <v>104</v>
      </c>
      <c r="D315">
        <v>1</v>
      </c>
      <c r="E315">
        <v>423.58219999999994</v>
      </c>
      <c r="F315">
        <f t="shared" si="4"/>
        <v>423.58219999999994</v>
      </c>
    </row>
    <row r="316" spans="1:6" x14ac:dyDescent="0.2">
      <c r="A316">
        <v>824</v>
      </c>
      <c r="B316" t="s">
        <v>105</v>
      </c>
      <c r="C316" t="s">
        <v>106</v>
      </c>
      <c r="D316">
        <v>1</v>
      </c>
      <c r="E316">
        <v>36.470199999999998</v>
      </c>
      <c r="F316">
        <f t="shared" si="4"/>
        <v>36.470199999999998</v>
      </c>
    </row>
    <row r="317" spans="1:6" x14ac:dyDescent="0.2">
      <c r="A317">
        <v>824</v>
      </c>
      <c r="B317" t="s">
        <v>107</v>
      </c>
      <c r="C317" t="s">
        <v>108</v>
      </c>
      <c r="D317">
        <v>3</v>
      </c>
      <c r="E317">
        <v>61.492307692307698</v>
      </c>
      <c r="F317">
        <f t="shared" si="4"/>
        <v>184.4769230769231</v>
      </c>
    </row>
    <row r="318" spans="1:6" x14ac:dyDescent="0.2">
      <c r="A318">
        <v>824</v>
      </c>
      <c r="B318" t="s">
        <v>62</v>
      </c>
      <c r="C318" t="s">
        <v>323</v>
      </c>
      <c r="D318">
        <v>1</v>
      </c>
      <c r="E318">
        <v>0.34859999999999997</v>
      </c>
      <c r="F318">
        <f t="shared" si="4"/>
        <v>0.34859999999999997</v>
      </c>
    </row>
    <row r="319" spans="1:6" x14ac:dyDescent="0.2">
      <c r="A319">
        <v>824</v>
      </c>
      <c r="B319" t="s">
        <v>324</v>
      </c>
      <c r="C319" t="s">
        <v>273</v>
      </c>
      <c r="D319">
        <v>2</v>
      </c>
      <c r="E319">
        <v>0.9544999999999999</v>
      </c>
      <c r="F319">
        <f t="shared" si="4"/>
        <v>1.9089999999999998</v>
      </c>
    </row>
    <row r="320" spans="1:6" x14ac:dyDescent="0.2">
      <c r="A320">
        <v>824</v>
      </c>
      <c r="B320" t="s">
        <v>325</v>
      </c>
      <c r="C320" t="s">
        <v>273</v>
      </c>
      <c r="D320">
        <v>3</v>
      </c>
      <c r="E320">
        <v>3.3692307692307697</v>
      </c>
      <c r="F320">
        <f t="shared" si="4"/>
        <v>10.107692307692309</v>
      </c>
    </row>
    <row r="321" spans="1:6" x14ac:dyDescent="0.2">
      <c r="A321">
        <v>824</v>
      </c>
      <c r="B321" t="s">
        <v>154</v>
      </c>
      <c r="C321" t="s">
        <v>278</v>
      </c>
      <c r="D321">
        <v>6</v>
      </c>
      <c r="E321">
        <v>4.3657999999999992</v>
      </c>
      <c r="F321">
        <f t="shared" si="4"/>
        <v>26.194799999999994</v>
      </c>
    </row>
    <row r="322" spans="1:6" x14ac:dyDescent="0.2">
      <c r="A322">
        <v>824</v>
      </c>
      <c r="B322" t="s">
        <v>290</v>
      </c>
      <c r="C322" t="s">
        <v>278</v>
      </c>
      <c r="D322">
        <v>6</v>
      </c>
      <c r="E322">
        <v>43.751809919999999</v>
      </c>
      <c r="F322">
        <f t="shared" si="4"/>
        <v>262.51085952</v>
      </c>
    </row>
    <row r="323" spans="1:6" x14ac:dyDescent="0.2">
      <c r="A323">
        <v>824</v>
      </c>
      <c r="B323" t="s">
        <v>288</v>
      </c>
      <c r="C323" t="s">
        <v>289</v>
      </c>
      <c r="D323">
        <v>1</v>
      </c>
      <c r="E323">
        <v>7.3401215999999998</v>
      </c>
      <c r="F323">
        <f t="shared" ref="F323:F386" si="5">D323*E323</f>
        <v>7.3401215999999998</v>
      </c>
    </row>
    <row r="324" spans="1:6" x14ac:dyDescent="0.2">
      <c r="A324">
        <v>824</v>
      </c>
      <c r="B324" t="s">
        <v>287</v>
      </c>
      <c r="C324" t="s">
        <v>273</v>
      </c>
      <c r="D324">
        <v>3</v>
      </c>
      <c r="E324">
        <v>100.66898687999999</v>
      </c>
      <c r="F324">
        <f t="shared" si="5"/>
        <v>302.00696063999999</v>
      </c>
    </row>
    <row r="325" spans="1:6" x14ac:dyDescent="0.2">
      <c r="A325">
        <v>824</v>
      </c>
      <c r="B325" t="s">
        <v>285</v>
      </c>
      <c r="C325" t="s">
        <v>286</v>
      </c>
      <c r="D325">
        <v>1</v>
      </c>
      <c r="E325">
        <v>58.189985279999981</v>
      </c>
      <c r="F325">
        <f t="shared" si="5"/>
        <v>58.189985279999981</v>
      </c>
    </row>
    <row r="326" spans="1:6" x14ac:dyDescent="0.2">
      <c r="A326">
        <v>824</v>
      </c>
      <c r="B326" t="s">
        <v>291</v>
      </c>
      <c r="C326" t="s">
        <v>278</v>
      </c>
      <c r="D326">
        <v>1</v>
      </c>
      <c r="E326">
        <v>24.136399999999998</v>
      </c>
      <c r="F326">
        <f t="shared" si="5"/>
        <v>24.136399999999998</v>
      </c>
    </row>
    <row r="327" spans="1:6" x14ac:dyDescent="0.2">
      <c r="A327">
        <v>824</v>
      </c>
      <c r="B327" t="s">
        <v>277</v>
      </c>
      <c r="C327" t="s">
        <v>278</v>
      </c>
      <c r="D327">
        <v>3</v>
      </c>
      <c r="E327">
        <v>41.026594559999999</v>
      </c>
      <c r="F327">
        <f t="shared" si="5"/>
        <v>123.07978367999999</v>
      </c>
    </row>
    <row r="328" spans="1:6" x14ac:dyDescent="0.2">
      <c r="A328">
        <v>824</v>
      </c>
      <c r="B328" t="s">
        <v>326</v>
      </c>
      <c r="C328" t="s">
        <v>278</v>
      </c>
      <c r="D328">
        <v>2</v>
      </c>
      <c r="E328">
        <v>3.97459776</v>
      </c>
      <c r="F328">
        <f t="shared" si="5"/>
        <v>7.94919552</v>
      </c>
    </row>
    <row r="329" spans="1:6" x14ac:dyDescent="0.2">
      <c r="A329">
        <v>824</v>
      </c>
      <c r="B329" t="s">
        <v>274</v>
      </c>
      <c r="C329" t="s">
        <v>273</v>
      </c>
      <c r="D329">
        <v>1</v>
      </c>
      <c r="E329">
        <v>149.23091903999997</v>
      </c>
      <c r="F329">
        <f t="shared" si="5"/>
        <v>149.23091903999997</v>
      </c>
    </row>
    <row r="330" spans="1:6" x14ac:dyDescent="0.2">
      <c r="A330">
        <v>824</v>
      </c>
      <c r="B330" t="s">
        <v>327</v>
      </c>
      <c r="C330" t="s">
        <v>309</v>
      </c>
      <c r="D330">
        <v>5</v>
      </c>
      <c r="E330">
        <v>1532.5236863999999</v>
      </c>
      <c r="F330">
        <f t="shared" si="5"/>
        <v>7662.6184319999993</v>
      </c>
    </row>
    <row r="331" spans="1:6" x14ac:dyDescent="0.2">
      <c r="A331">
        <v>824</v>
      </c>
      <c r="B331" t="s">
        <v>328</v>
      </c>
      <c r="C331" t="s">
        <v>329</v>
      </c>
      <c r="D331">
        <v>1</v>
      </c>
      <c r="E331">
        <v>155.62307692307695</v>
      </c>
      <c r="F331">
        <f t="shared" si="5"/>
        <v>155.62307692307695</v>
      </c>
    </row>
    <row r="332" spans="1:6" x14ac:dyDescent="0.2">
      <c r="A332">
        <v>824</v>
      </c>
      <c r="B332" t="s">
        <v>330</v>
      </c>
      <c r="C332" t="s">
        <v>331</v>
      </c>
      <c r="D332">
        <v>1</v>
      </c>
      <c r="E332">
        <v>710.44615384615395</v>
      </c>
      <c r="F332">
        <f t="shared" si="5"/>
        <v>710.44615384615395</v>
      </c>
    </row>
    <row r="333" spans="1:6" x14ac:dyDescent="0.2">
      <c r="A333">
        <v>824</v>
      </c>
      <c r="B333" t="s">
        <v>332</v>
      </c>
      <c r="C333" t="s">
        <v>333</v>
      </c>
      <c r="D333">
        <v>1</v>
      </c>
      <c r="E333">
        <v>167.55384615384617</v>
      </c>
      <c r="F333">
        <f t="shared" si="5"/>
        <v>167.55384615384617</v>
      </c>
    </row>
    <row r="334" spans="1:6" x14ac:dyDescent="0.2">
      <c r="A334">
        <v>824</v>
      </c>
      <c r="B334" t="s">
        <v>272</v>
      </c>
      <c r="C334" t="s">
        <v>273</v>
      </c>
      <c r="D334">
        <v>5</v>
      </c>
      <c r="E334">
        <v>170.11122239999997</v>
      </c>
      <c r="F334">
        <f t="shared" si="5"/>
        <v>850.55611199999987</v>
      </c>
    </row>
    <row r="335" spans="1:6" x14ac:dyDescent="0.2">
      <c r="A335">
        <v>824</v>
      </c>
      <c r="B335" t="s">
        <v>275</v>
      </c>
      <c r="C335" t="s">
        <v>276</v>
      </c>
      <c r="D335">
        <v>5</v>
      </c>
      <c r="E335">
        <v>9.0814483199999998</v>
      </c>
      <c r="F335">
        <f t="shared" si="5"/>
        <v>45.407241599999999</v>
      </c>
    </row>
    <row r="336" spans="1:6" x14ac:dyDescent="0.2">
      <c r="A336">
        <v>824</v>
      </c>
      <c r="B336" t="s">
        <v>334</v>
      </c>
      <c r="C336" t="s">
        <v>329</v>
      </c>
      <c r="D336">
        <v>1</v>
      </c>
      <c r="E336">
        <v>149.03076923076924</v>
      </c>
      <c r="F336">
        <f t="shared" si="5"/>
        <v>149.03076923076924</v>
      </c>
    </row>
    <row r="337" spans="1:6" x14ac:dyDescent="0.2">
      <c r="A337">
        <v>824</v>
      </c>
      <c r="B337" t="s">
        <v>335</v>
      </c>
      <c r="C337" t="s">
        <v>331</v>
      </c>
      <c r="D337">
        <v>1</v>
      </c>
      <c r="E337">
        <v>703.1</v>
      </c>
      <c r="F337">
        <f t="shared" si="5"/>
        <v>703.1</v>
      </c>
    </row>
    <row r="338" spans="1:6" x14ac:dyDescent="0.2">
      <c r="A338">
        <v>824</v>
      </c>
      <c r="B338" t="s">
        <v>336</v>
      </c>
      <c r="C338" t="s">
        <v>333</v>
      </c>
      <c r="D338">
        <v>4</v>
      </c>
      <c r="E338">
        <v>288.42307692307691</v>
      </c>
      <c r="F338">
        <f t="shared" si="5"/>
        <v>1153.6923076923076</v>
      </c>
    </row>
    <row r="339" spans="1:6" x14ac:dyDescent="0.2">
      <c r="A339">
        <v>824</v>
      </c>
      <c r="B339" t="s">
        <v>337</v>
      </c>
      <c r="C339" t="s">
        <v>297</v>
      </c>
      <c r="D339">
        <v>3</v>
      </c>
      <c r="E339">
        <v>11.761099999999999</v>
      </c>
      <c r="F339">
        <f t="shared" si="5"/>
        <v>35.283299999999997</v>
      </c>
    </row>
    <row r="340" spans="1:6" x14ac:dyDescent="0.2">
      <c r="A340">
        <v>824</v>
      </c>
      <c r="B340" t="s">
        <v>338</v>
      </c>
      <c r="C340" t="s">
        <v>297</v>
      </c>
      <c r="D340">
        <v>1</v>
      </c>
      <c r="E340">
        <v>11.712959999999999</v>
      </c>
      <c r="F340">
        <f t="shared" si="5"/>
        <v>11.712959999999999</v>
      </c>
    </row>
    <row r="341" spans="1:6" x14ac:dyDescent="0.2">
      <c r="A341">
        <v>824</v>
      </c>
      <c r="B341" t="s">
        <v>339</v>
      </c>
      <c r="C341" t="s">
        <v>297</v>
      </c>
      <c r="D341">
        <v>3</v>
      </c>
      <c r="E341">
        <v>20.279038079999996</v>
      </c>
      <c r="F341">
        <f t="shared" si="5"/>
        <v>60.837114239999991</v>
      </c>
    </row>
    <row r="342" spans="1:6" x14ac:dyDescent="0.2">
      <c r="A342">
        <v>824</v>
      </c>
      <c r="B342" t="s">
        <v>340</v>
      </c>
      <c r="C342" t="s">
        <v>309</v>
      </c>
      <c r="D342">
        <v>2</v>
      </c>
      <c r="E342">
        <v>1536.3343027199999</v>
      </c>
      <c r="F342">
        <f t="shared" si="5"/>
        <v>3072.6686054399997</v>
      </c>
    </row>
    <row r="343" spans="1:6" x14ac:dyDescent="0.2">
      <c r="A343">
        <v>824</v>
      </c>
      <c r="B343" t="s">
        <v>341</v>
      </c>
      <c r="C343" t="s">
        <v>342</v>
      </c>
      <c r="D343">
        <v>4</v>
      </c>
      <c r="E343">
        <v>307.22449999999998</v>
      </c>
      <c r="F343">
        <f t="shared" si="5"/>
        <v>1228.8979999999999</v>
      </c>
    </row>
    <row r="344" spans="1:6" x14ac:dyDescent="0.2">
      <c r="A344">
        <v>824</v>
      </c>
      <c r="B344" t="s">
        <v>284</v>
      </c>
      <c r="C344" t="s">
        <v>273</v>
      </c>
      <c r="D344">
        <v>1</v>
      </c>
      <c r="E344">
        <v>15.547002240000001</v>
      </c>
      <c r="F344">
        <f t="shared" si="5"/>
        <v>15.547002240000001</v>
      </c>
    </row>
    <row r="345" spans="1:6" x14ac:dyDescent="0.2">
      <c r="A345">
        <v>824</v>
      </c>
      <c r="B345" t="s">
        <v>283</v>
      </c>
      <c r="C345" t="s">
        <v>278</v>
      </c>
      <c r="D345">
        <v>118</v>
      </c>
      <c r="E345">
        <v>101.76219647999997</v>
      </c>
      <c r="F345">
        <f t="shared" si="5"/>
        <v>12007.939184639996</v>
      </c>
    </row>
    <row r="346" spans="1:6" x14ac:dyDescent="0.2">
      <c r="A346">
        <v>824</v>
      </c>
      <c r="B346" t="s">
        <v>281</v>
      </c>
      <c r="C346" t="s">
        <v>282</v>
      </c>
      <c r="D346">
        <v>1</v>
      </c>
      <c r="E346">
        <v>43.369186559999996</v>
      </c>
      <c r="F346">
        <f t="shared" si="5"/>
        <v>43.369186559999996</v>
      </c>
    </row>
    <row r="347" spans="1:6" x14ac:dyDescent="0.2">
      <c r="A347">
        <v>824</v>
      </c>
      <c r="B347" t="s">
        <v>279</v>
      </c>
      <c r="C347" t="s">
        <v>280</v>
      </c>
      <c r="D347">
        <v>1</v>
      </c>
      <c r="E347">
        <v>36.786503039999999</v>
      </c>
      <c r="F347">
        <f t="shared" si="5"/>
        <v>36.786503039999999</v>
      </c>
    </row>
    <row r="348" spans="1:6" x14ac:dyDescent="0.2">
      <c r="A348">
        <v>824</v>
      </c>
      <c r="B348" t="s">
        <v>343</v>
      </c>
      <c r="C348" t="s">
        <v>282</v>
      </c>
      <c r="D348">
        <v>3</v>
      </c>
      <c r="E348">
        <v>16.807499999999997</v>
      </c>
      <c r="F348">
        <f t="shared" si="5"/>
        <v>50.422499999999992</v>
      </c>
    </row>
    <row r="349" spans="1:6" x14ac:dyDescent="0.2">
      <c r="A349">
        <v>824</v>
      </c>
      <c r="B349" t="s">
        <v>344</v>
      </c>
      <c r="C349" t="s">
        <v>282</v>
      </c>
      <c r="D349">
        <v>1</v>
      </c>
      <c r="E349">
        <v>12.767126399999999</v>
      </c>
      <c r="F349">
        <f t="shared" si="5"/>
        <v>12.767126399999999</v>
      </c>
    </row>
    <row r="350" spans="1:6" x14ac:dyDescent="0.2">
      <c r="A350">
        <v>824</v>
      </c>
      <c r="B350" t="s">
        <v>270</v>
      </c>
      <c r="C350" t="s">
        <v>271</v>
      </c>
      <c r="D350">
        <v>2</v>
      </c>
      <c r="E350">
        <v>3027.0973823999993</v>
      </c>
      <c r="F350">
        <f t="shared" si="5"/>
        <v>6054.1947647999987</v>
      </c>
    </row>
    <row r="351" spans="1:6" x14ac:dyDescent="0.2">
      <c r="A351">
        <v>824</v>
      </c>
      <c r="B351" t="s">
        <v>272</v>
      </c>
      <c r="C351" t="s">
        <v>273</v>
      </c>
      <c r="D351">
        <v>3</v>
      </c>
      <c r="E351">
        <v>170.11122239999997</v>
      </c>
      <c r="F351">
        <f t="shared" si="5"/>
        <v>510.33366719999992</v>
      </c>
    </row>
    <row r="352" spans="1:6" x14ac:dyDescent="0.2">
      <c r="A352">
        <v>824</v>
      </c>
      <c r="B352" t="s">
        <v>274</v>
      </c>
      <c r="C352" t="s">
        <v>273</v>
      </c>
      <c r="D352">
        <v>6</v>
      </c>
      <c r="E352">
        <v>149.23091903999997</v>
      </c>
      <c r="F352">
        <f t="shared" si="5"/>
        <v>895.38551423999979</v>
      </c>
    </row>
    <row r="353" spans="1:6" x14ac:dyDescent="0.2">
      <c r="A353">
        <v>824</v>
      </c>
      <c r="B353" t="s">
        <v>275</v>
      </c>
      <c r="C353" t="s">
        <v>276</v>
      </c>
      <c r="D353">
        <v>6</v>
      </c>
      <c r="E353">
        <v>9.0814483199999998</v>
      </c>
      <c r="F353">
        <f t="shared" si="5"/>
        <v>54.488689919999999</v>
      </c>
    </row>
    <row r="354" spans="1:6" x14ac:dyDescent="0.2">
      <c r="A354">
        <v>824</v>
      </c>
      <c r="B354" t="s">
        <v>277</v>
      </c>
      <c r="C354" t="s">
        <v>278</v>
      </c>
      <c r="D354">
        <v>1</v>
      </c>
      <c r="E354">
        <v>41.026594559999999</v>
      </c>
      <c r="F354">
        <f t="shared" si="5"/>
        <v>41.026594559999999</v>
      </c>
    </row>
    <row r="355" spans="1:6" x14ac:dyDescent="0.2">
      <c r="A355">
        <v>824</v>
      </c>
      <c r="B355" t="s">
        <v>279</v>
      </c>
      <c r="C355" t="s">
        <v>280</v>
      </c>
      <c r="D355">
        <v>3</v>
      </c>
      <c r="E355">
        <v>36.786503039999999</v>
      </c>
      <c r="F355">
        <f t="shared" si="5"/>
        <v>110.35950912</v>
      </c>
    </row>
    <row r="356" spans="1:6" x14ac:dyDescent="0.2">
      <c r="A356">
        <v>824</v>
      </c>
      <c r="B356" t="s">
        <v>281</v>
      </c>
      <c r="C356" t="s">
        <v>282</v>
      </c>
      <c r="D356">
        <v>1</v>
      </c>
      <c r="E356">
        <v>43.369186559999996</v>
      </c>
      <c r="F356">
        <f t="shared" si="5"/>
        <v>43.369186559999996</v>
      </c>
    </row>
    <row r="357" spans="1:6" x14ac:dyDescent="0.2">
      <c r="A357">
        <v>824</v>
      </c>
      <c r="B357" t="s">
        <v>283</v>
      </c>
      <c r="C357" t="s">
        <v>278</v>
      </c>
      <c r="D357">
        <v>1</v>
      </c>
      <c r="E357">
        <v>101.76219647999997</v>
      </c>
      <c r="F357">
        <f t="shared" si="5"/>
        <v>101.76219647999997</v>
      </c>
    </row>
    <row r="358" spans="1:6" x14ac:dyDescent="0.2">
      <c r="A358">
        <v>824</v>
      </c>
      <c r="B358" t="s">
        <v>284</v>
      </c>
      <c r="C358" t="s">
        <v>273</v>
      </c>
      <c r="D358">
        <v>3</v>
      </c>
      <c r="E358">
        <v>15.547002240000001</v>
      </c>
      <c r="F358">
        <f t="shared" si="5"/>
        <v>46.641006720000007</v>
      </c>
    </row>
    <row r="359" spans="1:6" x14ac:dyDescent="0.2">
      <c r="A359">
        <v>824</v>
      </c>
      <c r="B359" t="s">
        <v>285</v>
      </c>
      <c r="C359" t="s">
        <v>286</v>
      </c>
      <c r="D359">
        <v>2</v>
      </c>
      <c r="E359">
        <v>58.189985279999981</v>
      </c>
      <c r="F359">
        <f t="shared" si="5"/>
        <v>116.37997055999996</v>
      </c>
    </row>
    <row r="360" spans="1:6" x14ac:dyDescent="0.2">
      <c r="A360">
        <v>824</v>
      </c>
      <c r="B360" t="s">
        <v>287</v>
      </c>
      <c r="C360" t="s">
        <v>273</v>
      </c>
      <c r="D360">
        <v>1</v>
      </c>
      <c r="E360">
        <v>100.66898687999999</v>
      </c>
      <c r="F360">
        <f t="shared" si="5"/>
        <v>100.66898687999999</v>
      </c>
    </row>
    <row r="361" spans="1:6" x14ac:dyDescent="0.2">
      <c r="A361">
        <v>824</v>
      </c>
      <c r="B361" t="s">
        <v>288</v>
      </c>
      <c r="C361" t="s">
        <v>289</v>
      </c>
      <c r="D361">
        <v>5</v>
      </c>
      <c r="E361">
        <v>7.3401215999999998</v>
      </c>
      <c r="F361">
        <f t="shared" si="5"/>
        <v>36.700608000000003</v>
      </c>
    </row>
    <row r="362" spans="1:6" x14ac:dyDescent="0.2">
      <c r="A362">
        <v>824</v>
      </c>
      <c r="B362" t="s">
        <v>290</v>
      </c>
      <c r="C362" t="s">
        <v>278</v>
      </c>
      <c r="D362">
        <v>1</v>
      </c>
      <c r="E362">
        <v>43.751809919999999</v>
      </c>
      <c r="F362">
        <f t="shared" si="5"/>
        <v>43.751809919999999</v>
      </c>
    </row>
    <row r="363" spans="1:6" x14ac:dyDescent="0.2">
      <c r="A363">
        <v>824</v>
      </c>
      <c r="B363" t="s">
        <v>277</v>
      </c>
      <c r="C363" t="s">
        <v>278</v>
      </c>
      <c r="D363">
        <v>1</v>
      </c>
      <c r="E363">
        <v>41.026594559999999</v>
      </c>
      <c r="F363">
        <f t="shared" si="5"/>
        <v>41.026594559999999</v>
      </c>
    </row>
    <row r="364" spans="1:6" x14ac:dyDescent="0.2">
      <c r="A364">
        <v>824</v>
      </c>
      <c r="B364" t="s">
        <v>291</v>
      </c>
      <c r="C364" t="s">
        <v>278</v>
      </c>
      <c r="D364">
        <v>1</v>
      </c>
      <c r="E364">
        <v>24.136399999999998</v>
      </c>
      <c r="F364">
        <f t="shared" si="5"/>
        <v>24.136399999999998</v>
      </c>
    </row>
    <row r="365" spans="1:6" x14ac:dyDescent="0.2">
      <c r="A365">
        <v>824</v>
      </c>
      <c r="B365" t="s">
        <v>292</v>
      </c>
      <c r="C365" t="s">
        <v>293</v>
      </c>
      <c r="D365">
        <v>5</v>
      </c>
      <c r="E365">
        <v>96.852699999999999</v>
      </c>
      <c r="F365">
        <f t="shared" si="5"/>
        <v>484.26350000000002</v>
      </c>
    </row>
    <row r="366" spans="1:6" x14ac:dyDescent="0.2">
      <c r="A366">
        <v>824</v>
      </c>
      <c r="B366" t="s">
        <v>294</v>
      </c>
      <c r="C366" t="s">
        <v>278</v>
      </c>
      <c r="D366">
        <v>5</v>
      </c>
      <c r="E366">
        <v>26.221413119999998</v>
      </c>
      <c r="F366">
        <f t="shared" si="5"/>
        <v>131.1070656</v>
      </c>
    </row>
    <row r="367" spans="1:6" x14ac:dyDescent="0.2">
      <c r="A367">
        <v>824</v>
      </c>
      <c r="B367" t="s">
        <v>295</v>
      </c>
      <c r="C367" t="s">
        <v>273</v>
      </c>
      <c r="D367">
        <v>1</v>
      </c>
      <c r="E367">
        <v>54.886930560000003</v>
      </c>
      <c r="F367">
        <f t="shared" si="5"/>
        <v>54.886930560000003</v>
      </c>
    </row>
    <row r="368" spans="1:6" x14ac:dyDescent="0.2">
      <c r="A368">
        <v>824</v>
      </c>
      <c r="B368" t="s">
        <v>296</v>
      </c>
      <c r="C368" t="s">
        <v>297</v>
      </c>
      <c r="D368">
        <v>1</v>
      </c>
      <c r="E368">
        <v>5.5028999999999995</v>
      </c>
      <c r="F368">
        <f t="shared" si="5"/>
        <v>5.5028999999999995</v>
      </c>
    </row>
    <row r="369" spans="1:6" x14ac:dyDescent="0.2">
      <c r="A369">
        <v>824</v>
      </c>
      <c r="B369" t="s">
        <v>298</v>
      </c>
      <c r="C369" t="s">
        <v>297</v>
      </c>
      <c r="D369">
        <v>4</v>
      </c>
      <c r="E369">
        <v>5.9344999999999999</v>
      </c>
      <c r="F369">
        <f t="shared" si="5"/>
        <v>23.738</v>
      </c>
    </row>
    <row r="370" spans="1:6" x14ac:dyDescent="0.2">
      <c r="A370">
        <v>824</v>
      </c>
      <c r="B370" t="s">
        <v>299</v>
      </c>
      <c r="C370" t="s">
        <v>297</v>
      </c>
      <c r="D370">
        <v>3</v>
      </c>
      <c r="E370">
        <v>4.3574999999999999</v>
      </c>
      <c r="F370">
        <f t="shared" si="5"/>
        <v>13.0725</v>
      </c>
    </row>
    <row r="371" spans="1:6" x14ac:dyDescent="0.2">
      <c r="A371">
        <v>824</v>
      </c>
      <c r="B371" t="s">
        <v>122</v>
      </c>
      <c r="C371" t="s">
        <v>276</v>
      </c>
      <c r="D371">
        <v>1</v>
      </c>
      <c r="E371">
        <v>14.915099999999999</v>
      </c>
      <c r="F371">
        <f t="shared" si="5"/>
        <v>14.915099999999999</v>
      </c>
    </row>
    <row r="372" spans="1:6" x14ac:dyDescent="0.2">
      <c r="A372">
        <v>824</v>
      </c>
      <c r="B372" t="s">
        <v>120</v>
      </c>
      <c r="C372" t="s">
        <v>278</v>
      </c>
      <c r="D372">
        <v>3</v>
      </c>
      <c r="E372">
        <v>1.5603999999999998</v>
      </c>
      <c r="F372">
        <f t="shared" si="5"/>
        <v>4.6811999999999996</v>
      </c>
    </row>
    <row r="373" spans="1:6" x14ac:dyDescent="0.2">
      <c r="A373">
        <v>824</v>
      </c>
      <c r="B373" t="s">
        <v>300</v>
      </c>
      <c r="C373" t="s">
        <v>273</v>
      </c>
      <c r="D373">
        <v>2</v>
      </c>
      <c r="E373">
        <v>60.589999999999996</v>
      </c>
      <c r="F373">
        <f t="shared" si="5"/>
        <v>121.17999999999999</v>
      </c>
    </row>
    <row r="374" spans="1:6" x14ac:dyDescent="0.2">
      <c r="A374">
        <v>824</v>
      </c>
      <c r="B374" t="s">
        <v>301</v>
      </c>
      <c r="C374" t="s">
        <v>302</v>
      </c>
      <c r="D374">
        <v>4</v>
      </c>
      <c r="E374">
        <v>104.88565247999999</v>
      </c>
      <c r="F374">
        <f t="shared" si="5"/>
        <v>419.54260991999996</v>
      </c>
    </row>
    <row r="375" spans="1:6" x14ac:dyDescent="0.2">
      <c r="A375">
        <v>824</v>
      </c>
      <c r="B375" t="s">
        <v>303</v>
      </c>
      <c r="C375" t="s">
        <v>304</v>
      </c>
      <c r="D375">
        <v>1</v>
      </c>
      <c r="E375">
        <v>683.94489999999996</v>
      </c>
      <c r="F375">
        <f t="shared" si="5"/>
        <v>683.94489999999996</v>
      </c>
    </row>
    <row r="376" spans="1:6" x14ac:dyDescent="0.2">
      <c r="A376">
        <v>824</v>
      </c>
      <c r="B376" t="s">
        <v>305</v>
      </c>
      <c r="C376" t="s">
        <v>273</v>
      </c>
      <c r="D376">
        <v>118</v>
      </c>
      <c r="E376">
        <v>71.189099999999996</v>
      </c>
      <c r="F376">
        <f t="shared" si="5"/>
        <v>8400.3137999999999</v>
      </c>
    </row>
    <row r="377" spans="1:6" x14ac:dyDescent="0.2">
      <c r="A377">
        <v>824</v>
      </c>
      <c r="B377" t="s">
        <v>294</v>
      </c>
      <c r="C377" t="s">
        <v>278</v>
      </c>
      <c r="D377">
        <v>1</v>
      </c>
      <c r="E377">
        <v>26.221413119999998</v>
      </c>
      <c r="F377">
        <f t="shared" si="5"/>
        <v>26.221413119999998</v>
      </c>
    </row>
    <row r="378" spans="1:6" x14ac:dyDescent="0.2">
      <c r="A378">
        <v>824</v>
      </c>
      <c r="B378" t="s">
        <v>306</v>
      </c>
      <c r="C378" t="s">
        <v>273</v>
      </c>
      <c r="D378">
        <v>1</v>
      </c>
      <c r="E378">
        <v>99.575777279999997</v>
      </c>
      <c r="F378">
        <f t="shared" si="5"/>
        <v>99.575777279999997</v>
      </c>
    </row>
    <row r="379" spans="1:6" x14ac:dyDescent="0.2">
      <c r="A379">
        <v>824</v>
      </c>
      <c r="B379" t="s">
        <v>294</v>
      </c>
      <c r="C379" t="s">
        <v>278</v>
      </c>
      <c r="D379">
        <v>3</v>
      </c>
      <c r="E379">
        <v>26.221413119999998</v>
      </c>
      <c r="F379">
        <f t="shared" si="5"/>
        <v>78.664239359999996</v>
      </c>
    </row>
    <row r="380" spans="1:6" x14ac:dyDescent="0.2">
      <c r="A380">
        <v>824</v>
      </c>
      <c r="B380" t="s">
        <v>306</v>
      </c>
      <c r="C380" t="s">
        <v>273</v>
      </c>
      <c r="D380">
        <v>1</v>
      </c>
      <c r="E380">
        <v>99.575777279999997</v>
      </c>
      <c r="F380">
        <f t="shared" si="5"/>
        <v>99.575777279999997</v>
      </c>
    </row>
    <row r="381" spans="1:6" x14ac:dyDescent="0.2">
      <c r="A381">
        <v>824</v>
      </c>
      <c r="B381" t="s">
        <v>308</v>
      </c>
      <c r="C381" t="s">
        <v>309</v>
      </c>
      <c r="D381">
        <v>2</v>
      </c>
      <c r="E381">
        <v>167.62307692307692</v>
      </c>
      <c r="F381">
        <f t="shared" si="5"/>
        <v>335.24615384615385</v>
      </c>
    </row>
    <row r="382" spans="1:6" x14ac:dyDescent="0.2">
      <c r="A382">
        <v>824</v>
      </c>
      <c r="B382" t="s">
        <v>310</v>
      </c>
      <c r="C382" t="s">
        <v>273</v>
      </c>
      <c r="D382">
        <v>3</v>
      </c>
      <c r="E382">
        <v>0.33200000000000002</v>
      </c>
      <c r="F382">
        <f t="shared" si="5"/>
        <v>0.996</v>
      </c>
    </row>
    <row r="383" spans="1:6" x14ac:dyDescent="0.2">
      <c r="A383">
        <v>824</v>
      </c>
      <c r="B383" t="s">
        <v>197</v>
      </c>
      <c r="C383" t="s">
        <v>278</v>
      </c>
      <c r="D383">
        <v>6</v>
      </c>
      <c r="E383">
        <v>7.4699999999999989E-2</v>
      </c>
      <c r="F383">
        <f t="shared" si="5"/>
        <v>0.44819999999999993</v>
      </c>
    </row>
    <row r="384" spans="1:6" x14ac:dyDescent="0.2">
      <c r="A384">
        <v>824</v>
      </c>
      <c r="B384" t="s">
        <v>311</v>
      </c>
      <c r="C384" t="s">
        <v>273</v>
      </c>
      <c r="D384">
        <v>6</v>
      </c>
      <c r="E384">
        <v>1.5935999999999999</v>
      </c>
      <c r="F384">
        <f t="shared" si="5"/>
        <v>9.5615999999999985</v>
      </c>
    </row>
    <row r="385" spans="1:6" x14ac:dyDescent="0.2">
      <c r="A385">
        <v>824</v>
      </c>
      <c r="B385" t="s">
        <v>312</v>
      </c>
      <c r="C385" t="s">
        <v>278</v>
      </c>
      <c r="D385">
        <v>1</v>
      </c>
      <c r="E385">
        <v>21.040500000000002</v>
      </c>
      <c r="F385">
        <f t="shared" si="5"/>
        <v>21.040500000000002</v>
      </c>
    </row>
    <row r="386" spans="1:6" x14ac:dyDescent="0.2">
      <c r="A386">
        <v>824</v>
      </c>
      <c r="B386" t="s">
        <v>75</v>
      </c>
      <c r="C386" t="s">
        <v>313</v>
      </c>
      <c r="D386">
        <v>3</v>
      </c>
      <c r="E386">
        <v>0.1153846153846154</v>
      </c>
      <c r="F386">
        <f t="shared" si="5"/>
        <v>0.3461538461538462</v>
      </c>
    </row>
    <row r="387" spans="1:6" x14ac:dyDescent="0.2">
      <c r="A387">
        <v>824</v>
      </c>
      <c r="B387" t="s">
        <v>314</v>
      </c>
      <c r="C387" t="s">
        <v>273</v>
      </c>
      <c r="D387">
        <v>1</v>
      </c>
      <c r="E387">
        <v>0.45650000000000002</v>
      </c>
      <c r="F387">
        <f t="shared" ref="F387:F450" si="6">D387*E387</f>
        <v>0.45650000000000002</v>
      </c>
    </row>
    <row r="388" spans="1:6" x14ac:dyDescent="0.2">
      <c r="A388">
        <v>824</v>
      </c>
      <c r="B388" t="s">
        <v>314</v>
      </c>
      <c r="C388" t="s">
        <v>315</v>
      </c>
      <c r="D388">
        <v>1</v>
      </c>
      <c r="E388">
        <v>0.45650000000000002</v>
      </c>
      <c r="F388">
        <f t="shared" si="6"/>
        <v>0.45650000000000002</v>
      </c>
    </row>
    <row r="389" spans="1:6" x14ac:dyDescent="0.2">
      <c r="A389">
        <v>824</v>
      </c>
      <c r="B389" t="s">
        <v>316</v>
      </c>
      <c r="C389" t="s">
        <v>317</v>
      </c>
      <c r="D389">
        <v>3</v>
      </c>
      <c r="E389">
        <v>92.206615384615375</v>
      </c>
      <c r="F389">
        <f t="shared" si="6"/>
        <v>276.61984615384614</v>
      </c>
    </row>
    <row r="390" spans="1:6" x14ac:dyDescent="0.2">
      <c r="A390">
        <v>824</v>
      </c>
      <c r="B390" t="s">
        <v>318</v>
      </c>
      <c r="C390" t="s">
        <v>319</v>
      </c>
      <c r="D390">
        <v>2</v>
      </c>
      <c r="E390">
        <v>85.453846153846172</v>
      </c>
      <c r="F390">
        <f t="shared" si="6"/>
        <v>170.90769230769234</v>
      </c>
    </row>
    <row r="391" spans="1:6" x14ac:dyDescent="0.2">
      <c r="A391">
        <v>824</v>
      </c>
      <c r="B391" t="s">
        <v>320</v>
      </c>
      <c r="C391" t="s">
        <v>321</v>
      </c>
      <c r="D391">
        <v>1</v>
      </c>
      <c r="E391">
        <v>92.206615384615375</v>
      </c>
      <c r="F391">
        <f t="shared" si="6"/>
        <v>92.206615384615375</v>
      </c>
    </row>
    <row r="392" spans="1:6" x14ac:dyDescent="0.2">
      <c r="A392">
        <v>824</v>
      </c>
      <c r="B392" t="s">
        <v>267</v>
      </c>
      <c r="C392" t="s">
        <v>268</v>
      </c>
      <c r="D392">
        <v>5</v>
      </c>
      <c r="E392">
        <v>84863.132923076919</v>
      </c>
      <c r="F392">
        <f t="shared" si="6"/>
        <v>424315.66461538459</v>
      </c>
    </row>
    <row r="393" spans="1:6" x14ac:dyDescent="0.2">
      <c r="A393">
        <v>824</v>
      </c>
      <c r="B393" t="s">
        <v>260</v>
      </c>
      <c r="C393" t="s">
        <v>261</v>
      </c>
      <c r="D393">
        <v>1</v>
      </c>
      <c r="E393">
        <v>2908.2944615384613</v>
      </c>
      <c r="F393">
        <f t="shared" si="6"/>
        <v>2908.2944615384613</v>
      </c>
    </row>
    <row r="394" spans="1:6" x14ac:dyDescent="0.2">
      <c r="A394">
        <v>824</v>
      </c>
      <c r="B394" t="s">
        <v>262</v>
      </c>
      <c r="C394" t="s">
        <v>263</v>
      </c>
      <c r="D394">
        <v>1</v>
      </c>
      <c r="E394">
        <v>3207.1966153846147</v>
      </c>
      <c r="F394">
        <f t="shared" si="6"/>
        <v>3207.1966153846147</v>
      </c>
    </row>
    <row r="395" spans="1:6" x14ac:dyDescent="0.2">
      <c r="A395">
        <v>824</v>
      </c>
      <c r="B395" t="s">
        <v>264</v>
      </c>
      <c r="C395" t="s">
        <v>265</v>
      </c>
      <c r="D395">
        <v>1</v>
      </c>
      <c r="E395">
        <v>3466.73123076923</v>
      </c>
      <c r="F395">
        <f t="shared" si="6"/>
        <v>3466.73123076923</v>
      </c>
    </row>
    <row r="396" spans="1:6" x14ac:dyDescent="0.2">
      <c r="A396">
        <v>824</v>
      </c>
      <c r="B396" t="s">
        <v>259</v>
      </c>
      <c r="C396" t="s">
        <v>258</v>
      </c>
      <c r="D396">
        <v>5</v>
      </c>
      <c r="E396">
        <v>3325.9759999999997</v>
      </c>
      <c r="F396">
        <f t="shared" si="6"/>
        <v>16629.879999999997</v>
      </c>
    </row>
    <row r="397" spans="1:6" x14ac:dyDescent="0.2">
      <c r="A397">
        <v>824</v>
      </c>
      <c r="B397" t="s">
        <v>257</v>
      </c>
      <c r="C397" t="s">
        <v>258</v>
      </c>
      <c r="D397">
        <v>5</v>
      </c>
      <c r="E397">
        <v>3325.9759999999997</v>
      </c>
      <c r="F397">
        <f t="shared" si="6"/>
        <v>16629.879999999997</v>
      </c>
    </row>
    <row r="398" spans="1:6" x14ac:dyDescent="0.2">
      <c r="A398">
        <v>824</v>
      </c>
      <c r="B398" t="s">
        <v>255</v>
      </c>
      <c r="C398" t="s">
        <v>256</v>
      </c>
      <c r="D398">
        <v>1</v>
      </c>
      <c r="E398">
        <v>18546.094615384613</v>
      </c>
      <c r="F398">
        <f t="shared" si="6"/>
        <v>18546.094615384613</v>
      </c>
    </row>
    <row r="399" spans="1:6" x14ac:dyDescent="0.2">
      <c r="A399">
        <v>824</v>
      </c>
      <c r="B399" t="s">
        <v>253</v>
      </c>
      <c r="C399" t="s">
        <v>254</v>
      </c>
      <c r="D399">
        <v>1</v>
      </c>
      <c r="E399">
        <v>21043.67953846154</v>
      </c>
      <c r="F399">
        <f t="shared" si="6"/>
        <v>21043.67953846154</v>
      </c>
    </row>
    <row r="400" spans="1:6" x14ac:dyDescent="0.2">
      <c r="A400">
        <v>824</v>
      </c>
      <c r="B400" t="s">
        <v>359</v>
      </c>
      <c r="C400" t="s">
        <v>360</v>
      </c>
      <c r="D400">
        <v>4</v>
      </c>
      <c r="E400">
        <v>1844.9384615384615</v>
      </c>
      <c r="F400">
        <f t="shared" si="6"/>
        <v>7379.7538461538461</v>
      </c>
    </row>
    <row r="401" spans="1:6" x14ac:dyDescent="0.2">
      <c r="A401">
        <v>824</v>
      </c>
      <c r="B401" t="s">
        <v>389</v>
      </c>
      <c r="C401" t="s">
        <v>390</v>
      </c>
      <c r="D401">
        <v>1</v>
      </c>
      <c r="E401">
        <v>4906</v>
      </c>
      <c r="F401">
        <f t="shared" si="6"/>
        <v>4906</v>
      </c>
    </row>
    <row r="402" spans="1:6" x14ac:dyDescent="0.2">
      <c r="A402">
        <v>825</v>
      </c>
      <c r="B402" t="s">
        <v>62</v>
      </c>
      <c r="C402" t="s">
        <v>63</v>
      </c>
      <c r="D402">
        <v>1</v>
      </c>
      <c r="E402">
        <v>0.34860000000000002</v>
      </c>
      <c r="F402">
        <f t="shared" si="6"/>
        <v>0.34860000000000002</v>
      </c>
    </row>
    <row r="403" spans="1:6" x14ac:dyDescent="0.2">
      <c r="A403">
        <v>825</v>
      </c>
      <c r="B403" t="s">
        <v>64</v>
      </c>
      <c r="C403" t="s">
        <v>65</v>
      </c>
      <c r="D403">
        <v>3</v>
      </c>
      <c r="E403">
        <v>803.07692307692309</v>
      </c>
      <c r="F403">
        <f t="shared" si="6"/>
        <v>2409.2307692307695</v>
      </c>
    </row>
    <row r="404" spans="1:6" x14ac:dyDescent="0.2">
      <c r="A404">
        <v>825</v>
      </c>
      <c r="B404" t="s">
        <v>67</v>
      </c>
      <c r="C404" t="s">
        <v>68</v>
      </c>
      <c r="D404">
        <v>2</v>
      </c>
      <c r="E404">
        <v>49.678567679999993</v>
      </c>
      <c r="F404">
        <f t="shared" si="6"/>
        <v>99.357135359999987</v>
      </c>
    </row>
    <row r="405" spans="1:6" x14ac:dyDescent="0.2">
      <c r="A405">
        <v>825</v>
      </c>
      <c r="B405" t="s">
        <v>70</v>
      </c>
      <c r="C405" t="s">
        <v>71</v>
      </c>
      <c r="D405">
        <v>4</v>
      </c>
      <c r="E405">
        <v>407.98649999999998</v>
      </c>
      <c r="F405">
        <f t="shared" si="6"/>
        <v>1631.9459999999999</v>
      </c>
    </row>
    <row r="406" spans="1:6" x14ac:dyDescent="0.2">
      <c r="A406">
        <v>825</v>
      </c>
      <c r="B406" t="s">
        <v>73</v>
      </c>
      <c r="C406" t="s">
        <v>74</v>
      </c>
      <c r="D406">
        <v>1</v>
      </c>
      <c r="E406">
        <v>0.57783935999999991</v>
      </c>
      <c r="F406">
        <f t="shared" si="6"/>
        <v>0.57783935999999991</v>
      </c>
    </row>
    <row r="407" spans="1:6" x14ac:dyDescent="0.2">
      <c r="A407">
        <v>825</v>
      </c>
      <c r="B407" t="s">
        <v>75</v>
      </c>
      <c r="C407" t="s">
        <v>76</v>
      </c>
      <c r="D407">
        <v>118</v>
      </c>
      <c r="E407">
        <v>0.1153846153846154</v>
      </c>
      <c r="F407">
        <f t="shared" si="6"/>
        <v>13.615384615384619</v>
      </c>
    </row>
    <row r="408" spans="1:6" x14ac:dyDescent="0.2">
      <c r="A408">
        <v>825</v>
      </c>
      <c r="B408" t="s">
        <v>77</v>
      </c>
      <c r="C408" t="s">
        <v>74</v>
      </c>
      <c r="D408">
        <v>1</v>
      </c>
      <c r="E408">
        <v>1.3943999999999999</v>
      </c>
      <c r="F408">
        <f t="shared" si="6"/>
        <v>1.3943999999999999</v>
      </c>
    </row>
    <row r="409" spans="1:6" x14ac:dyDescent="0.2">
      <c r="A409">
        <v>825</v>
      </c>
      <c r="B409" t="s">
        <v>78</v>
      </c>
      <c r="C409" t="s">
        <v>76</v>
      </c>
      <c r="D409">
        <v>1</v>
      </c>
      <c r="E409">
        <v>0.71839487999999996</v>
      </c>
      <c r="F409">
        <f t="shared" si="6"/>
        <v>0.71839487999999996</v>
      </c>
    </row>
    <row r="410" spans="1:6" x14ac:dyDescent="0.2">
      <c r="A410">
        <v>825</v>
      </c>
      <c r="B410" t="s">
        <v>79</v>
      </c>
      <c r="C410" t="s">
        <v>74</v>
      </c>
      <c r="D410">
        <v>3</v>
      </c>
      <c r="E410">
        <v>1.9307692307692308</v>
      </c>
      <c r="F410">
        <f t="shared" si="6"/>
        <v>5.7923076923076922</v>
      </c>
    </row>
    <row r="411" spans="1:6" x14ac:dyDescent="0.2">
      <c r="A411">
        <v>825</v>
      </c>
      <c r="B411" t="s">
        <v>80</v>
      </c>
      <c r="C411" t="s">
        <v>74</v>
      </c>
      <c r="D411">
        <v>1</v>
      </c>
      <c r="E411">
        <v>0.9544999999999999</v>
      </c>
      <c r="F411">
        <f t="shared" si="6"/>
        <v>0.9544999999999999</v>
      </c>
    </row>
    <row r="412" spans="1:6" x14ac:dyDescent="0.2">
      <c r="A412">
        <v>825</v>
      </c>
      <c r="B412" t="s">
        <v>81</v>
      </c>
      <c r="C412" t="s">
        <v>74</v>
      </c>
      <c r="D412">
        <v>2</v>
      </c>
      <c r="E412">
        <v>0.76359999999999995</v>
      </c>
      <c r="F412">
        <f t="shared" si="6"/>
        <v>1.5271999999999999</v>
      </c>
    </row>
    <row r="413" spans="1:6" x14ac:dyDescent="0.2">
      <c r="A413">
        <v>825</v>
      </c>
      <c r="B413" t="s">
        <v>82</v>
      </c>
      <c r="C413" t="s">
        <v>83</v>
      </c>
      <c r="D413">
        <v>3</v>
      </c>
      <c r="E413">
        <v>20.351599999999998</v>
      </c>
      <c r="F413">
        <f t="shared" si="6"/>
        <v>61.054799999999993</v>
      </c>
    </row>
    <row r="414" spans="1:6" x14ac:dyDescent="0.2">
      <c r="A414">
        <v>825</v>
      </c>
      <c r="B414" t="s">
        <v>84</v>
      </c>
      <c r="C414" t="s">
        <v>85</v>
      </c>
      <c r="D414">
        <v>6</v>
      </c>
      <c r="E414">
        <v>102.33222719999999</v>
      </c>
      <c r="F414">
        <f t="shared" si="6"/>
        <v>613.99336319999998</v>
      </c>
    </row>
    <row r="415" spans="1:6" x14ac:dyDescent="0.2">
      <c r="A415">
        <v>825</v>
      </c>
      <c r="B415" t="s">
        <v>86</v>
      </c>
      <c r="C415" t="s">
        <v>85</v>
      </c>
      <c r="D415">
        <v>6</v>
      </c>
      <c r="E415">
        <v>144.26462399999997</v>
      </c>
      <c r="F415">
        <f t="shared" si="6"/>
        <v>865.58774399999982</v>
      </c>
    </row>
    <row r="416" spans="1:6" x14ac:dyDescent="0.2">
      <c r="A416">
        <v>825</v>
      </c>
      <c r="B416" t="s">
        <v>87</v>
      </c>
      <c r="C416" t="s">
        <v>88</v>
      </c>
      <c r="D416">
        <v>1</v>
      </c>
      <c r="E416">
        <v>162.02147135999999</v>
      </c>
      <c r="F416">
        <f t="shared" si="6"/>
        <v>162.02147135999999</v>
      </c>
    </row>
    <row r="417" spans="1:6" x14ac:dyDescent="0.2">
      <c r="A417">
        <v>825</v>
      </c>
      <c r="B417" t="s">
        <v>89</v>
      </c>
      <c r="C417" t="s">
        <v>85</v>
      </c>
      <c r="D417">
        <v>3</v>
      </c>
      <c r="E417">
        <v>211.01287872</v>
      </c>
      <c r="F417">
        <f t="shared" si="6"/>
        <v>633.03863616000001</v>
      </c>
    </row>
    <row r="418" spans="1:6" x14ac:dyDescent="0.2">
      <c r="A418">
        <v>825</v>
      </c>
      <c r="B418" t="s">
        <v>90</v>
      </c>
      <c r="C418" t="s">
        <v>88</v>
      </c>
      <c r="D418">
        <v>1</v>
      </c>
      <c r="E418">
        <v>238.16351999999995</v>
      </c>
      <c r="F418">
        <f t="shared" si="6"/>
        <v>238.16351999999995</v>
      </c>
    </row>
    <row r="419" spans="1:6" x14ac:dyDescent="0.2">
      <c r="A419">
        <v>825</v>
      </c>
      <c r="B419" t="s">
        <v>92</v>
      </c>
      <c r="C419" t="s">
        <v>93</v>
      </c>
      <c r="D419">
        <v>1</v>
      </c>
      <c r="E419">
        <v>19.297499999999999</v>
      </c>
      <c r="F419">
        <f t="shared" si="6"/>
        <v>19.297499999999999</v>
      </c>
    </row>
    <row r="420" spans="1:6" x14ac:dyDescent="0.2">
      <c r="A420">
        <v>825</v>
      </c>
      <c r="B420" t="s">
        <v>94</v>
      </c>
      <c r="C420" t="s">
        <v>95</v>
      </c>
      <c r="D420">
        <v>3</v>
      </c>
      <c r="E420">
        <v>644.46267648000003</v>
      </c>
      <c r="F420">
        <f t="shared" si="6"/>
        <v>1933.3880294400001</v>
      </c>
    </row>
    <row r="421" spans="1:6" x14ac:dyDescent="0.2">
      <c r="A421">
        <v>825</v>
      </c>
      <c r="B421" t="s">
        <v>236</v>
      </c>
      <c r="C421" t="s">
        <v>237</v>
      </c>
      <c r="D421">
        <v>2</v>
      </c>
      <c r="E421">
        <v>132.79999999999998</v>
      </c>
      <c r="F421">
        <f t="shared" si="6"/>
        <v>265.59999999999997</v>
      </c>
    </row>
    <row r="422" spans="1:6" x14ac:dyDescent="0.2">
      <c r="A422">
        <v>825</v>
      </c>
      <c r="B422" t="s">
        <v>238</v>
      </c>
      <c r="C422" t="s">
        <v>239</v>
      </c>
      <c r="D422">
        <v>1</v>
      </c>
      <c r="E422">
        <v>340.93846153846152</v>
      </c>
      <c r="F422">
        <f t="shared" si="6"/>
        <v>340.93846153846152</v>
      </c>
    </row>
    <row r="423" spans="1:6" x14ac:dyDescent="0.2">
      <c r="A423">
        <v>825</v>
      </c>
      <c r="B423" t="s">
        <v>240</v>
      </c>
      <c r="C423" t="s">
        <v>241</v>
      </c>
      <c r="D423">
        <v>5</v>
      </c>
      <c r="E423">
        <v>309.01538461538462</v>
      </c>
      <c r="F423">
        <f t="shared" si="6"/>
        <v>1545.0769230769231</v>
      </c>
    </row>
    <row r="424" spans="1:6" x14ac:dyDescent="0.2">
      <c r="A424">
        <v>825</v>
      </c>
      <c r="B424" t="s">
        <v>242</v>
      </c>
      <c r="C424" t="s">
        <v>243</v>
      </c>
      <c r="D424">
        <v>1</v>
      </c>
      <c r="E424">
        <v>427.76923076923072</v>
      </c>
      <c r="F424">
        <f t="shared" si="6"/>
        <v>427.76923076923072</v>
      </c>
    </row>
    <row r="425" spans="1:6" x14ac:dyDescent="0.2">
      <c r="A425">
        <v>825</v>
      </c>
      <c r="B425" t="s">
        <v>244</v>
      </c>
      <c r="C425" t="s">
        <v>184</v>
      </c>
      <c r="D425">
        <v>1</v>
      </c>
      <c r="E425">
        <v>18.643076923076922</v>
      </c>
      <c r="F425">
        <f t="shared" si="6"/>
        <v>18.643076923076922</v>
      </c>
    </row>
    <row r="426" spans="1:6" x14ac:dyDescent="0.2">
      <c r="A426">
        <v>825</v>
      </c>
      <c r="B426" t="s">
        <v>245</v>
      </c>
      <c r="C426" t="s">
        <v>246</v>
      </c>
      <c r="D426">
        <v>1</v>
      </c>
      <c r="E426">
        <v>0.44819999999999999</v>
      </c>
      <c r="F426">
        <f t="shared" si="6"/>
        <v>0.44819999999999999</v>
      </c>
    </row>
    <row r="427" spans="1:6" x14ac:dyDescent="0.2">
      <c r="A427">
        <v>825</v>
      </c>
      <c r="B427" t="s">
        <v>75</v>
      </c>
      <c r="C427" t="s">
        <v>247</v>
      </c>
      <c r="D427">
        <v>5</v>
      </c>
      <c r="E427">
        <v>0.1153846153846154</v>
      </c>
      <c r="F427">
        <f t="shared" si="6"/>
        <v>0.57692307692307698</v>
      </c>
    </row>
    <row r="428" spans="1:6" x14ac:dyDescent="0.2">
      <c r="A428">
        <v>825</v>
      </c>
      <c r="B428" t="s">
        <v>197</v>
      </c>
      <c r="C428" t="s">
        <v>117</v>
      </c>
      <c r="D428">
        <v>5</v>
      </c>
      <c r="E428">
        <v>7.4699999999999989E-2</v>
      </c>
      <c r="F428">
        <f t="shared" si="6"/>
        <v>0.37349999999999994</v>
      </c>
    </row>
    <row r="429" spans="1:6" x14ac:dyDescent="0.2">
      <c r="A429">
        <v>825</v>
      </c>
      <c r="B429" t="s">
        <v>248</v>
      </c>
      <c r="C429" t="s">
        <v>249</v>
      </c>
      <c r="D429">
        <v>1</v>
      </c>
      <c r="E429">
        <v>31064.984615384612</v>
      </c>
      <c r="F429">
        <f t="shared" si="6"/>
        <v>31064.984615384612</v>
      </c>
    </row>
    <row r="430" spans="1:6" x14ac:dyDescent="0.2">
      <c r="A430">
        <v>825</v>
      </c>
      <c r="B430" t="s">
        <v>250</v>
      </c>
      <c r="C430" t="s">
        <v>251</v>
      </c>
      <c r="D430">
        <v>1</v>
      </c>
      <c r="E430">
        <v>564.54124607999995</v>
      </c>
      <c r="F430">
        <f t="shared" si="6"/>
        <v>564.54124607999995</v>
      </c>
    </row>
    <row r="431" spans="1:6" x14ac:dyDescent="0.2">
      <c r="A431">
        <v>825</v>
      </c>
      <c r="B431" t="s">
        <v>146</v>
      </c>
      <c r="C431" t="s">
        <v>147</v>
      </c>
      <c r="D431">
        <v>4</v>
      </c>
      <c r="E431">
        <v>8021.5764999999992</v>
      </c>
      <c r="F431">
        <f t="shared" si="6"/>
        <v>32086.305999999997</v>
      </c>
    </row>
    <row r="432" spans="1:6" x14ac:dyDescent="0.2">
      <c r="A432">
        <v>825</v>
      </c>
      <c r="B432" t="s">
        <v>215</v>
      </c>
      <c r="C432" t="s">
        <v>208</v>
      </c>
      <c r="D432">
        <v>3</v>
      </c>
      <c r="E432">
        <v>1.42898112</v>
      </c>
      <c r="F432">
        <f t="shared" si="6"/>
        <v>4.2869433600000004</v>
      </c>
    </row>
    <row r="433" spans="1:6" x14ac:dyDescent="0.2">
      <c r="A433">
        <v>825</v>
      </c>
      <c r="B433" t="s">
        <v>200</v>
      </c>
      <c r="C433" t="s">
        <v>199</v>
      </c>
      <c r="D433">
        <v>1</v>
      </c>
      <c r="E433">
        <v>0.66373439999999995</v>
      </c>
      <c r="F433">
        <f t="shared" si="6"/>
        <v>0.66373439999999995</v>
      </c>
    </row>
    <row r="434" spans="1:6" x14ac:dyDescent="0.2">
      <c r="A434">
        <v>825</v>
      </c>
      <c r="B434" t="s">
        <v>216</v>
      </c>
      <c r="C434" t="s">
        <v>199</v>
      </c>
      <c r="D434">
        <v>3</v>
      </c>
      <c r="E434">
        <v>0.66400000000000003</v>
      </c>
      <c r="F434">
        <f t="shared" si="6"/>
        <v>1.992</v>
      </c>
    </row>
    <row r="435" spans="1:6" x14ac:dyDescent="0.2">
      <c r="A435">
        <v>825</v>
      </c>
      <c r="B435" t="s">
        <v>217</v>
      </c>
      <c r="C435" t="s">
        <v>199</v>
      </c>
      <c r="D435">
        <v>2</v>
      </c>
      <c r="E435">
        <v>4.2164000000000001</v>
      </c>
      <c r="F435">
        <f t="shared" si="6"/>
        <v>8.4328000000000003</v>
      </c>
    </row>
    <row r="436" spans="1:6" x14ac:dyDescent="0.2">
      <c r="A436">
        <v>825</v>
      </c>
      <c r="B436" t="s">
        <v>218</v>
      </c>
      <c r="C436" t="s">
        <v>208</v>
      </c>
      <c r="D436">
        <v>4</v>
      </c>
      <c r="E436">
        <v>7.3454999999999995</v>
      </c>
      <c r="F436">
        <f t="shared" si="6"/>
        <v>29.381999999999998</v>
      </c>
    </row>
    <row r="437" spans="1:6" x14ac:dyDescent="0.2">
      <c r="A437">
        <v>825</v>
      </c>
      <c r="B437" t="s">
        <v>219</v>
      </c>
      <c r="C437" t="s">
        <v>199</v>
      </c>
      <c r="D437">
        <v>1</v>
      </c>
      <c r="E437">
        <v>1.4774</v>
      </c>
      <c r="F437">
        <f t="shared" si="6"/>
        <v>1.4774</v>
      </c>
    </row>
    <row r="438" spans="1:6" x14ac:dyDescent="0.2">
      <c r="A438">
        <v>825</v>
      </c>
      <c r="B438" t="s">
        <v>220</v>
      </c>
      <c r="C438" t="s">
        <v>208</v>
      </c>
      <c r="D438">
        <v>118</v>
      </c>
      <c r="E438">
        <v>3.7267000000000001</v>
      </c>
      <c r="F438">
        <f t="shared" si="6"/>
        <v>439.75060000000002</v>
      </c>
    </row>
    <row r="439" spans="1:6" x14ac:dyDescent="0.2">
      <c r="A439">
        <v>825</v>
      </c>
      <c r="B439" t="s">
        <v>221</v>
      </c>
      <c r="C439" t="s">
        <v>199</v>
      </c>
      <c r="D439">
        <v>1</v>
      </c>
      <c r="E439">
        <v>0.97939999999999994</v>
      </c>
      <c r="F439">
        <f t="shared" si="6"/>
        <v>0.97939999999999994</v>
      </c>
    </row>
    <row r="440" spans="1:6" x14ac:dyDescent="0.2">
      <c r="A440">
        <v>825</v>
      </c>
      <c r="B440" t="s">
        <v>222</v>
      </c>
      <c r="C440" t="s">
        <v>208</v>
      </c>
      <c r="D440">
        <v>1</v>
      </c>
      <c r="E440">
        <v>6.0672999999999995</v>
      </c>
      <c r="F440">
        <f t="shared" si="6"/>
        <v>6.0672999999999995</v>
      </c>
    </row>
    <row r="441" spans="1:6" x14ac:dyDescent="0.2">
      <c r="A441">
        <v>825</v>
      </c>
      <c r="B441" t="s">
        <v>223</v>
      </c>
      <c r="C441" t="s">
        <v>224</v>
      </c>
      <c r="D441">
        <v>3</v>
      </c>
      <c r="E441">
        <v>19.4635</v>
      </c>
      <c r="F441">
        <f t="shared" si="6"/>
        <v>58.390500000000003</v>
      </c>
    </row>
    <row r="442" spans="1:6" x14ac:dyDescent="0.2">
      <c r="A442">
        <v>825</v>
      </c>
      <c r="B442" t="s">
        <v>225</v>
      </c>
      <c r="C442" t="s">
        <v>226</v>
      </c>
      <c r="D442">
        <v>1</v>
      </c>
      <c r="E442">
        <v>10.221509759999998</v>
      </c>
      <c r="F442">
        <f t="shared" si="6"/>
        <v>10.221509759999998</v>
      </c>
    </row>
    <row r="443" spans="1:6" x14ac:dyDescent="0.2">
      <c r="A443">
        <v>825</v>
      </c>
      <c r="B443" t="s">
        <v>227</v>
      </c>
      <c r="C443" t="s">
        <v>208</v>
      </c>
      <c r="D443">
        <v>2</v>
      </c>
      <c r="E443">
        <v>3.6307692307692312</v>
      </c>
      <c r="F443">
        <f t="shared" si="6"/>
        <v>7.2615384615384624</v>
      </c>
    </row>
    <row r="444" spans="1:6" x14ac:dyDescent="0.2">
      <c r="A444">
        <v>825</v>
      </c>
      <c r="B444" t="s">
        <v>228</v>
      </c>
      <c r="C444" t="s">
        <v>229</v>
      </c>
      <c r="D444">
        <v>3</v>
      </c>
      <c r="E444">
        <v>306.94982975999994</v>
      </c>
      <c r="F444">
        <f t="shared" si="6"/>
        <v>920.84948927999983</v>
      </c>
    </row>
    <row r="445" spans="1:6" x14ac:dyDescent="0.2">
      <c r="A445">
        <v>825</v>
      </c>
      <c r="B445" t="s">
        <v>116</v>
      </c>
      <c r="C445" t="s">
        <v>117</v>
      </c>
      <c r="D445">
        <v>6</v>
      </c>
      <c r="E445">
        <v>0.25729999999999997</v>
      </c>
      <c r="F445">
        <f t="shared" si="6"/>
        <v>1.5437999999999998</v>
      </c>
    </row>
    <row r="446" spans="1:6" x14ac:dyDescent="0.2">
      <c r="A446">
        <v>825</v>
      </c>
      <c r="B446" t="s">
        <v>78</v>
      </c>
      <c r="C446" t="s">
        <v>76</v>
      </c>
      <c r="D446">
        <v>6</v>
      </c>
      <c r="E446">
        <v>0.71839487999999996</v>
      </c>
      <c r="F446">
        <f t="shared" si="6"/>
        <v>4.3103692799999997</v>
      </c>
    </row>
    <row r="447" spans="1:6" x14ac:dyDescent="0.2">
      <c r="A447">
        <v>825</v>
      </c>
      <c r="B447" t="s">
        <v>231</v>
      </c>
      <c r="C447" t="s">
        <v>208</v>
      </c>
      <c r="D447">
        <v>1</v>
      </c>
      <c r="E447">
        <v>2.0832999999999999</v>
      </c>
      <c r="F447">
        <f t="shared" si="6"/>
        <v>2.0832999999999999</v>
      </c>
    </row>
    <row r="448" spans="1:6" x14ac:dyDescent="0.2">
      <c r="A448">
        <v>825</v>
      </c>
      <c r="B448" t="s">
        <v>232</v>
      </c>
      <c r="C448" t="s">
        <v>119</v>
      </c>
      <c r="D448">
        <v>3</v>
      </c>
      <c r="E448">
        <v>1.5935999999999999</v>
      </c>
      <c r="F448">
        <f t="shared" si="6"/>
        <v>4.7807999999999993</v>
      </c>
    </row>
    <row r="449" spans="1:6" x14ac:dyDescent="0.2">
      <c r="A449">
        <v>825</v>
      </c>
      <c r="B449" t="s">
        <v>233</v>
      </c>
      <c r="C449" t="s">
        <v>234</v>
      </c>
      <c r="D449">
        <v>1</v>
      </c>
      <c r="E449">
        <v>3989.2954</v>
      </c>
      <c r="F449">
        <f t="shared" si="6"/>
        <v>3989.2954</v>
      </c>
    </row>
    <row r="450" spans="1:6" x14ac:dyDescent="0.2">
      <c r="A450">
        <v>825</v>
      </c>
      <c r="B450" t="s">
        <v>142</v>
      </c>
      <c r="C450" t="s">
        <v>143</v>
      </c>
      <c r="D450">
        <v>1</v>
      </c>
      <c r="E450">
        <v>18141.642</v>
      </c>
      <c r="F450">
        <f t="shared" si="6"/>
        <v>18141.642</v>
      </c>
    </row>
    <row r="451" spans="1:6" x14ac:dyDescent="0.2">
      <c r="A451">
        <v>825</v>
      </c>
      <c r="B451" t="s">
        <v>144</v>
      </c>
      <c r="C451" t="s">
        <v>145</v>
      </c>
      <c r="D451">
        <v>3</v>
      </c>
      <c r="E451">
        <v>7346.6769230769241</v>
      </c>
      <c r="F451">
        <f t="shared" ref="F451:F514" si="7">D451*E451</f>
        <v>22040.030769230772</v>
      </c>
    </row>
    <row r="452" spans="1:6" x14ac:dyDescent="0.2">
      <c r="A452">
        <v>825</v>
      </c>
      <c r="B452" t="s">
        <v>197</v>
      </c>
      <c r="C452" t="s">
        <v>117</v>
      </c>
      <c r="D452">
        <v>2</v>
      </c>
      <c r="E452">
        <v>7.4699999999999989E-2</v>
      </c>
      <c r="F452">
        <f t="shared" si="7"/>
        <v>0.14939999999999998</v>
      </c>
    </row>
    <row r="453" spans="1:6" x14ac:dyDescent="0.2">
      <c r="A453">
        <v>825</v>
      </c>
      <c r="B453" t="s">
        <v>198</v>
      </c>
      <c r="C453" t="s">
        <v>199</v>
      </c>
      <c r="D453">
        <v>1</v>
      </c>
      <c r="E453">
        <v>0.66373439999999995</v>
      </c>
      <c r="F453">
        <f t="shared" si="7"/>
        <v>0.66373439999999995</v>
      </c>
    </row>
    <row r="454" spans="1:6" x14ac:dyDescent="0.2">
      <c r="A454">
        <v>825</v>
      </c>
      <c r="B454" t="s">
        <v>200</v>
      </c>
      <c r="C454" t="s">
        <v>199</v>
      </c>
      <c r="D454">
        <v>5</v>
      </c>
      <c r="E454">
        <v>0.66373439999999995</v>
      </c>
      <c r="F454">
        <f t="shared" si="7"/>
        <v>3.3186719999999998</v>
      </c>
    </row>
    <row r="455" spans="1:6" x14ac:dyDescent="0.2">
      <c r="A455">
        <v>825</v>
      </c>
      <c r="B455" t="s">
        <v>201</v>
      </c>
      <c r="C455" t="s">
        <v>76</v>
      </c>
      <c r="D455">
        <v>1</v>
      </c>
      <c r="E455">
        <v>0.22645055999999994</v>
      </c>
      <c r="F455">
        <f t="shared" si="7"/>
        <v>0.22645055999999994</v>
      </c>
    </row>
    <row r="456" spans="1:6" x14ac:dyDescent="0.2">
      <c r="A456">
        <v>825</v>
      </c>
      <c r="B456" t="s">
        <v>202</v>
      </c>
      <c r="C456" t="s">
        <v>203</v>
      </c>
      <c r="D456">
        <v>1</v>
      </c>
      <c r="E456">
        <v>12.45</v>
      </c>
      <c r="F456">
        <f t="shared" si="7"/>
        <v>12.45</v>
      </c>
    </row>
    <row r="457" spans="1:6" x14ac:dyDescent="0.2">
      <c r="A457">
        <v>825</v>
      </c>
      <c r="B457" t="s">
        <v>204</v>
      </c>
      <c r="C457" t="s">
        <v>205</v>
      </c>
      <c r="D457">
        <v>1</v>
      </c>
      <c r="E457">
        <v>103.72216512</v>
      </c>
      <c r="F457">
        <f t="shared" si="7"/>
        <v>103.72216512</v>
      </c>
    </row>
    <row r="458" spans="1:6" x14ac:dyDescent="0.2">
      <c r="A458">
        <v>825</v>
      </c>
      <c r="B458" t="s">
        <v>116</v>
      </c>
      <c r="C458" t="s">
        <v>117</v>
      </c>
      <c r="D458">
        <v>5</v>
      </c>
      <c r="E458">
        <v>0.25729999999999997</v>
      </c>
      <c r="F458">
        <f t="shared" si="7"/>
        <v>1.2864999999999998</v>
      </c>
    </row>
    <row r="459" spans="1:6" x14ac:dyDescent="0.2">
      <c r="A459">
        <v>825</v>
      </c>
      <c r="B459" t="s">
        <v>78</v>
      </c>
      <c r="C459" t="s">
        <v>76</v>
      </c>
      <c r="D459">
        <v>5</v>
      </c>
      <c r="E459">
        <v>0.71839487999999996</v>
      </c>
      <c r="F459">
        <f t="shared" si="7"/>
        <v>3.5919743999999998</v>
      </c>
    </row>
    <row r="460" spans="1:6" x14ac:dyDescent="0.2">
      <c r="A460">
        <v>825</v>
      </c>
      <c r="B460" t="s">
        <v>207</v>
      </c>
      <c r="C460" t="s">
        <v>208</v>
      </c>
      <c r="D460">
        <v>1</v>
      </c>
      <c r="E460">
        <v>4.6314000000000002</v>
      </c>
      <c r="F460">
        <f t="shared" si="7"/>
        <v>4.6314000000000002</v>
      </c>
    </row>
    <row r="461" spans="1:6" x14ac:dyDescent="0.2">
      <c r="A461">
        <v>825</v>
      </c>
      <c r="B461" t="s">
        <v>209</v>
      </c>
      <c r="C461" t="s">
        <v>210</v>
      </c>
      <c r="D461">
        <v>1</v>
      </c>
      <c r="E461">
        <v>39.550761599999994</v>
      </c>
      <c r="F461">
        <f t="shared" si="7"/>
        <v>39.550761599999994</v>
      </c>
    </row>
    <row r="462" spans="1:6" x14ac:dyDescent="0.2">
      <c r="A462">
        <v>825</v>
      </c>
      <c r="B462" t="s">
        <v>211</v>
      </c>
      <c r="C462" t="s">
        <v>203</v>
      </c>
      <c r="D462">
        <v>4</v>
      </c>
      <c r="E462">
        <v>25.754899999999999</v>
      </c>
      <c r="F462">
        <f t="shared" si="7"/>
        <v>103.0196</v>
      </c>
    </row>
    <row r="463" spans="1:6" x14ac:dyDescent="0.2">
      <c r="A463">
        <v>825</v>
      </c>
      <c r="B463" t="s">
        <v>212</v>
      </c>
      <c r="C463" t="s">
        <v>213</v>
      </c>
      <c r="D463">
        <v>3</v>
      </c>
      <c r="E463">
        <v>272.92059999999998</v>
      </c>
      <c r="F463">
        <f t="shared" si="7"/>
        <v>818.76179999999999</v>
      </c>
    </row>
    <row r="464" spans="1:6" x14ac:dyDescent="0.2">
      <c r="A464">
        <v>825</v>
      </c>
      <c r="B464" t="s">
        <v>149</v>
      </c>
      <c r="C464" t="s">
        <v>150</v>
      </c>
      <c r="D464">
        <v>1</v>
      </c>
      <c r="E464">
        <v>0.7054999999999999</v>
      </c>
      <c r="F464">
        <f t="shared" si="7"/>
        <v>0.7054999999999999</v>
      </c>
    </row>
    <row r="465" spans="1:6" x14ac:dyDescent="0.2">
      <c r="A465">
        <v>825</v>
      </c>
      <c r="B465" t="s">
        <v>151</v>
      </c>
      <c r="C465" t="s">
        <v>152</v>
      </c>
      <c r="D465">
        <v>3</v>
      </c>
      <c r="E465">
        <v>5.6190999999999995</v>
      </c>
      <c r="F465">
        <f t="shared" si="7"/>
        <v>16.857299999999999</v>
      </c>
    </row>
    <row r="466" spans="1:6" x14ac:dyDescent="0.2">
      <c r="A466">
        <v>825</v>
      </c>
      <c r="B466" t="s">
        <v>153</v>
      </c>
      <c r="C466" t="s">
        <v>119</v>
      </c>
      <c r="D466">
        <v>2</v>
      </c>
      <c r="E466">
        <v>1.11663552</v>
      </c>
      <c r="F466">
        <f t="shared" si="7"/>
        <v>2.23327104</v>
      </c>
    </row>
    <row r="467" spans="1:6" x14ac:dyDescent="0.2">
      <c r="A467">
        <v>825</v>
      </c>
      <c r="B467" t="s">
        <v>154</v>
      </c>
      <c r="C467" t="s">
        <v>117</v>
      </c>
      <c r="D467">
        <v>4</v>
      </c>
      <c r="E467">
        <v>4.3657999999999992</v>
      </c>
      <c r="F467">
        <f t="shared" si="7"/>
        <v>17.463199999999997</v>
      </c>
    </row>
    <row r="468" spans="1:6" x14ac:dyDescent="0.2">
      <c r="A468">
        <v>825</v>
      </c>
      <c r="B468" t="s">
        <v>155</v>
      </c>
      <c r="C468" t="s">
        <v>156</v>
      </c>
      <c r="D468">
        <v>1</v>
      </c>
      <c r="E468">
        <v>28.551999999999996</v>
      </c>
      <c r="F468">
        <f t="shared" si="7"/>
        <v>28.551999999999996</v>
      </c>
    </row>
    <row r="469" spans="1:6" x14ac:dyDescent="0.2">
      <c r="A469">
        <v>825</v>
      </c>
      <c r="B469" t="s">
        <v>157</v>
      </c>
      <c r="C469" t="s">
        <v>158</v>
      </c>
      <c r="D469">
        <v>118</v>
      </c>
      <c r="E469">
        <v>29.456700000000001</v>
      </c>
      <c r="F469">
        <f t="shared" si="7"/>
        <v>3475.8906000000002</v>
      </c>
    </row>
    <row r="470" spans="1:6" x14ac:dyDescent="0.2">
      <c r="A470">
        <v>825</v>
      </c>
      <c r="B470" t="s">
        <v>159</v>
      </c>
      <c r="C470" t="s">
        <v>117</v>
      </c>
      <c r="D470">
        <v>1</v>
      </c>
      <c r="E470">
        <v>11.976899999999999</v>
      </c>
      <c r="F470">
        <f t="shared" si="7"/>
        <v>11.976899999999999</v>
      </c>
    </row>
    <row r="471" spans="1:6" x14ac:dyDescent="0.2">
      <c r="A471">
        <v>825</v>
      </c>
      <c r="B471" t="s">
        <v>116</v>
      </c>
      <c r="C471" t="s">
        <v>117</v>
      </c>
      <c r="D471">
        <v>1</v>
      </c>
      <c r="E471">
        <v>0.25729999999999997</v>
      </c>
      <c r="F471">
        <f t="shared" si="7"/>
        <v>0.25729999999999997</v>
      </c>
    </row>
    <row r="472" spans="1:6" x14ac:dyDescent="0.2">
      <c r="A472">
        <v>825</v>
      </c>
      <c r="B472" t="s">
        <v>160</v>
      </c>
      <c r="C472" t="s">
        <v>161</v>
      </c>
      <c r="D472">
        <v>3</v>
      </c>
      <c r="E472">
        <v>15.9194</v>
      </c>
      <c r="F472">
        <f t="shared" si="7"/>
        <v>47.758200000000002</v>
      </c>
    </row>
    <row r="473" spans="1:6" x14ac:dyDescent="0.2">
      <c r="A473">
        <v>825</v>
      </c>
      <c r="B473" t="s">
        <v>162</v>
      </c>
      <c r="C473" t="s">
        <v>163</v>
      </c>
      <c r="D473">
        <v>1</v>
      </c>
      <c r="E473">
        <v>62.822699999999998</v>
      </c>
      <c r="F473">
        <f t="shared" si="7"/>
        <v>62.822699999999998</v>
      </c>
    </row>
    <row r="474" spans="1:6" x14ac:dyDescent="0.2">
      <c r="A474">
        <v>825</v>
      </c>
      <c r="B474" t="s">
        <v>164</v>
      </c>
      <c r="C474" t="s">
        <v>165</v>
      </c>
      <c r="D474">
        <v>2</v>
      </c>
      <c r="E474">
        <v>29.381999999999998</v>
      </c>
      <c r="F474">
        <f t="shared" si="7"/>
        <v>58.763999999999996</v>
      </c>
    </row>
    <row r="475" spans="1:6" x14ac:dyDescent="0.2">
      <c r="A475">
        <v>825</v>
      </c>
      <c r="B475" t="s">
        <v>166</v>
      </c>
      <c r="C475" t="s">
        <v>76</v>
      </c>
      <c r="D475">
        <v>3</v>
      </c>
      <c r="E475">
        <v>0.97109999999999985</v>
      </c>
      <c r="F475">
        <f t="shared" si="7"/>
        <v>2.9132999999999996</v>
      </c>
    </row>
    <row r="476" spans="1:6" x14ac:dyDescent="0.2">
      <c r="A476">
        <v>825</v>
      </c>
      <c r="B476" t="s">
        <v>167</v>
      </c>
      <c r="C476" t="s">
        <v>168</v>
      </c>
      <c r="D476">
        <v>6</v>
      </c>
      <c r="E476">
        <v>68.201099999999997</v>
      </c>
      <c r="F476">
        <f t="shared" si="7"/>
        <v>409.20659999999998</v>
      </c>
    </row>
    <row r="477" spans="1:6" x14ac:dyDescent="0.2">
      <c r="A477">
        <v>825</v>
      </c>
      <c r="B477" t="s">
        <v>169</v>
      </c>
      <c r="C477" t="s">
        <v>119</v>
      </c>
      <c r="D477">
        <v>6</v>
      </c>
      <c r="E477">
        <v>26.078600000000002</v>
      </c>
      <c r="F477">
        <f t="shared" si="7"/>
        <v>156.47160000000002</v>
      </c>
    </row>
    <row r="478" spans="1:6" x14ac:dyDescent="0.2">
      <c r="A478">
        <v>825</v>
      </c>
      <c r="B478" t="s">
        <v>170</v>
      </c>
      <c r="C478" t="s">
        <v>171</v>
      </c>
      <c r="D478">
        <v>1</v>
      </c>
      <c r="E478">
        <v>15.438000000000001</v>
      </c>
      <c r="F478">
        <f t="shared" si="7"/>
        <v>15.438000000000001</v>
      </c>
    </row>
    <row r="479" spans="1:6" x14ac:dyDescent="0.2">
      <c r="A479">
        <v>825</v>
      </c>
      <c r="B479" t="s">
        <v>172</v>
      </c>
      <c r="C479" t="s">
        <v>173</v>
      </c>
      <c r="D479">
        <v>3</v>
      </c>
      <c r="E479">
        <v>158.41380000000001</v>
      </c>
      <c r="F479">
        <f t="shared" si="7"/>
        <v>475.2414</v>
      </c>
    </row>
    <row r="480" spans="1:6" x14ac:dyDescent="0.2">
      <c r="A480">
        <v>825</v>
      </c>
      <c r="B480" t="s">
        <v>174</v>
      </c>
      <c r="C480" t="s">
        <v>119</v>
      </c>
      <c r="D480">
        <v>1</v>
      </c>
      <c r="E480">
        <v>1.2616000000000001</v>
      </c>
      <c r="F480">
        <f t="shared" si="7"/>
        <v>1.2616000000000001</v>
      </c>
    </row>
    <row r="481" spans="1:6" x14ac:dyDescent="0.2">
      <c r="A481">
        <v>825</v>
      </c>
      <c r="B481" t="s">
        <v>175</v>
      </c>
      <c r="C481" t="s">
        <v>176</v>
      </c>
      <c r="D481">
        <v>1</v>
      </c>
      <c r="E481">
        <v>194.7595</v>
      </c>
      <c r="F481">
        <f t="shared" si="7"/>
        <v>194.7595</v>
      </c>
    </row>
    <row r="482" spans="1:6" x14ac:dyDescent="0.2">
      <c r="A482">
        <v>825</v>
      </c>
      <c r="B482" t="s">
        <v>177</v>
      </c>
      <c r="C482" t="s">
        <v>178</v>
      </c>
      <c r="D482">
        <v>3</v>
      </c>
      <c r="E482">
        <v>1660.6244256000002</v>
      </c>
      <c r="F482">
        <f t="shared" si="7"/>
        <v>4981.8732768000009</v>
      </c>
    </row>
    <row r="483" spans="1:6" x14ac:dyDescent="0.2">
      <c r="A483">
        <v>825</v>
      </c>
      <c r="B483" t="s">
        <v>179</v>
      </c>
      <c r="C483" t="s">
        <v>119</v>
      </c>
      <c r="D483">
        <v>2</v>
      </c>
      <c r="E483">
        <v>32.444700000000005</v>
      </c>
      <c r="F483">
        <f t="shared" si="7"/>
        <v>64.889400000000009</v>
      </c>
    </row>
    <row r="484" spans="1:6" x14ac:dyDescent="0.2">
      <c r="A484">
        <v>825</v>
      </c>
      <c r="B484" t="s">
        <v>180</v>
      </c>
      <c r="C484" t="s">
        <v>181</v>
      </c>
      <c r="D484">
        <v>1</v>
      </c>
      <c r="E484">
        <v>64.117499999999993</v>
      </c>
      <c r="F484">
        <f t="shared" si="7"/>
        <v>64.117499999999993</v>
      </c>
    </row>
    <row r="485" spans="1:6" x14ac:dyDescent="0.2">
      <c r="A485">
        <v>825</v>
      </c>
      <c r="B485" t="s">
        <v>182</v>
      </c>
      <c r="C485" t="s">
        <v>158</v>
      </c>
      <c r="D485">
        <v>5</v>
      </c>
      <c r="E485">
        <v>80.788189439999996</v>
      </c>
      <c r="F485">
        <f t="shared" si="7"/>
        <v>403.94094719999998</v>
      </c>
    </row>
    <row r="486" spans="1:6" x14ac:dyDescent="0.2">
      <c r="A486">
        <v>825</v>
      </c>
      <c r="B486" t="s">
        <v>183</v>
      </c>
      <c r="C486" t="s">
        <v>184</v>
      </c>
      <c r="D486">
        <v>1</v>
      </c>
      <c r="E486">
        <v>548.61538461538476</v>
      </c>
      <c r="F486">
        <f t="shared" si="7"/>
        <v>548.61538461538476</v>
      </c>
    </row>
    <row r="487" spans="1:6" x14ac:dyDescent="0.2">
      <c r="A487">
        <v>825</v>
      </c>
      <c r="B487" t="s">
        <v>185</v>
      </c>
      <c r="C487" t="s">
        <v>186</v>
      </c>
      <c r="D487">
        <v>3</v>
      </c>
      <c r="E487">
        <v>278.05</v>
      </c>
      <c r="F487">
        <f t="shared" si="7"/>
        <v>834.15000000000009</v>
      </c>
    </row>
    <row r="488" spans="1:6" x14ac:dyDescent="0.2">
      <c r="A488">
        <v>825</v>
      </c>
      <c r="B488" t="s">
        <v>187</v>
      </c>
      <c r="C488" t="s">
        <v>188</v>
      </c>
      <c r="D488">
        <v>6</v>
      </c>
      <c r="E488">
        <v>105.03649999999999</v>
      </c>
      <c r="F488">
        <f t="shared" si="7"/>
        <v>630.21899999999994</v>
      </c>
    </row>
    <row r="489" spans="1:6" x14ac:dyDescent="0.2">
      <c r="A489">
        <v>825</v>
      </c>
      <c r="B489" t="s">
        <v>189</v>
      </c>
      <c r="C489" t="s">
        <v>163</v>
      </c>
      <c r="D489">
        <v>6</v>
      </c>
      <c r="E489">
        <v>154.25968320000001</v>
      </c>
      <c r="F489">
        <f t="shared" si="7"/>
        <v>925.55809920000002</v>
      </c>
    </row>
    <row r="490" spans="1:6" x14ac:dyDescent="0.2">
      <c r="A490">
        <v>825</v>
      </c>
      <c r="B490" t="s">
        <v>190</v>
      </c>
      <c r="C490" t="s">
        <v>191</v>
      </c>
      <c r="D490">
        <v>1</v>
      </c>
      <c r="E490">
        <v>1397.886</v>
      </c>
      <c r="F490">
        <f t="shared" si="7"/>
        <v>1397.886</v>
      </c>
    </row>
    <row r="491" spans="1:6" x14ac:dyDescent="0.2">
      <c r="A491">
        <v>825</v>
      </c>
      <c r="B491" t="s">
        <v>192</v>
      </c>
      <c r="C491" t="s">
        <v>193</v>
      </c>
      <c r="D491">
        <v>3</v>
      </c>
      <c r="E491">
        <v>843.03639167999984</v>
      </c>
      <c r="F491">
        <f t="shared" si="7"/>
        <v>2529.1091750399996</v>
      </c>
    </row>
    <row r="492" spans="1:6" x14ac:dyDescent="0.2">
      <c r="A492">
        <v>825</v>
      </c>
      <c r="B492" t="s">
        <v>194</v>
      </c>
      <c r="C492" t="s">
        <v>193</v>
      </c>
      <c r="D492">
        <v>1</v>
      </c>
      <c r="E492">
        <v>868.20489999999995</v>
      </c>
      <c r="F492">
        <f t="shared" si="7"/>
        <v>868.20489999999995</v>
      </c>
    </row>
    <row r="493" spans="1:6" x14ac:dyDescent="0.2">
      <c r="A493">
        <v>825</v>
      </c>
      <c r="B493" t="s">
        <v>195</v>
      </c>
      <c r="C493" t="s">
        <v>117</v>
      </c>
      <c r="D493">
        <v>1</v>
      </c>
      <c r="E493">
        <v>1.0374999999999999</v>
      </c>
      <c r="F493">
        <f t="shared" si="7"/>
        <v>1.0374999999999999</v>
      </c>
    </row>
    <row r="494" spans="1:6" x14ac:dyDescent="0.2">
      <c r="A494">
        <v>825</v>
      </c>
      <c r="B494" t="s">
        <v>135</v>
      </c>
      <c r="C494" t="s">
        <v>136</v>
      </c>
      <c r="D494">
        <v>3</v>
      </c>
      <c r="E494">
        <v>395.04690624</v>
      </c>
      <c r="F494">
        <f t="shared" si="7"/>
        <v>1185.14071872</v>
      </c>
    </row>
    <row r="495" spans="1:6" x14ac:dyDescent="0.2">
      <c r="A495">
        <v>825</v>
      </c>
      <c r="B495" t="s">
        <v>137</v>
      </c>
      <c r="C495" t="s">
        <v>138</v>
      </c>
      <c r="D495">
        <v>2</v>
      </c>
      <c r="E495">
        <v>252.98431871999998</v>
      </c>
      <c r="F495">
        <f t="shared" si="7"/>
        <v>505.96863743999995</v>
      </c>
    </row>
    <row r="496" spans="1:6" x14ac:dyDescent="0.2">
      <c r="A496">
        <v>825</v>
      </c>
      <c r="B496" t="s">
        <v>139</v>
      </c>
      <c r="C496" t="s">
        <v>140</v>
      </c>
      <c r="D496">
        <v>1</v>
      </c>
      <c r="E496">
        <v>2054.4575</v>
      </c>
      <c r="F496">
        <f t="shared" si="7"/>
        <v>2054.4575</v>
      </c>
    </row>
    <row r="497" spans="1:6" x14ac:dyDescent="0.2">
      <c r="A497">
        <v>825</v>
      </c>
      <c r="B497" t="s">
        <v>116</v>
      </c>
      <c r="C497" t="s">
        <v>117</v>
      </c>
      <c r="D497">
        <v>5</v>
      </c>
      <c r="E497">
        <v>0.25729999999999997</v>
      </c>
      <c r="F497">
        <f t="shared" si="7"/>
        <v>1.2864999999999998</v>
      </c>
    </row>
    <row r="498" spans="1:6" x14ac:dyDescent="0.2">
      <c r="A498">
        <v>825</v>
      </c>
      <c r="B498" t="s">
        <v>118</v>
      </c>
      <c r="C498" t="s">
        <v>119</v>
      </c>
      <c r="D498">
        <v>1</v>
      </c>
      <c r="E498">
        <v>0.83</v>
      </c>
      <c r="F498">
        <f t="shared" si="7"/>
        <v>0.83</v>
      </c>
    </row>
    <row r="499" spans="1:6" x14ac:dyDescent="0.2">
      <c r="A499">
        <v>825</v>
      </c>
      <c r="B499" t="s">
        <v>120</v>
      </c>
      <c r="C499" t="s">
        <v>117</v>
      </c>
      <c r="D499">
        <v>1</v>
      </c>
      <c r="E499">
        <v>1.5603999999999998</v>
      </c>
      <c r="F499">
        <f t="shared" si="7"/>
        <v>1.5603999999999998</v>
      </c>
    </row>
    <row r="500" spans="1:6" x14ac:dyDescent="0.2">
      <c r="A500">
        <v>825</v>
      </c>
      <c r="B500" t="s">
        <v>121</v>
      </c>
      <c r="C500" t="s">
        <v>117</v>
      </c>
      <c r="D500">
        <v>1</v>
      </c>
      <c r="E500">
        <v>270.83729999999997</v>
      </c>
      <c r="F500">
        <f t="shared" si="7"/>
        <v>270.83729999999997</v>
      </c>
    </row>
    <row r="501" spans="1:6" x14ac:dyDescent="0.2">
      <c r="A501">
        <v>825</v>
      </c>
      <c r="B501" t="s">
        <v>122</v>
      </c>
      <c r="C501" t="s">
        <v>76</v>
      </c>
      <c r="D501">
        <v>5</v>
      </c>
      <c r="E501">
        <v>14.915099999999999</v>
      </c>
      <c r="F501">
        <f t="shared" si="7"/>
        <v>74.575499999999991</v>
      </c>
    </row>
    <row r="502" spans="1:6" x14ac:dyDescent="0.2">
      <c r="A502">
        <v>825</v>
      </c>
      <c r="B502" t="s">
        <v>123</v>
      </c>
      <c r="C502" t="s">
        <v>119</v>
      </c>
      <c r="D502">
        <v>5</v>
      </c>
      <c r="E502">
        <v>122.52459999999999</v>
      </c>
      <c r="F502">
        <f t="shared" si="7"/>
        <v>612.62299999999993</v>
      </c>
    </row>
    <row r="503" spans="1:6" x14ac:dyDescent="0.2">
      <c r="A503">
        <v>825</v>
      </c>
      <c r="B503" t="s">
        <v>124</v>
      </c>
      <c r="C503" t="s">
        <v>119</v>
      </c>
      <c r="D503">
        <v>1</v>
      </c>
      <c r="E503">
        <v>65.877099999999999</v>
      </c>
      <c r="F503">
        <f t="shared" si="7"/>
        <v>65.877099999999999</v>
      </c>
    </row>
    <row r="504" spans="1:6" x14ac:dyDescent="0.2">
      <c r="A504">
        <v>825</v>
      </c>
      <c r="B504" t="s">
        <v>125</v>
      </c>
      <c r="C504" t="s">
        <v>117</v>
      </c>
      <c r="D504">
        <v>1</v>
      </c>
      <c r="E504">
        <v>45.957099999999997</v>
      </c>
      <c r="F504">
        <f t="shared" si="7"/>
        <v>45.957099999999997</v>
      </c>
    </row>
    <row r="505" spans="1:6" x14ac:dyDescent="0.2">
      <c r="A505">
        <v>825</v>
      </c>
      <c r="B505" t="s">
        <v>126</v>
      </c>
      <c r="C505" t="s">
        <v>127</v>
      </c>
      <c r="D505">
        <v>4</v>
      </c>
      <c r="E505">
        <v>411.49739999999997</v>
      </c>
      <c r="F505">
        <f t="shared" si="7"/>
        <v>1645.9895999999999</v>
      </c>
    </row>
    <row r="506" spans="1:6" x14ac:dyDescent="0.2">
      <c r="A506">
        <v>825</v>
      </c>
      <c r="B506" t="s">
        <v>129</v>
      </c>
      <c r="C506" t="s">
        <v>130</v>
      </c>
      <c r="D506">
        <v>3</v>
      </c>
      <c r="E506">
        <v>6724.2781999999997</v>
      </c>
      <c r="F506">
        <f t="shared" si="7"/>
        <v>20172.834599999998</v>
      </c>
    </row>
    <row r="507" spans="1:6" x14ac:dyDescent="0.2">
      <c r="A507">
        <v>825</v>
      </c>
      <c r="B507" t="s">
        <v>132</v>
      </c>
      <c r="C507" t="s">
        <v>133</v>
      </c>
      <c r="D507">
        <v>1</v>
      </c>
      <c r="E507">
        <v>1168.0257999999999</v>
      </c>
      <c r="F507">
        <f t="shared" si="7"/>
        <v>1168.0257999999999</v>
      </c>
    </row>
    <row r="508" spans="1:6" x14ac:dyDescent="0.2">
      <c r="A508">
        <v>825</v>
      </c>
      <c r="B508" t="s">
        <v>110</v>
      </c>
      <c r="C508" t="s">
        <v>111</v>
      </c>
      <c r="D508">
        <v>3</v>
      </c>
      <c r="E508">
        <v>119.83539999999999</v>
      </c>
      <c r="F508">
        <f t="shared" si="7"/>
        <v>359.50619999999998</v>
      </c>
    </row>
    <row r="509" spans="1:6" x14ac:dyDescent="0.2">
      <c r="A509">
        <v>825</v>
      </c>
      <c r="B509" t="s">
        <v>112</v>
      </c>
      <c r="C509" t="s">
        <v>113</v>
      </c>
      <c r="D509">
        <v>2</v>
      </c>
      <c r="E509">
        <v>97.646153846153851</v>
      </c>
      <c r="F509">
        <f t="shared" si="7"/>
        <v>195.2923076923077</v>
      </c>
    </row>
    <row r="510" spans="1:6" x14ac:dyDescent="0.2">
      <c r="A510">
        <v>825</v>
      </c>
      <c r="B510" t="s">
        <v>110</v>
      </c>
      <c r="C510" t="s">
        <v>111</v>
      </c>
      <c r="D510">
        <v>4</v>
      </c>
      <c r="E510">
        <v>119.83539999999999</v>
      </c>
      <c r="F510">
        <f t="shared" si="7"/>
        <v>479.34159999999997</v>
      </c>
    </row>
    <row r="511" spans="1:6" x14ac:dyDescent="0.2">
      <c r="A511">
        <v>825</v>
      </c>
      <c r="B511" t="s">
        <v>112</v>
      </c>
      <c r="C511" t="s">
        <v>113</v>
      </c>
      <c r="D511">
        <v>1</v>
      </c>
      <c r="E511">
        <v>97.646153846153851</v>
      </c>
      <c r="F511">
        <f t="shared" si="7"/>
        <v>97.646153846153851</v>
      </c>
    </row>
    <row r="512" spans="1:6" x14ac:dyDescent="0.2">
      <c r="A512">
        <v>825</v>
      </c>
      <c r="B512" t="s">
        <v>97</v>
      </c>
      <c r="C512" t="s">
        <v>98</v>
      </c>
      <c r="D512">
        <v>118</v>
      </c>
      <c r="E512">
        <v>189.87909999999999</v>
      </c>
      <c r="F512">
        <f t="shared" si="7"/>
        <v>22405.733799999998</v>
      </c>
    </row>
    <row r="513" spans="1:6" x14ac:dyDescent="0.2">
      <c r="A513">
        <v>825</v>
      </c>
      <c r="B513" t="s">
        <v>99</v>
      </c>
      <c r="C513" t="s">
        <v>100</v>
      </c>
      <c r="D513">
        <v>1</v>
      </c>
      <c r="E513">
        <v>1287.1384615384613</v>
      </c>
      <c r="F513">
        <f t="shared" si="7"/>
        <v>1287.1384615384613</v>
      </c>
    </row>
    <row r="514" spans="1:6" x14ac:dyDescent="0.2">
      <c r="A514">
        <v>825</v>
      </c>
      <c r="B514" t="s">
        <v>101</v>
      </c>
      <c r="C514" t="s">
        <v>102</v>
      </c>
      <c r="D514">
        <v>1</v>
      </c>
      <c r="E514">
        <v>1363.0371551999999</v>
      </c>
      <c r="F514">
        <f t="shared" si="7"/>
        <v>1363.0371551999999</v>
      </c>
    </row>
    <row r="515" spans="1:6" x14ac:dyDescent="0.2">
      <c r="A515">
        <v>825</v>
      </c>
      <c r="B515" t="s">
        <v>103</v>
      </c>
      <c r="C515" t="s">
        <v>104</v>
      </c>
      <c r="D515">
        <v>3</v>
      </c>
      <c r="E515">
        <v>423.58219999999994</v>
      </c>
      <c r="F515">
        <f t="shared" ref="F515:F578" si="8">D515*E515</f>
        <v>1270.7465999999999</v>
      </c>
    </row>
    <row r="516" spans="1:6" x14ac:dyDescent="0.2">
      <c r="A516">
        <v>825</v>
      </c>
      <c r="B516" t="s">
        <v>105</v>
      </c>
      <c r="C516" t="s">
        <v>106</v>
      </c>
      <c r="D516">
        <v>1</v>
      </c>
      <c r="E516">
        <v>36.470199999999998</v>
      </c>
      <c r="F516">
        <f t="shared" si="8"/>
        <v>36.470199999999998</v>
      </c>
    </row>
    <row r="517" spans="1:6" x14ac:dyDescent="0.2">
      <c r="A517">
        <v>825</v>
      </c>
      <c r="B517" t="s">
        <v>107</v>
      </c>
      <c r="C517" t="s">
        <v>108</v>
      </c>
      <c r="D517">
        <v>2</v>
      </c>
      <c r="E517">
        <v>61.492307692307698</v>
      </c>
      <c r="F517">
        <f t="shared" si="8"/>
        <v>122.9846153846154</v>
      </c>
    </row>
    <row r="518" spans="1:6" x14ac:dyDescent="0.2">
      <c r="A518">
        <v>825</v>
      </c>
      <c r="B518" t="s">
        <v>62</v>
      </c>
      <c r="C518" t="s">
        <v>323</v>
      </c>
      <c r="D518">
        <v>3</v>
      </c>
      <c r="E518">
        <v>0.34859999999999997</v>
      </c>
      <c r="F518">
        <f t="shared" si="8"/>
        <v>1.0457999999999998</v>
      </c>
    </row>
    <row r="519" spans="1:6" x14ac:dyDescent="0.2">
      <c r="A519">
        <v>825</v>
      </c>
      <c r="B519" t="s">
        <v>324</v>
      </c>
      <c r="C519" t="s">
        <v>273</v>
      </c>
      <c r="D519">
        <v>6</v>
      </c>
      <c r="E519">
        <v>0.9544999999999999</v>
      </c>
      <c r="F519">
        <f t="shared" si="8"/>
        <v>5.7269999999999994</v>
      </c>
    </row>
    <row r="520" spans="1:6" x14ac:dyDescent="0.2">
      <c r="A520">
        <v>825</v>
      </c>
      <c r="B520" t="s">
        <v>325</v>
      </c>
      <c r="C520" t="s">
        <v>273</v>
      </c>
      <c r="D520">
        <v>6</v>
      </c>
      <c r="E520">
        <v>3.3692307692307697</v>
      </c>
      <c r="F520">
        <f t="shared" si="8"/>
        <v>20.215384615384618</v>
      </c>
    </row>
    <row r="521" spans="1:6" x14ac:dyDescent="0.2">
      <c r="A521">
        <v>825</v>
      </c>
      <c r="B521" t="s">
        <v>154</v>
      </c>
      <c r="C521" t="s">
        <v>278</v>
      </c>
      <c r="D521">
        <v>1</v>
      </c>
      <c r="E521">
        <v>4.3657999999999992</v>
      </c>
      <c r="F521">
        <f t="shared" si="8"/>
        <v>4.3657999999999992</v>
      </c>
    </row>
    <row r="522" spans="1:6" x14ac:dyDescent="0.2">
      <c r="A522">
        <v>825</v>
      </c>
      <c r="B522" t="s">
        <v>290</v>
      </c>
      <c r="C522" t="s">
        <v>278</v>
      </c>
      <c r="D522">
        <v>3</v>
      </c>
      <c r="E522">
        <v>43.751809919999999</v>
      </c>
      <c r="F522">
        <f t="shared" si="8"/>
        <v>131.25542976</v>
      </c>
    </row>
    <row r="523" spans="1:6" x14ac:dyDescent="0.2">
      <c r="A523">
        <v>825</v>
      </c>
      <c r="B523" t="s">
        <v>288</v>
      </c>
      <c r="C523" t="s">
        <v>289</v>
      </c>
      <c r="D523">
        <v>1</v>
      </c>
      <c r="E523">
        <v>7.3401215999999998</v>
      </c>
      <c r="F523">
        <f t="shared" si="8"/>
        <v>7.3401215999999998</v>
      </c>
    </row>
    <row r="524" spans="1:6" x14ac:dyDescent="0.2">
      <c r="A524">
        <v>825</v>
      </c>
      <c r="B524" t="s">
        <v>287</v>
      </c>
      <c r="C524" t="s">
        <v>273</v>
      </c>
      <c r="D524">
        <v>1</v>
      </c>
      <c r="E524">
        <v>100.66898687999999</v>
      </c>
      <c r="F524">
        <f t="shared" si="8"/>
        <v>100.66898687999999</v>
      </c>
    </row>
    <row r="525" spans="1:6" x14ac:dyDescent="0.2">
      <c r="A525">
        <v>825</v>
      </c>
      <c r="B525" t="s">
        <v>285</v>
      </c>
      <c r="C525" t="s">
        <v>286</v>
      </c>
      <c r="D525">
        <v>3</v>
      </c>
      <c r="E525">
        <v>58.189985279999981</v>
      </c>
      <c r="F525">
        <f t="shared" si="8"/>
        <v>174.56995583999995</v>
      </c>
    </row>
    <row r="526" spans="1:6" x14ac:dyDescent="0.2">
      <c r="A526">
        <v>825</v>
      </c>
      <c r="B526" t="s">
        <v>291</v>
      </c>
      <c r="C526" t="s">
        <v>278</v>
      </c>
      <c r="D526">
        <v>2</v>
      </c>
      <c r="E526">
        <v>24.136399999999998</v>
      </c>
      <c r="F526">
        <f t="shared" si="8"/>
        <v>48.272799999999997</v>
      </c>
    </row>
    <row r="527" spans="1:6" x14ac:dyDescent="0.2">
      <c r="A527">
        <v>825</v>
      </c>
      <c r="B527" t="s">
        <v>277</v>
      </c>
      <c r="C527" t="s">
        <v>278</v>
      </c>
      <c r="D527">
        <v>1</v>
      </c>
      <c r="E527">
        <v>41.026594559999999</v>
      </c>
      <c r="F527">
        <f t="shared" si="8"/>
        <v>41.026594559999999</v>
      </c>
    </row>
    <row r="528" spans="1:6" x14ac:dyDescent="0.2">
      <c r="A528">
        <v>825</v>
      </c>
      <c r="B528" t="s">
        <v>326</v>
      </c>
      <c r="C528" t="s">
        <v>278</v>
      </c>
      <c r="D528">
        <v>5</v>
      </c>
      <c r="E528">
        <v>3.97459776</v>
      </c>
      <c r="F528">
        <f t="shared" si="8"/>
        <v>19.872988800000002</v>
      </c>
    </row>
    <row r="529" spans="1:6" x14ac:dyDescent="0.2">
      <c r="A529">
        <v>825</v>
      </c>
      <c r="B529" t="s">
        <v>274</v>
      </c>
      <c r="C529" t="s">
        <v>273</v>
      </c>
      <c r="D529">
        <v>1</v>
      </c>
      <c r="E529">
        <v>149.23091903999997</v>
      </c>
      <c r="F529">
        <f t="shared" si="8"/>
        <v>149.23091903999997</v>
      </c>
    </row>
    <row r="530" spans="1:6" x14ac:dyDescent="0.2">
      <c r="A530">
        <v>825</v>
      </c>
      <c r="B530" t="s">
        <v>327</v>
      </c>
      <c r="C530" t="s">
        <v>309</v>
      </c>
      <c r="D530">
        <v>1</v>
      </c>
      <c r="E530">
        <v>1532.5236863999999</v>
      </c>
      <c r="F530">
        <f t="shared" si="8"/>
        <v>1532.5236863999999</v>
      </c>
    </row>
    <row r="531" spans="1:6" x14ac:dyDescent="0.2">
      <c r="A531">
        <v>825</v>
      </c>
      <c r="B531" t="s">
        <v>328</v>
      </c>
      <c r="C531" t="s">
        <v>329</v>
      </c>
      <c r="D531">
        <v>1</v>
      </c>
      <c r="E531">
        <v>155.62307692307695</v>
      </c>
      <c r="F531">
        <f t="shared" si="8"/>
        <v>155.62307692307695</v>
      </c>
    </row>
    <row r="532" spans="1:6" x14ac:dyDescent="0.2">
      <c r="A532">
        <v>825</v>
      </c>
      <c r="B532" t="s">
        <v>330</v>
      </c>
      <c r="C532" t="s">
        <v>331</v>
      </c>
      <c r="D532">
        <v>5</v>
      </c>
      <c r="E532">
        <v>710.44615384615395</v>
      </c>
      <c r="F532">
        <f t="shared" si="8"/>
        <v>3552.2307692307695</v>
      </c>
    </row>
    <row r="533" spans="1:6" x14ac:dyDescent="0.2">
      <c r="A533">
        <v>825</v>
      </c>
      <c r="B533" t="s">
        <v>332</v>
      </c>
      <c r="C533" t="s">
        <v>333</v>
      </c>
      <c r="D533">
        <v>5</v>
      </c>
      <c r="E533">
        <v>167.55384615384617</v>
      </c>
      <c r="F533">
        <f t="shared" si="8"/>
        <v>837.76923076923083</v>
      </c>
    </row>
    <row r="534" spans="1:6" x14ac:dyDescent="0.2">
      <c r="A534">
        <v>825</v>
      </c>
      <c r="B534" t="s">
        <v>272</v>
      </c>
      <c r="C534" t="s">
        <v>273</v>
      </c>
      <c r="D534">
        <v>1</v>
      </c>
      <c r="E534">
        <v>170.11122239999997</v>
      </c>
      <c r="F534">
        <f t="shared" si="8"/>
        <v>170.11122239999997</v>
      </c>
    </row>
    <row r="535" spans="1:6" x14ac:dyDescent="0.2">
      <c r="A535">
        <v>825</v>
      </c>
      <c r="B535" t="s">
        <v>275</v>
      </c>
      <c r="C535" t="s">
        <v>276</v>
      </c>
      <c r="D535">
        <v>1</v>
      </c>
      <c r="E535">
        <v>9.0814483199999998</v>
      </c>
      <c r="F535">
        <f t="shared" si="8"/>
        <v>9.0814483199999998</v>
      </c>
    </row>
    <row r="536" spans="1:6" x14ac:dyDescent="0.2">
      <c r="A536">
        <v>825</v>
      </c>
      <c r="B536" t="s">
        <v>334</v>
      </c>
      <c r="C536" t="s">
        <v>329</v>
      </c>
      <c r="D536">
        <v>4</v>
      </c>
      <c r="E536">
        <v>149.03076923076924</v>
      </c>
      <c r="F536">
        <f t="shared" si="8"/>
        <v>596.12307692307695</v>
      </c>
    </row>
    <row r="537" spans="1:6" x14ac:dyDescent="0.2">
      <c r="A537">
        <v>825</v>
      </c>
      <c r="B537" t="s">
        <v>335</v>
      </c>
      <c r="C537" t="s">
        <v>331</v>
      </c>
      <c r="D537">
        <v>3</v>
      </c>
      <c r="E537">
        <v>703.1</v>
      </c>
      <c r="F537">
        <f t="shared" si="8"/>
        <v>2109.3000000000002</v>
      </c>
    </row>
    <row r="538" spans="1:6" x14ac:dyDescent="0.2">
      <c r="A538">
        <v>825</v>
      </c>
      <c r="B538" t="s">
        <v>336</v>
      </c>
      <c r="C538" t="s">
        <v>333</v>
      </c>
      <c r="D538">
        <v>1</v>
      </c>
      <c r="E538">
        <v>288.42307692307691</v>
      </c>
      <c r="F538">
        <f t="shared" si="8"/>
        <v>288.42307692307691</v>
      </c>
    </row>
    <row r="539" spans="1:6" x14ac:dyDescent="0.2">
      <c r="A539">
        <v>825</v>
      </c>
      <c r="B539" t="s">
        <v>337</v>
      </c>
      <c r="C539" t="s">
        <v>297</v>
      </c>
      <c r="D539">
        <v>3</v>
      </c>
      <c r="E539">
        <v>11.761099999999999</v>
      </c>
      <c r="F539">
        <f t="shared" si="8"/>
        <v>35.283299999999997</v>
      </c>
    </row>
    <row r="540" spans="1:6" x14ac:dyDescent="0.2">
      <c r="A540">
        <v>825</v>
      </c>
      <c r="B540" t="s">
        <v>338</v>
      </c>
      <c r="C540" t="s">
        <v>297</v>
      </c>
      <c r="D540">
        <v>2</v>
      </c>
      <c r="E540">
        <v>11.712959999999999</v>
      </c>
      <c r="F540">
        <f t="shared" si="8"/>
        <v>23.425919999999998</v>
      </c>
    </row>
    <row r="541" spans="1:6" x14ac:dyDescent="0.2">
      <c r="A541">
        <v>825</v>
      </c>
      <c r="B541" t="s">
        <v>339</v>
      </c>
      <c r="C541" t="s">
        <v>297</v>
      </c>
      <c r="D541">
        <v>4</v>
      </c>
      <c r="E541">
        <v>20.279038079999996</v>
      </c>
      <c r="F541">
        <f t="shared" si="8"/>
        <v>81.116152319999983</v>
      </c>
    </row>
    <row r="542" spans="1:6" x14ac:dyDescent="0.2">
      <c r="A542">
        <v>825</v>
      </c>
      <c r="B542" t="s">
        <v>340</v>
      </c>
      <c r="C542" t="s">
        <v>309</v>
      </c>
      <c r="D542">
        <v>1</v>
      </c>
      <c r="E542">
        <v>1536.3343027199999</v>
      </c>
      <c r="F542">
        <f t="shared" si="8"/>
        <v>1536.3343027199999</v>
      </c>
    </row>
    <row r="543" spans="1:6" x14ac:dyDescent="0.2">
      <c r="A543">
        <v>825</v>
      </c>
      <c r="B543" t="s">
        <v>341</v>
      </c>
      <c r="C543" t="s">
        <v>342</v>
      </c>
      <c r="D543">
        <v>118</v>
      </c>
      <c r="E543">
        <v>307.22449999999998</v>
      </c>
      <c r="F543">
        <f t="shared" si="8"/>
        <v>36252.490999999995</v>
      </c>
    </row>
    <row r="544" spans="1:6" x14ac:dyDescent="0.2">
      <c r="A544">
        <v>825</v>
      </c>
      <c r="B544" t="s">
        <v>284</v>
      </c>
      <c r="C544" t="s">
        <v>273</v>
      </c>
      <c r="D544">
        <v>1</v>
      </c>
      <c r="E544">
        <v>15.547002240000001</v>
      </c>
      <c r="F544">
        <f t="shared" si="8"/>
        <v>15.547002240000001</v>
      </c>
    </row>
    <row r="545" spans="1:6" x14ac:dyDescent="0.2">
      <c r="A545">
        <v>825</v>
      </c>
      <c r="B545" t="s">
        <v>283</v>
      </c>
      <c r="C545" t="s">
        <v>278</v>
      </c>
      <c r="D545">
        <v>1</v>
      </c>
      <c r="E545">
        <v>101.76219647999997</v>
      </c>
      <c r="F545">
        <f t="shared" si="8"/>
        <v>101.76219647999997</v>
      </c>
    </row>
    <row r="546" spans="1:6" x14ac:dyDescent="0.2">
      <c r="A546">
        <v>825</v>
      </c>
      <c r="B546" t="s">
        <v>281</v>
      </c>
      <c r="C546" t="s">
        <v>282</v>
      </c>
      <c r="D546">
        <v>3</v>
      </c>
      <c r="E546">
        <v>43.369186559999996</v>
      </c>
      <c r="F546">
        <f t="shared" si="8"/>
        <v>130.10755967999998</v>
      </c>
    </row>
    <row r="547" spans="1:6" x14ac:dyDescent="0.2">
      <c r="A547">
        <v>825</v>
      </c>
      <c r="B547" t="s">
        <v>279</v>
      </c>
      <c r="C547" t="s">
        <v>280</v>
      </c>
      <c r="D547">
        <v>1</v>
      </c>
      <c r="E547">
        <v>36.786503039999999</v>
      </c>
      <c r="F547">
        <f t="shared" si="8"/>
        <v>36.786503039999999</v>
      </c>
    </row>
    <row r="548" spans="1:6" x14ac:dyDescent="0.2">
      <c r="A548">
        <v>825</v>
      </c>
      <c r="B548" t="s">
        <v>343</v>
      </c>
      <c r="C548" t="s">
        <v>282</v>
      </c>
      <c r="D548">
        <v>2</v>
      </c>
      <c r="E548">
        <v>16.807499999999997</v>
      </c>
      <c r="F548">
        <f t="shared" si="8"/>
        <v>33.614999999999995</v>
      </c>
    </row>
    <row r="549" spans="1:6" x14ac:dyDescent="0.2">
      <c r="A549">
        <v>825</v>
      </c>
      <c r="B549" t="s">
        <v>344</v>
      </c>
      <c r="C549" t="s">
        <v>282</v>
      </c>
      <c r="D549">
        <v>3</v>
      </c>
      <c r="E549">
        <v>12.767126399999999</v>
      </c>
      <c r="F549">
        <f t="shared" si="8"/>
        <v>38.3013792</v>
      </c>
    </row>
    <row r="550" spans="1:6" x14ac:dyDescent="0.2">
      <c r="A550">
        <v>825</v>
      </c>
      <c r="B550" t="s">
        <v>270</v>
      </c>
      <c r="C550" t="s">
        <v>271</v>
      </c>
      <c r="D550">
        <v>6</v>
      </c>
      <c r="E550">
        <v>3027.0973823999993</v>
      </c>
      <c r="F550">
        <f t="shared" si="8"/>
        <v>18162.584294399996</v>
      </c>
    </row>
    <row r="551" spans="1:6" x14ac:dyDescent="0.2">
      <c r="A551">
        <v>825</v>
      </c>
      <c r="B551" t="s">
        <v>272</v>
      </c>
      <c r="C551" t="s">
        <v>273</v>
      </c>
      <c r="D551">
        <v>6</v>
      </c>
      <c r="E551">
        <v>170.11122239999997</v>
      </c>
      <c r="F551">
        <f t="shared" si="8"/>
        <v>1020.6673343999998</v>
      </c>
    </row>
    <row r="552" spans="1:6" x14ac:dyDescent="0.2">
      <c r="A552">
        <v>825</v>
      </c>
      <c r="B552" t="s">
        <v>274</v>
      </c>
      <c r="C552" t="s">
        <v>273</v>
      </c>
      <c r="D552">
        <v>1</v>
      </c>
      <c r="E552">
        <v>149.23091903999997</v>
      </c>
      <c r="F552">
        <f t="shared" si="8"/>
        <v>149.23091903999997</v>
      </c>
    </row>
    <row r="553" spans="1:6" x14ac:dyDescent="0.2">
      <c r="A553">
        <v>825</v>
      </c>
      <c r="B553" t="s">
        <v>275</v>
      </c>
      <c r="C553" t="s">
        <v>276</v>
      </c>
      <c r="D553">
        <v>3</v>
      </c>
      <c r="E553">
        <v>9.0814483199999998</v>
      </c>
      <c r="F553">
        <f t="shared" si="8"/>
        <v>27.244344959999999</v>
      </c>
    </row>
    <row r="554" spans="1:6" x14ac:dyDescent="0.2">
      <c r="A554">
        <v>825</v>
      </c>
      <c r="B554" t="s">
        <v>277</v>
      </c>
      <c r="C554" t="s">
        <v>278</v>
      </c>
      <c r="D554">
        <v>1</v>
      </c>
      <c r="E554">
        <v>41.026594559999999</v>
      </c>
      <c r="F554">
        <f t="shared" si="8"/>
        <v>41.026594559999999</v>
      </c>
    </row>
    <row r="555" spans="1:6" x14ac:dyDescent="0.2">
      <c r="A555">
        <v>825</v>
      </c>
      <c r="B555" t="s">
        <v>279</v>
      </c>
      <c r="C555" t="s">
        <v>280</v>
      </c>
      <c r="D555">
        <v>1</v>
      </c>
      <c r="E555">
        <v>36.786503039999999</v>
      </c>
      <c r="F555">
        <f t="shared" si="8"/>
        <v>36.786503039999999</v>
      </c>
    </row>
    <row r="556" spans="1:6" x14ac:dyDescent="0.2">
      <c r="A556">
        <v>825</v>
      </c>
      <c r="B556" t="s">
        <v>281</v>
      </c>
      <c r="C556" t="s">
        <v>282</v>
      </c>
      <c r="D556">
        <v>3</v>
      </c>
      <c r="E556">
        <v>43.369186559999996</v>
      </c>
      <c r="F556">
        <f t="shared" si="8"/>
        <v>130.10755967999998</v>
      </c>
    </row>
    <row r="557" spans="1:6" x14ac:dyDescent="0.2">
      <c r="A557">
        <v>825</v>
      </c>
      <c r="B557" t="s">
        <v>283</v>
      </c>
      <c r="C557" t="s">
        <v>278</v>
      </c>
      <c r="D557">
        <v>2</v>
      </c>
      <c r="E557">
        <v>101.76219647999997</v>
      </c>
      <c r="F557">
        <f t="shared" si="8"/>
        <v>203.52439295999994</v>
      </c>
    </row>
    <row r="558" spans="1:6" x14ac:dyDescent="0.2">
      <c r="A558">
        <v>825</v>
      </c>
      <c r="B558" t="s">
        <v>284</v>
      </c>
      <c r="C558" t="s">
        <v>273</v>
      </c>
      <c r="D558">
        <v>1</v>
      </c>
      <c r="E558">
        <v>15.547002240000001</v>
      </c>
      <c r="F558">
        <f t="shared" si="8"/>
        <v>15.547002240000001</v>
      </c>
    </row>
    <row r="559" spans="1:6" x14ac:dyDescent="0.2">
      <c r="A559">
        <v>825</v>
      </c>
      <c r="B559" t="s">
        <v>285</v>
      </c>
      <c r="C559" t="s">
        <v>286</v>
      </c>
      <c r="D559">
        <v>5</v>
      </c>
      <c r="E559">
        <v>58.189985279999981</v>
      </c>
      <c r="F559">
        <f t="shared" si="8"/>
        <v>290.94992639999992</v>
      </c>
    </row>
    <row r="560" spans="1:6" x14ac:dyDescent="0.2">
      <c r="A560">
        <v>825</v>
      </c>
      <c r="B560" t="s">
        <v>287</v>
      </c>
      <c r="C560" t="s">
        <v>273</v>
      </c>
      <c r="D560">
        <v>1</v>
      </c>
      <c r="E560">
        <v>100.66898687999999</v>
      </c>
      <c r="F560">
        <f t="shared" si="8"/>
        <v>100.66898687999999</v>
      </c>
    </row>
    <row r="561" spans="1:6" x14ac:dyDescent="0.2">
      <c r="A561">
        <v>825</v>
      </c>
      <c r="B561" t="s">
        <v>288</v>
      </c>
      <c r="C561" t="s">
        <v>289</v>
      </c>
      <c r="D561">
        <v>3</v>
      </c>
      <c r="E561">
        <v>7.3401215999999998</v>
      </c>
      <c r="F561">
        <f t="shared" si="8"/>
        <v>22.020364799999999</v>
      </c>
    </row>
    <row r="562" spans="1:6" x14ac:dyDescent="0.2">
      <c r="A562">
        <v>825</v>
      </c>
      <c r="B562" t="s">
        <v>290</v>
      </c>
      <c r="C562" t="s">
        <v>278</v>
      </c>
      <c r="D562">
        <v>6</v>
      </c>
      <c r="E562">
        <v>43.751809919999999</v>
      </c>
      <c r="F562">
        <f t="shared" si="8"/>
        <v>262.51085952</v>
      </c>
    </row>
    <row r="563" spans="1:6" x14ac:dyDescent="0.2">
      <c r="A563">
        <v>825</v>
      </c>
      <c r="B563" t="s">
        <v>277</v>
      </c>
      <c r="C563" t="s">
        <v>278</v>
      </c>
      <c r="D563">
        <v>6</v>
      </c>
      <c r="E563">
        <v>41.026594559999999</v>
      </c>
      <c r="F563">
        <f t="shared" si="8"/>
        <v>246.15956735999998</v>
      </c>
    </row>
    <row r="564" spans="1:6" x14ac:dyDescent="0.2">
      <c r="A564">
        <v>825</v>
      </c>
      <c r="B564" t="s">
        <v>291</v>
      </c>
      <c r="C564" t="s">
        <v>278</v>
      </c>
      <c r="D564">
        <v>1</v>
      </c>
      <c r="E564">
        <v>24.136399999999998</v>
      </c>
      <c r="F564">
        <f t="shared" si="8"/>
        <v>24.136399999999998</v>
      </c>
    </row>
    <row r="565" spans="1:6" x14ac:dyDescent="0.2">
      <c r="A565">
        <v>825</v>
      </c>
      <c r="B565" t="s">
        <v>292</v>
      </c>
      <c r="C565" t="s">
        <v>293</v>
      </c>
      <c r="D565">
        <v>3</v>
      </c>
      <c r="E565">
        <v>96.852699999999999</v>
      </c>
      <c r="F565">
        <f t="shared" si="8"/>
        <v>290.55809999999997</v>
      </c>
    </row>
    <row r="566" spans="1:6" x14ac:dyDescent="0.2">
      <c r="A566">
        <v>825</v>
      </c>
      <c r="B566" t="s">
        <v>294</v>
      </c>
      <c r="C566" t="s">
        <v>278</v>
      </c>
      <c r="D566">
        <v>1</v>
      </c>
      <c r="E566">
        <v>26.221413119999998</v>
      </c>
      <c r="F566">
        <f t="shared" si="8"/>
        <v>26.221413119999998</v>
      </c>
    </row>
    <row r="567" spans="1:6" x14ac:dyDescent="0.2">
      <c r="A567">
        <v>825</v>
      </c>
      <c r="B567" t="s">
        <v>295</v>
      </c>
      <c r="C567" t="s">
        <v>273</v>
      </c>
      <c r="D567">
        <v>1</v>
      </c>
      <c r="E567">
        <v>54.886930560000003</v>
      </c>
      <c r="F567">
        <f t="shared" si="8"/>
        <v>54.886930560000003</v>
      </c>
    </row>
    <row r="568" spans="1:6" x14ac:dyDescent="0.2">
      <c r="A568">
        <v>825</v>
      </c>
      <c r="B568" t="s">
        <v>296</v>
      </c>
      <c r="C568" t="s">
        <v>297</v>
      </c>
      <c r="D568">
        <v>3</v>
      </c>
      <c r="E568">
        <v>5.5028999999999995</v>
      </c>
      <c r="F568">
        <f t="shared" si="8"/>
        <v>16.508699999999997</v>
      </c>
    </row>
    <row r="569" spans="1:6" x14ac:dyDescent="0.2">
      <c r="A569">
        <v>825</v>
      </c>
      <c r="B569" t="s">
        <v>298</v>
      </c>
      <c r="C569" t="s">
        <v>297</v>
      </c>
      <c r="D569">
        <v>2</v>
      </c>
      <c r="E569">
        <v>5.9344999999999999</v>
      </c>
      <c r="F569">
        <f t="shared" si="8"/>
        <v>11.869</v>
      </c>
    </row>
    <row r="570" spans="1:6" x14ac:dyDescent="0.2">
      <c r="A570">
        <v>825</v>
      </c>
      <c r="B570" t="s">
        <v>299</v>
      </c>
      <c r="C570" t="s">
        <v>297</v>
      </c>
      <c r="D570">
        <v>1</v>
      </c>
      <c r="E570">
        <v>4.3574999999999999</v>
      </c>
      <c r="F570">
        <f t="shared" si="8"/>
        <v>4.3574999999999999</v>
      </c>
    </row>
    <row r="571" spans="1:6" x14ac:dyDescent="0.2">
      <c r="A571">
        <v>825</v>
      </c>
      <c r="B571" t="s">
        <v>122</v>
      </c>
      <c r="C571" t="s">
        <v>276</v>
      </c>
      <c r="D571">
        <v>5</v>
      </c>
      <c r="E571">
        <v>14.915099999999999</v>
      </c>
      <c r="F571">
        <f t="shared" si="8"/>
        <v>74.575499999999991</v>
      </c>
    </row>
    <row r="572" spans="1:6" x14ac:dyDescent="0.2">
      <c r="A572">
        <v>825</v>
      </c>
      <c r="B572" t="s">
        <v>120</v>
      </c>
      <c r="C572" t="s">
        <v>278</v>
      </c>
      <c r="D572">
        <v>1</v>
      </c>
      <c r="E572">
        <v>1.5603999999999998</v>
      </c>
      <c r="F572">
        <f t="shared" si="8"/>
        <v>1.5603999999999998</v>
      </c>
    </row>
    <row r="573" spans="1:6" x14ac:dyDescent="0.2">
      <c r="A573">
        <v>825</v>
      </c>
      <c r="B573" t="s">
        <v>300</v>
      </c>
      <c r="C573" t="s">
        <v>273</v>
      </c>
      <c r="D573">
        <v>1</v>
      </c>
      <c r="E573">
        <v>60.589999999999996</v>
      </c>
      <c r="F573">
        <f t="shared" si="8"/>
        <v>60.589999999999996</v>
      </c>
    </row>
    <row r="574" spans="1:6" x14ac:dyDescent="0.2">
      <c r="A574">
        <v>825</v>
      </c>
      <c r="B574" t="s">
        <v>301</v>
      </c>
      <c r="C574" t="s">
        <v>302</v>
      </c>
      <c r="D574">
        <v>1</v>
      </c>
      <c r="E574">
        <v>104.88565247999999</v>
      </c>
      <c r="F574">
        <f t="shared" si="8"/>
        <v>104.88565247999999</v>
      </c>
    </row>
    <row r="575" spans="1:6" x14ac:dyDescent="0.2">
      <c r="A575">
        <v>825</v>
      </c>
      <c r="B575" t="s">
        <v>303</v>
      </c>
      <c r="C575" t="s">
        <v>304</v>
      </c>
      <c r="D575">
        <v>5</v>
      </c>
      <c r="E575">
        <v>683.94489999999996</v>
      </c>
      <c r="F575">
        <f t="shared" si="8"/>
        <v>3419.7244999999998</v>
      </c>
    </row>
    <row r="576" spans="1:6" x14ac:dyDescent="0.2">
      <c r="A576">
        <v>825</v>
      </c>
      <c r="B576" t="s">
        <v>305</v>
      </c>
      <c r="C576" t="s">
        <v>273</v>
      </c>
      <c r="D576">
        <v>5</v>
      </c>
      <c r="E576">
        <v>71.189099999999996</v>
      </c>
      <c r="F576">
        <f t="shared" si="8"/>
        <v>355.94549999999998</v>
      </c>
    </row>
    <row r="577" spans="1:6" x14ac:dyDescent="0.2">
      <c r="A577">
        <v>825</v>
      </c>
      <c r="B577" t="s">
        <v>294</v>
      </c>
      <c r="C577" t="s">
        <v>278</v>
      </c>
      <c r="D577">
        <v>1</v>
      </c>
      <c r="E577">
        <v>26.221413119999998</v>
      </c>
      <c r="F577">
        <f t="shared" si="8"/>
        <v>26.221413119999998</v>
      </c>
    </row>
    <row r="578" spans="1:6" x14ac:dyDescent="0.2">
      <c r="A578">
        <v>825</v>
      </c>
      <c r="B578" t="s">
        <v>306</v>
      </c>
      <c r="C578" t="s">
        <v>273</v>
      </c>
      <c r="D578">
        <v>1</v>
      </c>
      <c r="E578">
        <v>99.575777279999997</v>
      </c>
      <c r="F578">
        <f t="shared" si="8"/>
        <v>99.575777279999997</v>
      </c>
    </row>
    <row r="579" spans="1:6" x14ac:dyDescent="0.2">
      <c r="A579">
        <v>825</v>
      </c>
      <c r="B579" t="s">
        <v>294</v>
      </c>
      <c r="C579" t="s">
        <v>278</v>
      </c>
      <c r="D579">
        <v>4</v>
      </c>
      <c r="E579">
        <v>26.221413119999998</v>
      </c>
      <c r="F579">
        <f t="shared" ref="F579:F642" si="9">D579*E579</f>
        <v>104.88565247999999</v>
      </c>
    </row>
    <row r="580" spans="1:6" x14ac:dyDescent="0.2">
      <c r="A580">
        <v>825</v>
      </c>
      <c r="B580" t="s">
        <v>306</v>
      </c>
      <c r="C580" t="s">
        <v>273</v>
      </c>
      <c r="D580">
        <v>3</v>
      </c>
      <c r="E580">
        <v>99.575777279999997</v>
      </c>
      <c r="F580">
        <f t="shared" si="9"/>
        <v>298.72733183999998</v>
      </c>
    </row>
    <row r="581" spans="1:6" x14ac:dyDescent="0.2">
      <c r="A581">
        <v>825</v>
      </c>
      <c r="B581" t="s">
        <v>308</v>
      </c>
      <c r="C581" t="s">
        <v>309</v>
      </c>
      <c r="D581">
        <v>1</v>
      </c>
      <c r="E581">
        <v>167.62307692307692</v>
      </c>
      <c r="F581">
        <f t="shared" si="9"/>
        <v>167.62307692307692</v>
      </c>
    </row>
    <row r="582" spans="1:6" x14ac:dyDescent="0.2">
      <c r="A582">
        <v>825</v>
      </c>
      <c r="B582" t="s">
        <v>310</v>
      </c>
      <c r="C582" t="s">
        <v>273</v>
      </c>
      <c r="D582">
        <v>3</v>
      </c>
      <c r="E582">
        <v>0.33200000000000002</v>
      </c>
      <c r="F582">
        <f t="shared" si="9"/>
        <v>0.996</v>
      </c>
    </row>
    <row r="583" spans="1:6" x14ac:dyDescent="0.2">
      <c r="A583">
        <v>825</v>
      </c>
      <c r="B583" t="s">
        <v>197</v>
      </c>
      <c r="C583" t="s">
        <v>278</v>
      </c>
      <c r="D583">
        <v>2</v>
      </c>
      <c r="E583">
        <v>7.4699999999999989E-2</v>
      </c>
      <c r="F583">
        <f t="shared" si="9"/>
        <v>0.14939999999999998</v>
      </c>
    </row>
    <row r="584" spans="1:6" x14ac:dyDescent="0.2">
      <c r="A584">
        <v>825</v>
      </c>
      <c r="B584" t="s">
        <v>311</v>
      </c>
      <c r="C584" t="s">
        <v>273</v>
      </c>
      <c r="D584">
        <v>4</v>
      </c>
      <c r="E584">
        <v>1.5935999999999999</v>
      </c>
      <c r="F584">
        <f t="shared" si="9"/>
        <v>6.3743999999999996</v>
      </c>
    </row>
    <row r="585" spans="1:6" x14ac:dyDescent="0.2">
      <c r="A585">
        <v>825</v>
      </c>
      <c r="B585" t="s">
        <v>312</v>
      </c>
      <c r="C585" t="s">
        <v>278</v>
      </c>
      <c r="D585">
        <v>1</v>
      </c>
      <c r="E585">
        <v>21.040500000000002</v>
      </c>
      <c r="F585">
        <f t="shared" si="9"/>
        <v>21.040500000000002</v>
      </c>
    </row>
    <row r="586" spans="1:6" x14ac:dyDescent="0.2">
      <c r="A586">
        <v>825</v>
      </c>
      <c r="B586" t="s">
        <v>75</v>
      </c>
      <c r="C586" t="s">
        <v>313</v>
      </c>
      <c r="D586">
        <v>118</v>
      </c>
      <c r="E586">
        <v>0.1153846153846154</v>
      </c>
      <c r="F586">
        <f t="shared" si="9"/>
        <v>13.615384615384619</v>
      </c>
    </row>
    <row r="587" spans="1:6" x14ac:dyDescent="0.2">
      <c r="A587">
        <v>825</v>
      </c>
      <c r="B587" t="s">
        <v>314</v>
      </c>
      <c r="C587" t="s">
        <v>273</v>
      </c>
      <c r="D587">
        <v>1</v>
      </c>
      <c r="E587">
        <v>0.45650000000000002</v>
      </c>
      <c r="F587">
        <f t="shared" si="9"/>
        <v>0.45650000000000002</v>
      </c>
    </row>
    <row r="588" spans="1:6" x14ac:dyDescent="0.2">
      <c r="A588">
        <v>825</v>
      </c>
      <c r="B588" t="s">
        <v>314</v>
      </c>
      <c r="C588" t="s">
        <v>315</v>
      </c>
      <c r="D588">
        <v>1</v>
      </c>
      <c r="E588">
        <v>0.45650000000000002</v>
      </c>
      <c r="F588">
        <f t="shared" si="9"/>
        <v>0.45650000000000002</v>
      </c>
    </row>
    <row r="589" spans="1:6" x14ac:dyDescent="0.2">
      <c r="A589">
        <v>825</v>
      </c>
      <c r="B589" t="s">
        <v>316</v>
      </c>
      <c r="C589" t="s">
        <v>317</v>
      </c>
      <c r="D589">
        <v>3</v>
      </c>
      <c r="E589">
        <v>92.206615384615375</v>
      </c>
      <c r="F589">
        <f t="shared" si="9"/>
        <v>276.61984615384614</v>
      </c>
    </row>
    <row r="590" spans="1:6" x14ac:dyDescent="0.2">
      <c r="A590">
        <v>825</v>
      </c>
      <c r="B590" t="s">
        <v>318</v>
      </c>
      <c r="C590" t="s">
        <v>319</v>
      </c>
      <c r="D590">
        <v>1</v>
      </c>
      <c r="E590">
        <v>85.453846153846172</v>
      </c>
      <c r="F590">
        <f t="shared" si="9"/>
        <v>85.453846153846172</v>
      </c>
    </row>
    <row r="591" spans="1:6" x14ac:dyDescent="0.2">
      <c r="A591">
        <v>825</v>
      </c>
      <c r="B591" t="s">
        <v>320</v>
      </c>
      <c r="C591" t="s">
        <v>321</v>
      </c>
      <c r="D591">
        <v>2</v>
      </c>
      <c r="E591">
        <v>92.206615384615375</v>
      </c>
      <c r="F591">
        <f t="shared" si="9"/>
        <v>184.41323076923075</v>
      </c>
    </row>
    <row r="592" spans="1:6" x14ac:dyDescent="0.2">
      <c r="A592">
        <v>825</v>
      </c>
      <c r="B592" t="s">
        <v>267</v>
      </c>
      <c r="C592" t="s">
        <v>268</v>
      </c>
      <c r="D592">
        <v>3</v>
      </c>
      <c r="E592">
        <v>84863.132923076919</v>
      </c>
      <c r="F592">
        <f t="shared" si="9"/>
        <v>254589.39876923076</v>
      </c>
    </row>
    <row r="593" spans="1:6" x14ac:dyDescent="0.2">
      <c r="A593">
        <v>825</v>
      </c>
      <c r="B593" t="s">
        <v>260</v>
      </c>
      <c r="C593" t="s">
        <v>261</v>
      </c>
      <c r="D593">
        <v>6</v>
      </c>
      <c r="E593">
        <v>2908.2944615384613</v>
      </c>
      <c r="F593">
        <f t="shared" si="9"/>
        <v>17449.766769230766</v>
      </c>
    </row>
    <row r="594" spans="1:6" x14ac:dyDescent="0.2">
      <c r="A594">
        <v>825</v>
      </c>
      <c r="B594" t="s">
        <v>262</v>
      </c>
      <c r="C594" t="s">
        <v>263</v>
      </c>
      <c r="D594">
        <v>6</v>
      </c>
      <c r="E594">
        <v>3207.1966153846147</v>
      </c>
      <c r="F594">
        <f t="shared" si="9"/>
        <v>19243.179692307687</v>
      </c>
    </row>
    <row r="595" spans="1:6" x14ac:dyDescent="0.2">
      <c r="A595">
        <v>825</v>
      </c>
      <c r="B595" t="s">
        <v>264</v>
      </c>
      <c r="C595" t="s">
        <v>265</v>
      </c>
      <c r="D595">
        <v>1</v>
      </c>
      <c r="E595">
        <v>3466.73123076923</v>
      </c>
      <c r="F595">
        <f t="shared" si="9"/>
        <v>3466.73123076923</v>
      </c>
    </row>
    <row r="596" spans="1:6" x14ac:dyDescent="0.2">
      <c r="A596">
        <v>825</v>
      </c>
      <c r="B596" t="s">
        <v>259</v>
      </c>
      <c r="C596" t="s">
        <v>258</v>
      </c>
      <c r="D596">
        <v>3</v>
      </c>
      <c r="E596">
        <v>3325.9759999999997</v>
      </c>
      <c r="F596">
        <f t="shared" si="9"/>
        <v>9977.9279999999999</v>
      </c>
    </row>
    <row r="597" spans="1:6" x14ac:dyDescent="0.2">
      <c r="A597">
        <v>825</v>
      </c>
      <c r="B597" t="s">
        <v>257</v>
      </c>
      <c r="C597" t="s">
        <v>258</v>
      </c>
      <c r="D597">
        <v>1</v>
      </c>
      <c r="E597">
        <v>3325.9759999999997</v>
      </c>
      <c r="F597">
        <f t="shared" si="9"/>
        <v>3325.9759999999997</v>
      </c>
    </row>
    <row r="598" spans="1:6" x14ac:dyDescent="0.2">
      <c r="A598">
        <v>825</v>
      </c>
      <c r="B598" t="s">
        <v>255</v>
      </c>
      <c r="C598" t="s">
        <v>256</v>
      </c>
      <c r="D598">
        <v>1</v>
      </c>
      <c r="E598">
        <v>18546.094615384613</v>
      </c>
      <c r="F598">
        <f t="shared" si="9"/>
        <v>18546.094615384613</v>
      </c>
    </row>
    <row r="599" spans="1:6" x14ac:dyDescent="0.2">
      <c r="A599">
        <v>825</v>
      </c>
      <c r="B599" t="s">
        <v>253</v>
      </c>
      <c r="C599" t="s">
        <v>254</v>
      </c>
      <c r="D599">
        <v>3</v>
      </c>
      <c r="E599">
        <v>21043.67953846154</v>
      </c>
      <c r="F599">
        <f t="shared" si="9"/>
        <v>63131.038615384619</v>
      </c>
    </row>
    <row r="600" spans="1:6" x14ac:dyDescent="0.2">
      <c r="A600">
        <v>825</v>
      </c>
      <c r="B600" t="s">
        <v>359</v>
      </c>
      <c r="C600" t="s">
        <v>360</v>
      </c>
      <c r="D600">
        <v>2</v>
      </c>
      <c r="E600">
        <v>1844.9384615384615</v>
      </c>
      <c r="F600">
        <f t="shared" si="9"/>
        <v>3689.876923076923</v>
      </c>
    </row>
    <row r="601" spans="1:6" x14ac:dyDescent="0.2">
      <c r="A601">
        <v>825</v>
      </c>
      <c r="B601" t="s">
        <v>389</v>
      </c>
      <c r="C601" t="s">
        <v>390</v>
      </c>
      <c r="D601">
        <v>1</v>
      </c>
      <c r="E601">
        <v>4906</v>
      </c>
      <c r="F601">
        <f t="shared" si="9"/>
        <v>4906</v>
      </c>
    </row>
    <row r="602" spans="1:6" x14ac:dyDescent="0.2">
      <c r="A602">
        <v>826</v>
      </c>
      <c r="B602" t="s">
        <v>62</v>
      </c>
      <c r="C602" t="s">
        <v>63</v>
      </c>
      <c r="D602">
        <v>5</v>
      </c>
      <c r="E602">
        <v>0.34860000000000002</v>
      </c>
      <c r="F602">
        <f t="shared" si="9"/>
        <v>1.7430000000000001</v>
      </c>
    </row>
    <row r="603" spans="1:6" x14ac:dyDescent="0.2">
      <c r="A603">
        <v>826</v>
      </c>
      <c r="B603" t="s">
        <v>64</v>
      </c>
      <c r="C603" t="s">
        <v>65</v>
      </c>
      <c r="D603">
        <v>1</v>
      </c>
      <c r="E603">
        <v>803.07692307692309</v>
      </c>
      <c r="F603">
        <f t="shared" si="9"/>
        <v>803.07692307692309</v>
      </c>
    </row>
    <row r="604" spans="1:6" x14ac:dyDescent="0.2">
      <c r="A604">
        <v>826</v>
      </c>
      <c r="B604" t="s">
        <v>67</v>
      </c>
      <c r="C604" t="s">
        <v>68</v>
      </c>
      <c r="D604">
        <v>1</v>
      </c>
      <c r="E604">
        <v>49.678567679999993</v>
      </c>
      <c r="F604">
        <f t="shared" si="9"/>
        <v>49.678567679999993</v>
      </c>
    </row>
    <row r="605" spans="1:6" x14ac:dyDescent="0.2">
      <c r="A605">
        <v>826</v>
      </c>
      <c r="B605" t="s">
        <v>70</v>
      </c>
      <c r="C605" t="s">
        <v>71</v>
      </c>
      <c r="D605">
        <v>1</v>
      </c>
      <c r="E605">
        <v>407.98649999999998</v>
      </c>
      <c r="F605">
        <f t="shared" si="9"/>
        <v>407.98649999999998</v>
      </c>
    </row>
    <row r="606" spans="1:6" x14ac:dyDescent="0.2">
      <c r="A606">
        <v>826</v>
      </c>
      <c r="B606" t="s">
        <v>73</v>
      </c>
      <c r="C606" t="s">
        <v>74</v>
      </c>
      <c r="D606">
        <v>5</v>
      </c>
      <c r="E606">
        <v>0.57783935999999991</v>
      </c>
      <c r="F606">
        <f t="shared" si="9"/>
        <v>2.8891967999999997</v>
      </c>
    </row>
    <row r="607" spans="1:6" x14ac:dyDescent="0.2">
      <c r="A607">
        <v>826</v>
      </c>
      <c r="B607" t="s">
        <v>75</v>
      </c>
      <c r="C607" t="s">
        <v>76</v>
      </c>
      <c r="D607">
        <v>5</v>
      </c>
      <c r="E607">
        <v>0.1153846153846154</v>
      </c>
      <c r="F607">
        <f t="shared" si="9"/>
        <v>0.57692307692307698</v>
      </c>
    </row>
    <row r="608" spans="1:6" x14ac:dyDescent="0.2">
      <c r="A608">
        <v>826</v>
      </c>
      <c r="B608" t="s">
        <v>77</v>
      </c>
      <c r="C608" t="s">
        <v>74</v>
      </c>
      <c r="D608">
        <v>1</v>
      </c>
      <c r="E608">
        <v>1.3943999999999999</v>
      </c>
      <c r="F608">
        <f t="shared" si="9"/>
        <v>1.3943999999999999</v>
      </c>
    </row>
    <row r="609" spans="1:6" x14ac:dyDescent="0.2">
      <c r="A609">
        <v>826</v>
      </c>
      <c r="B609" t="s">
        <v>78</v>
      </c>
      <c r="C609" t="s">
        <v>76</v>
      </c>
      <c r="D609">
        <v>1</v>
      </c>
      <c r="E609">
        <v>0.71839487999999996</v>
      </c>
      <c r="F609">
        <f t="shared" si="9"/>
        <v>0.71839487999999996</v>
      </c>
    </row>
    <row r="610" spans="1:6" x14ac:dyDescent="0.2">
      <c r="A610">
        <v>826</v>
      </c>
      <c r="B610" t="s">
        <v>79</v>
      </c>
      <c r="C610" t="s">
        <v>74</v>
      </c>
      <c r="D610">
        <v>4</v>
      </c>
      <c r="E610">
        <v>1.9307692307692308</v>
      </c>
      <c r="F610">
        <f t="shared" si="9"/>
        <v>7.7230769230769232</v>
      </c>
    </row>
    <row r="611" spans="1:6" x14ac:dyDescent="0.2">
      <c r="A611">
        <v>826</v>
      </c>
      <c r="B611" t="s">
        <v>80</v>
      </c>
      <c r="C611" t="s">
        <v>74</v>
      </c>
      <c r="D611">
        <v>3</v>
      </c>
      <c r="E611">
        <v>0.9544999999999999</v>
      </c>
      <c r="F611">
        <f t="shared" si="9"/>
        <v>2.8634999999999997</v>
      </c>
    </row>
    <row r="612" spans="1:6" x14ac:dyDescent="0.2">
      <c r="A612">
        <v>826</v>
      </c>
      <c r="B612" t="s">
        <v>81</v>
      </c>
      <c r="C612" t="s">
        <v>74</v>
      </c>
      <c r="D612">
        <v>1</v>
      </c>
      <c r="E612">
        <v>0.76359999999999995</v>
      </c>
      <c r="F612">
        <f t="shared" si="9"/>
        <v>0.76359999999999995</v>
      </c>
    </row>
    <row r="613" spans="1:6" x14ac:dyDescent="0.2">
      <c r="A613">
        <v>826</v>
      </c>
      <c r="B613" t="s">
        <v>82</v>
      </c>
      <c r="C613" t="s">
        <v>83</v>
      </c>
      <c r="D613">
        <v>3</v>
      </c>
      <c r="E613">
        <v>20.351599999999998</v>
      </c>
      <c r="F613">
        <f t="shared" si="9"/>
        <v>61.054799999999993</v>
      </c>
    </row>
    <row r="614" spans="1:6" x14ac:dyDescent="0.2">
      <c r="A614">
        <v>826</v>
      </c>
      <c r="B614" t="s">
        <v>84</v>
      </c>
      <c r="C614" t="s">
        <v>85</v>
      </c>
      <c r="D614">
        <v>2</v>
      </c>
      <c r="E614">
        <v>102.33222719999999</v>
      </c>
      <c r="F614">
        <f t="shared" si="9"/>
        <v>204.66445439999998</v>
      </c>
    </row>
    <row r="615" spans="1:6" x14ac:dyDescent="0.2">
      <c r="A615">
        <v>826</v>
      </c>
      <c r="B615" t="s">
        <v>86</v>
      </c>
      <c r="C615" t="s">
        <v>85</v>
      </c>
      <c r="D615">
        <v>4</v>
      </c>
      <c r="E615">
        <v>144.26462399999997</v>
      </c>
      <c r="F615">
        <f t="shared" si="9"/>
        <v>577.05849599999988</v>
      </c>
    </row>
    <row r="616" spans="1:6" x14ac:dyDescent="0.2">
      <c r="A616">
        <v>826</v>
      </c>
      <c r="B616" t="s">
        <v>87</v>
      </c>
      <c r="C616" t="s">
        <v>88</v>
      </c>
      <c r="D616">
        <v>1</v>
      </c>
      <c r="E616">
        <v>162.02147135999999</v>
      </c>
      <c r="F616">
        <f t="shared" si="9"/>
        <v>162.02147135999999</v>
      </c>
    </row>
    <row r="617" spans="1:6" x14ac:dyDescent="0.2">
      <c r="A617">
        <v>826</v>
      </c>
      <c r="B617" t="s">
        <v>89</v>
      </c>
      <c r="C617" t="s">
        <v>85</v>
      </c>
      <c r="D617">
        <v>118</v>
      </c>
      <c r="E617">
        <v>211.01287872</v>
      </c>
      <c r="F617">
        <f t="shared" si="9"/>
        <v>24899.519688960001</v>
      </c>
    </row>
    <row r="618" spans="1:6" x14ac:dyDescent="0.2">
      <c r="A618">
        <v>826</v>
      </c>
      <c r="B618" t="s">
        <v>90</v>
      </c>
      <c r="C618" t="s">
        <v>88</v>
      </c>
      <c r="D618">
        <v>1</v>
      </c>
      <c r="E618">
        <v>238.16351999999995</v>
      </c>
      <c r="F618">
        <f t="shared" si="9"/>
        <v>238.16351999999995</v>
      </c>
    </row>
    <row r="619" spans="1:6" x14ac:dyDescent="0.2">
      <c r="A619">
        <v>826</v>
      </c>
      <c r="B619" t="s">
        <v>92</v>
      </c>
      <c r="C619" t="s">
        <v>93</v>
      </c>
      <c r="D619">
        <v>1</v>
      </c>
      <c r="E619">
        <v>19.297499999999999</v>
      </c>
      <c r="F619">
        <f t="shared" si="9"/>
        <v>19.297499999999999</v>
      </c>
    </row>
    <row r="620" spans="1:6" x14ac:dyDescent="0.2">
      <c r="A620">
        <v>826</v>
      </c>
      <c r="B620" t="s">
        <v>94</v>
      </c>
      <c r="C620" t="s">
        <v>95</v>
      </c>
      <c r="D620">
        <v>3</v>
      </c>
      <c r="E620">
        <v>644.46267648000003</v>
      </c>
      <c r="F620">
        <f t="shared" si="9"/>
        <v>1933.3880294400001</v>
      </c>
    </row>
    <row r="621" spans="1:6" x14ac:dyDescent="0.2">
      <c r="A621">
        <v>826</v>
      </c>
      <c r="B621" t="s">
        <v>236</v>
      </c>
      <c r="C621" t="s">
        <v>237</v>
      </c>
      <c r="D621">
        <v>1</v>
      </c>
      <c r="E621">
        <v>132.79999999999998</v>
      </c>
      <c r="F621">
        <f t="shared" si="9"/>
        <v>132.79999999999998</v>
      </c>
    </row>
    <row r="622" spans="1:6" x14ac:dyDescent="0.2">
      <c r="A622">
        <v>826</v>
      </c>
      <c r="B622" t="s">
        <v>238</v>
      </c>
      <c r="C622" t="s">
        <v>239</v>
      </c>
      <c r="D622">
        <v>2</v>
      </c>
      <c r="E622">
        <v>340.93846153846152</v>
      </c>
      <c r="F622">
        <f t="shared" si="9"/>
        <v>681.87692307692305</v>
      </c>
    </row>
    <row r="623" spans="1:6" x14ac:dyDescent="0.2">
      <c r="A623">
        <v>826</v>
      </c>
      <c r="B623" t="s">
        <v>240</v>
      </c>
      <c r="C623" t="s">
        <v>241</v>
      </c>
      <c r="D623">
        <v>3</v>
      </c>
      <c r="E623">
        <v>309.01538461538462</v>
      </c>
      <c r="F623">
        <f t="shared" si="9"/>
        <v>927.04615384615386</v>
      </c>
    </row>
    <row r="624" spans="1:6" x14ac:dyDescent="0.2">
      <c r="A624">
        <v>826</v>
      </c>
      <c r="B624" t="s">
        <v>242</v>
      </c>
      <c r="C624" t="s">
        <v>243</v>
      </c>
      <c r="D624">
        <v>6</v>
      </c>
      <c r="E624">
        <v>427.76923076923072</v>
      </c>
      <c r="F624">
        <f t="shared" si="9"/>
        <v>2566.6153846153843</v>
      </c>
    </row>
    <row r="625" spans="1:6" x14ac:dyDescent="0.2">
      <c r="A625">
        <v>826</v>
      </c>
      <c r="B625" t="s">
        <v>244</v>
      </c>
      <c r="C625" t="s">
        <v>184</v>
      </c>
      <c r="D625">
        <v>6</v>
      </c>
      <c r="E625">
        <v>18.643076923076922</v>
      </c>
      <c r="F625">
        <f t="shared" si="9"/>
        <v>111.85846153846154</v>
      </c>
    </row>
    <row r="626" spans="1:6" x14ac:dyDescent="0.2">
      <c r="A626">
        <v>826</v>
      </c>
      <c r="B626" t="s">
        <v>245</v>
      </c>
      <c r="C626" t="s">
        <v>246</v>
      </c>
      <c r="D626">
        <v>1</v>
      </c>
      <c r="E626">
        <v>0.44819999999999999</v>
      </c>
      <c r="F626">
        <f t="shared" si="9"/>
        <v>0.44819999999999999</v>
      </c>
    </row>
    <row r="627" spans="1:6" x14ac:dyDescent="0.2">
      <c r="A627">
        <v>826</v>
      </c>
      <c r="B627" t="s">
        <v>75</v>
      </c>
      <c r="C627" t="s">
        <v>247</v>
      </c>
      <c r="D627">
        <v>3</v>
      </c>
      <c r="E627">
        <v>0.1153846153846154</v>
      </c>
      <c r="F627">
        <f t="shared" si="9"/>
        <v>0.3461538461538462</v>
      </c>
    </row>
    <row r="628" spans="1:6" x14ac:dyDescent="0.2">
      <c r="A628">
        <v>826</v>
      </c>
      <c r="B628" t="s">
        <v>197</v>
      </c>
      <c r="C628" t="s">
        <v>117</v>
      </c>
      <c r="D628">
        <v>1</v>
      </c>
      <c r="E628">
        <v>7.4699999999999989E-2</v>
      </c>
      <c r="F628">
        <f t="shared" si="9"/>
        <v>7.4699999999999989E-2</v>
      </c>
    </row>
    <row r="629" spans="1:6" x14ac:dyDescent="0.2">
      <c r="A629">
        <v>826</v>
      </c>
      <c r="B629" t="s">
        <v>248</v>
      </c>
      <c r="C629" t="s">
        <v>249</v>
      </c>
      <c r="D629">
        <v>1</v>
      </c>
      <c r="E629">
        <v>31064.984615384612</v>
      </c>
      <c r="F629">
        <f t="shared" si="9"/>
        <v>31064.984615384612</v>
      </c>
    </row>
    <row r="630" spans="1:6" x14ac:dyDescent="0.2">
      <c r="A630">
        <v>826</v>
      </c>
      <c r="B630" t="s">
        <v>250</v>
      </c>
      <c r="C630" t="s">
        <v>251</v>
      </c>
      <c r="D630">
        <v>3</v>
      </c>
      <c r="E630">
        <v>564.54124607999995</v>
      </c>
      <c r="F630">
        <f t="shared" si="9"/>
        <v>1693.62373824</v>
      </c>
    </row>
    <row r="631" spans="1:6" x14ac:dyDescent="0.2">
      <c r="A631">
        <v>826</v>
      </c>
      <c r="B631" t="s">
        <v>146</v>
      </c>
      <c r="C631" t="s">
        <v>147</v>
      </c>
      <c r="D631">
        <v>2</v>
      </c>
      <c r="E631">
        <v>8021.5764999999992</v>
      </c>
      <c r="F631">
        <f t="shared" si="9"/>
        <v>16043.152999999998</v>
      </c>
    </row>
    <row r="632" spans="1:6" x14ac:dyDescent="0.2">
      <c r="A632">
        <v>826</v>
      </c>
      <c r="B632" t="s">
        <v>215</v>
      </c>
      <c r="C632" t="s">
        <v>208</v>
      </c>
      <c r="D632">
        <v>1</v>
      </c>
      <c r="E632">
        <v>1.42898112</v>
      </c>
      <c r="F632">
        <f t="shared" si="9"/>
        <v>1.42898112</v>
      </c>
    </row>
    <row r="633" spans="1:6" x14ac:dyDescent="0.2">
      <c r="A633">
        <v>826</v>
      </c>
      <c r="B633" t="s">
        <v>200</v>
      </c>
      <c r="C633" t="s">
        <v>199</v>
      </c>
      <c r="D633">
        <v>5</v>
      </c>
      <c r="E633">
        <v>0.66373439999999995</v>
      </c>
      <c r="F633">
        <f t="shared" si="9"/>
        <v>3.3186719999999998</v>
      </c>
    </row>
    <row r="634" spans="1:6" x14ac:dyDescent="0.2">
      <c r="A634">
        <v>826</v>
      </c>
      <c r="B634" t="s">
        <v>216</v>
      </c>
      <c r="C634" t="s">
        <v>199</v>
      </c>
      <c r="D634">
        <v>1</v>
      </c>
      <c r="E634">
        <v>0.66400000000000003</v>
      </c>
      <c r="F634">
        <f t="shared" si="9"/>
        <v>0.66400000000000003</v>
      </c>
    </row>
    <row r="635" spans="1:6" x14ac:dyDescent="0.2">
      <c r="A635">
        <v>826</v>
      </c>
      <c r="B635" t="s">
        <v>217</v>
      </c>
      <c r="C635" t="s">
        <v>199</v>
      </c>
      <c r="D635">
        <v>3</v>
      </c>
      <c r="E635">
        <v>4.2164000000000001</v>
      </c>
      <c r="F635">
        <f t="shared" si="9"/>
        <v>12.6492</v>
      </c>
    </row>
    <row r="636" spans="1:6" x14ac:dyDescent="0.2">
      <c r="A636">
        <v>826</v>
      </c>
      <c r="B636" t="s">
        <v>218</v>
      </c>
      <c r="C636" t="s">
        <v>208</v>
      </c>
      <c r="D636">
        <v>6</v>
      </c>
      <c r="E636">
        <v>7.3454999999999995</v>
      </c>
      <c r="F636">
        <f t="shared" si="9"/>
        <v>44.072999999999993</v>
      </c>
    </row>
    <row r="637" spans="1:6" x14ac:dyDescent="0.2">
      <c r="A637">
        <v>826</v>
      </c>
      <c r="B637" t="s">
        <v>219</v>
      </c>
      <c r="C637" t="s">
        <v>199</v>
      </c>
      <c r="D637">
        <v>6</v>
      </c>
      <c r="E637">
        <v>1.4774</v>
      </c>
      <c r="F637">
        <f t="shared" si="9"/>
        <v>8.8643999999999998</v>
      </c>
    </row>
    <row r="638" spans="1:6" x14ac:dyDescent="0.2">
      <c r="A638">
        <v>826</v>
      </c>
      <c r="B638" t="s">
        <v>220</v>
      </c>
      <c r="C638" t="s">
        <v>208</v>
      </c>
      <c r="D638">
        <v>1</v>
      </c>
      <c r="E638">
        <v>3.7267000000000001</v>
      </c>
      <c r="F638">
        <f t="shared" si="9"/>
        <v>3.7267000000000001</v>
      </c>
    </row>
    <row r="639" spans="1:6" x14ac:dyDescent="0.2">
      <c r="A639">
        <v>826</v>
      </c>
      <c r="B639" t="s">
        <v>221</v>
      </c>
      <c r="C639" t="s">
        <v>199</v>
      </c>
      <c r="D639">
        <v>3</v>
      </c>
      <c r="E639">
        <v>0.97939999999999994</v>
      </c>
      <c r="F639">
        <f t="shared" si="9"/>
        <v>2.9381999999999997</v>
      </c>
    </row>
    <row r="640" spans="1:6" x14ac:dyDescent="0.2">
      <c r="A640">
        <v>826</v>
      </c>
      <c r="B640" t="s">
        <v>222</v>
      </c>
      <c r="C640" t="s">
        <v>208</v>
      </c>
      <c r="D640">
        <v>1</v>
      </c>
      <c r="E640">
        <v>6.0672999999999995</v>
      </c>
      <c r="F640">
        <f t="shared" si="9"/>
        <v>6.0672999999999995</v>
      </c>
    </row>
    <row r="641" spans="1:6" x14ac:dyDescent="0.2">
      <c r="A641">
        <v>826</v>
      </c>
      <c r="B641" t="s">
        <v>223</v>
      </c>
      <c r="C641" t="s">
        <v>224</v>
      </c>
      <c r="D641">
        <v>1</v>
      </c>
      <c r="E641">
        <v>19.4635</v>
      </c>
      <c r="F641">
        <f t="shared" si="9"/>
        <v>19.4635</v>
      </c>
    </row>
    <row r="642" spans="1:6" x14ac:dyDescent="0.2">
      <c r="A642">
        <v>826</v>
      </c>
      <c r="B642" t="s">
        <v>225</v>
      </c>
      <c r="C642" t="s">
        <v>226</v>
      </c>
      <c r="D642">
        <v>3</v>
      </c>
      <c r="E642">
        <v>10.221509759999998</v>
      </c>
      <c r="F642">
        <f t="shared" si="9"/>
        <v>30.664529279999996</v>
      </c>
    </row>
    <row r="643" spans="1:6" x14ac:dyDescent="0.2">
      <c r="A643">
        <v>826</v>
      </c>
      <c r="B643" t="s">
        <v>227</v>
      </c>
      <c r="C643" t="s">
        <v>208</v>
      </c>
      <c r="D643">
        <v>2</v>
      </c>
      <c r="E643">
        <v>3.6307692307692312</v>
      </c>
      <c r="F643">
        <f t="shared" ref="F643:F706" si="10">D643*E643</f>
        <v>7.2615384615384624</v>
      </c>
    </row>
    <row r="644" spans="1:6" x14ac:dyDescent="0.2">
      <c r="A644">
        <v>826</v>
      </c>
      <c r="B644" t="s">
        <v>228</v>
      </c>
      <c r="C644" t="s">
        <v>229</v>
      </c>
      <c r="D644">
        <v>1</v>
      </c>
      <c r="E644">
        <v>306.94982975999994</v>
      </c>
      <c r="F644">
        <f t="shared" si="10"/>
        <v>306.94982975999994</v>
      </c>
    </row>
    <row r="645" spans="1:6" x14ac:dyDescent="0.2">
      <c r="A645">
        <v>826</v>
      </c>
      <c r="B645" t="s">
        <v>116</v>
      </c>
      <c r="C645" t="s">
        <v>117</v>
      </c>
      <c r="D645">
        <v>5</v>
      </c>
      <c r="E645">
        <v>0.25729999999999997</v>
      </c>
      <c r="F645">
        <f t="shared" si="10"/>
        <v>1.2864999999999998</v>
      </c>
    </row>
    <row r="646" spans="1:6" x14ac:dyDescent="0.2">
      <c r="A646">
        <v>826</v>
      </c>
      <c r="B646" t="s">
        <v>78</v>
      </c>
      <c r="C646" t="s">
        <v>76</v>
      </c>
      <c r="D646">
        <v>1</v>
      </c>
      <c r="E646">
        <v>0.71839487999999996</v>
      </c>
      <c r="F646">
        <f t="shared" si="10"/>
        <v>0.71839487999999996</v>
      </c>
    </row>
    <row r="647" spans="1:6" x14ac:dyDescent="0.2">
      <c r="A647">
        <v>826</v>
      </c>
      <c r="B647" t="s">
        <v>231</v>
      </c>
      <c r="C647" t="s">
        <v>208</v>
      </c>
      <c r="D647">
        <v>1</v>
      </c>
      <c r="E647">
        <v>2.0832999999999999</v>
      </c>
      <c r="F647">
        <f t="shared" si="10"/>
        <v>2.0832999999999999</v>
      </c>
    </row>
    <row r="648" spans="1:6" x14ac:dyDescent="0.2">
      <c r="A648">
        <v>826</v>
      </c>
      <c r="B648" t="s">
        <v>232</v>
      </c>
      <c r="C648" t="s">
        <v>119</v>
      </c>
      <c r="D648">
        <v>1</v>
      </c>
      <c r="E648">
        <v>1.5935999999999999</v>
      </c>
      <c r="F648">
        <f t="shared" si="10"/>
        <v>1.5935999999999999</v>
      </c>
    </row>
    <row r="649" spans="1:6" x14ac:dyDescent="0.2">
      <c r="A649">
        <v>826</v>
      </c>
      <c r="B649" t="s">
        <v>233</v>
      </c>
      <c r="C649" t="s">
        <v>234</v>
      </c>
      <c r="D649">
        <v>5</v>
      </c>
      <c r="E649">
        <v>3989.2954</v>
      </c>
      <c r="F649">
        <f t="shared" si="10"/>
        <v>19946.476999999999</v>
      </c>
    </row>
    <row r="650" spans="1:6" x14ac:dyDescent="0.2">
      <c r="A650">
        <v>826</v>
      </c>
      <c r="B650" t="s">
        <v>142</v>
      </c>
      <c r="C650" t="s">
        <v>143</v>
      </c>
      <c r="D650">
        <v>5</v>
      </c>
      <c r="E650">
        <v>18141.642</v>
      </c>
      <c r="F650">
        <f t="shared" si="10"/>
        <v>90708.209999999992</v>
      </c>
    </row>
    <row r="651" spans="1:6" x14ac:dyDescent="0.2">
      <c r="A651">
        <v>826</v>
      </c>
      <c r="B651" t="s">
        <v>144</v>
      </c>
      <c r="C651" t="s">
        <v>145</v>
      </c>
      <c r="D651">
        <v>1</v>
      </c>
      <c r="E651">
        <v>7346.6769230769241</v>
      </c>
      <c r="F651">
        <f t="shared" si="10"/>
        <v>7346.6769230769241</v>
      </c>
    </row>
    <row r="652" spans="1:6" x14ac:dyDescent="0.2">
      <c r="A652">
        <v>826</v>
      </c>
      <c r="B652" t="s">
        <v>197</v>
      </c>
      <c r="C652" t="s">
        <v>117</v>
      </c>
      <c r="D652">
        <v>1</v>
      </c>
      <c r="E652">
        <v>7.4699999999999989E-2</v>
      </c>
      <c r="F652">
        <f t="shared" si="10"/>
        <v>7.4699999999999989E-2</v>
      </c>
    </row>
    <row r="653" spans="1:6" x14ac:dyDescent="0.2">
      <c r="A653">
        <v>826</v>
      </c>
      <c r="B653" t="s">
        <v>198</v>
      </c>
      <c r="C653" t="s">
        <v>199</v>
      </c>
      <c r="D653">
        <v>4</v>
      </c>
      <c r="E653">
        <v>0.66373439999999995</v>
      </c>
      <c r="F653">
        <f t="shared" si="10"/>
        <v>2.6549375999999998</v>
      </c>
    </row>
    <row r="654" spans="1:6" x14ac:dyDescent="0.2">
      <c r="A654">
        <v>826</v>
      </c>
      <c r="B654" t="s">
        <v>200</v>
      </c>
      <c r="C654" t="s">
        <v>199</v>
      </c>
      <c r="D654">
        <v>3</v>
      </c>
      <c r="E654">
        <v>0.66373439999999995</v>
      </c>
      <c r="F654">
        <f t="shared" si="10"/>
        <v>1.9912031999999997</v>
      </c>
    </row>
    <row r="655" spans="1:6" x14ac:dyDescent="0.2">
      <c r="A655">
        <v>826</v>
      </c>
      <c r="B655" t="s">
        <v>201</v>
      </c>
      <c r="C655" t="s">
        <v>76</v>
      </c>
      <c r="D655">
        <v>1</v>
      </c>
      <c r="E655">
        <v>0.22645055999999994</v>
      </c>
      <c r="F655">
        <f t="shared" si="10"/>
        <v>0.22645055999999994</v>
      </c>
    </row>
    <row r="656" spans="1:6" x14ac:dyDescent="0.2">
      <c r="A656">
        <v>826</v>
      </c>
      <c r="B656" t="s">
        <v>202</v>
      </c>
      <c r="C656" t="s">
        <v>203</v>
      </c>
      <c r="D656">
        <v>3</v>
      </c>
      <c r="E656">
        <v>12.45</v>
      </c>
      <c r="F656">
        <f t="shared" si="10"/>
        <v>37.349999999999994</v>
      </c>
    </row>
    <row r="657" spans="1:6" x14ac:dyDescent="0.2">
      <c r="A657">
        <v>826</v>
      </c>
      <c r="B657" t="s">
        <v>204</v>
      </c>
      <c r="C657" t="s">
        <v>205</v>
      </c>
      <c r="D657">
        <v>2</v>
      </c>
      <c r="E657">
        <v>103.72216512</v>
      </c>
      <c r="F657">
        <f t="shared" si="10"/>
        <v>207.44433024</v>
      </c>
    </row>
    <row r="658" spans="1:6" x14ac:dyDescent="0.2">
      <c r="A658">
        <v>826</v>
      </c>
      <c r="B658" t="s">
        <v>116</v>
      </c>
      <c r="C658" t="s">
        <v>117</v>
      </c>
      <c r="D658">
        <v>4</v>
      </c>
      <c r="E658">
        <v>0.25729999999999997</v>
      </c>
      <c r="F658">
        <f t="shared" si="10"/>
        <v>1.0291999999999999</v>
      </c>
    </row>
    <row r="659" spans="1:6" x14ac:dyDescent="0.2">
      <c r="A659">
        <v>826</v>
      </c>
      <c r="B659" t="s">
        <v>78</v>
      </c>
      <c r="C659" t="s">
        <v>76</v>
      </c>
      <c r="D659">
        <v>1</v>
      </c>
      <c r="E659">
        <v>0.71839487999999996</v>
      </c>
      <c r="F659">
        <f t="shared" si="10"/>
        <v>0.71839487999999996</v>
      </c>
    </row>
    <row r="660" spans="1:6" x14ac:dyDescent="0.2">
      <c r="A660">
        <v>826</v>
      </c>
      <c r="B660" t="s">
        <v>207</v>
      </c>
      <c r="C660" t="s">
        <v>208</v>
      </c>
      <c r="D660">
        <v>118</v>
      </c>
      <c r="E660">
        <v>4.6314000000000002</v>
      </c>
      <c r="F660">
        <f t="shared" si="10"/>
        <v>546.50520000000006</v>
      </c>
    </row>
    <row r="661" spans="1:6" x14ac:dyDescent="0.2">
      <c r="A661">
        <v>826</v>
      </c>
      <c r="B661" t="s">
        <v>209</v>
      </c>
      <c r="C661" t="s">
        <v>210</v>
      </c>
      <c r="D661">
        <v>1</v>
      </c>
      <c r="E661">
        <v>39.550761599999994</v>
      </c>
      <c r="F661">
        <f t="shared" si="10"/>
        <v>39.550761599999994</v>
      </c>
    </row>
    <row r="662" spans="1:6" x14ac:dyDescent="0.2">
      <c r="A662">
        <v>826</v>
      </c>
      <c r="B662" t="s">
        <v>211</v>
      </c>
      <c r="C662" t="s">
        <v>203</v>
      </c>
      <c r="D662">
        <v>1</v>
      </c>
      <c r="E662">
        <v>25.754899999999999</v>
      </c>
      <c r="F662">
        <f t="shared" si="10"/>
        <v>25.754899999999999</v>
      </c>
    </row>
    <row r="663" spans="1:6" x14ac:dyDescent="0.2">
      <c r="A663">
        <v>826</v>
      </c>
      <c r="B663" t="s">
        <v>212</v>
      </c>
      <c r="C663" t="s">
        <v>213</v>
      </c>
      <c r="D663">
        <v>3</v>
      </c>
      <c r="E663">
        <v>272.92059999999998</v>
      </c>
      <c r="F663">
        <f t="shared" si="10"/>
        <v>818.76179999999999</v>
      </c>
    </row>
    <row r="664" spans="1:6" x14ac:dyDescent="0.2">
      <c r="A664">
        <v>826</v>
      </c>
      <c r="B664" t="s">
        <v>149</v>
      </c>
      <c r="C664" t="s">
        <v>150</v>
      </c>
      <c r="D664">
        <v>1</v>
      </c>
      <c r="E664">
        <v>0.7054999999999999</v>
      </c>
      <c r="F664">
        <f t="shared" si="10"/>
        <v>0.7054999999999999</v>
      </c>
    </row>
    <row r="665" spans="1:6" x14ac:dyDescent="0.2">
      <c r="A665">
        <v>826</v>
      </c>
      <c r="B665" t="s">
        <v>151</v>
      </c>
      <c r="C665" t="s">
        <v>152</v>
      </c>
      <c r="D665">
        <v>2</v>
      </c>
      <c r="E665">
        <v>5.6190999999999995</v>
      </c>
      <c r="F665">
        <f t="shared" si="10"/>
        <v>11.238199999999999</v>
      </c>
    </row>
    <row r="666" spans="1:6" x14ac:dyDescent="0.2">
      <c r="A666">
        <v>826</v>
      </c>
      <c r="B666" t="s">
        <v>153</v>
      </c>
      <c r="C666" t="s">
        <v>119</v>
      </c>
      <c r="D666">
        <v>3</v>
      </c>
      <c r="E666">
        <v>1.11663552</v>
      </c>
      <c r="F666">
        <f t="shared" si="10"/>
        <v>3.34990656</v>
      </c>
    </row>
    <row r="667" spans="1:6" x14ac:dyDescent="0.2">
      <c r="A667">
        <v>826</v>
      </c>
      <c r="B667" t="s">
        <v>154</v>
      </c>
      <c r="C667" t="s">
        <v>117</v>
      </c>
      <c r="D667">
        <v>6</v>
      </c>
      <c r="E667">
        <v>4.3657999999999992</v>
      </c>
      <c r="F667">
        <f t="shared" si="10"/>
        <v>26.194799999999994</v>
      </c>
    </row>
    <row r="668" spans="1:6" x14ac:dyDescent="0.2">
      <c r="A668">
        <v>826</v>
      </c>
      <c r="B668" t="s">
        <v>155</v>
      </c>
      <c r="C668" t="s">
        <v>156</v>
      </c>
      <c r="D668">
        <v>6</v>
      </c>
      <c r="E668">
        <v>28.551999999999996</v>
      </c>
      <c r="F668">
        <f t="shared" si="10"/>
        <v>171.31199999999998</v>
      </c>
    </row>
    <row r="669" spans="1:6" x14ac:dyDescent="0.2">
      <c r="A669">
        <v>826</v>
      </c>
      <c r="B669" t="s">
        <v>157</v>
      </c>
      <c r="C669" t="s">
        <v>158</v>
      </c>
      <c r="D669">
        <v>1</v>
      </c>
      <c r="E669">
        <v>29.456700000000001</v>
      </c>
      <c r="F669">
        <f t="shared" si="10"/>
        <v>29.456700000000001</v>
      </c>
    </row>
    <row r="670" spans="1:6" x14ac:dyDescent="0.2">
      <c r="A670">
        <v>826</v>
      </c>
      <c r="B670" t="s">
        <v>159</v>
      </c>
      <c r="C670" t="s">
        <v>117</v>
      </c>
      <c r="D670">
        <v>3</v>
      </c>
      <c r="E670">
        <v>11.976899999999999</v>
      </c>
      <c r="F670">
        <f t="shared" si="10"/>
        <v>35.930699999999995</v>
      </c>
    </row>
    <row r="671" spans="1:6" x14ac:dyDescent="0.2">
      <c r="A671">
        <v>826</v>
      </c>
      <c r="B671" t="s">
        <v>116</v>
      </c>
      <c r="C671" t="s">
        <v>117</v>
      </c>
      <c r="D671">
        <v>1</v>
      </c>
      <c r="E671">
        <v>0.25729999999999997</v>
      </c>
      <c r="F671">
        <f t="shared" si="10"/>
        <v>0.25729999999999997</v>
      </c>
    </row>
    <row r="672" spans="1:6" x14ac:dyDescent="0.2">
      <c r="A672">
        <v>826</v>
      </c>
      <c r="B672" t="s">
        <v>160</v>
      </c>
      <c r="C672" t="s">
        <v>161</v>
      </c>
      <c r="D672">
        <v>1</v>
      </c>
      <c r="E672">
        <v>15.9194</v>
      </c>
      <c r="F672">
        <f t="shared" si="10"/>
        <v>15.9194</v>
      </c>
    </row>
    <row r="673" spans="1:6" x14ac:dyDescent="0.2">
      <c r="A673">
        <v>826</v>
      </c>
      <c r="B673" t="s">
        <v>162</v>
      </c>
      <c r="C673" t="s">
        <v>163</v>
      </c>
      <c r="D673">
        <v>3</v>
      </c>
      <c r="E673">
        <v>62.822699999999998</v>
      </c>
      <c r="F673">
        <f t="shared" si="10"/>
        <v>188.46809999999999</v>
      </c>
    </row>
    <row r="674" spans="1:6" x14ac:dyDescent="0.2">
      <c r="A674">
        <v>826</v>
      </c>
      <c r="B674" t="s">
        <v>164</v>
      </c>
      <c r="C674" t="s">
        <v>165</v>
      </c>
      <c r="D674">
        <v>2</v>
      </c>
      <c r="E674">
        <v>29.381999999999998</v>
      </c>
      <c r="F674">
        <f t="shared" si="10"/>
        <v>58.763999999999996</v>
      </c>
    </row>
    <row r="675" spans="1:6" x14ac:dyDescent="0.2">
      <c r="A675">
        <v>826</v>
      </c>
      <c r="B675" t="s">
        <v>166</v>
      </c>
      <c r="C675" t="s">
        <v>76</v>
      </c>
      <c r="D675">
        <v>1</v>
      </c>
      <c r="E675">
        <v>0.97109999999999985</v>
      </c>
      <c r="F675">
        <f t="shared" si="10"/>
        <v>0.97109999999999985</v>
      </c>
    </row>
    <row r="676" spans="1:6" x14ac:dyDescent="0.2">
      <c r="A676">
        <v>826</v>
      </c>
      <c r="B676" t="s">
        <v>167</v>
      </c>
      <c r="C676" t="s">
        <v>168</v>
      </c>
      <c r="D676">
        <v>5</v>
      </c>
      <c r="E676">
        <v>68.201099999999997</v>
      </c>
      <c r="F676">
        <f t="shared" si="10"/>
        <v>341.00549999999998</v>
      </c>
    </row>
    <row r="677" spans="1:6" x14ac:dyDescent="0.2">
      <c r="A677">
        <v>826</v>
      </c>
      <c r="B677" t="s">
        <v>169</v>
      </c>
      <c r="C677" t="s">
        <v>119</v>
      </c>
      <c r="D677">
        <v>1</v>
      </c>
      <c r="E677">
        <v>26.078600000000002</v>
      </c>
      <c r="F677">
        <f t="shared" si="10"/>
        <v>26.078600000000002</v>
      </c>
    </row>
    <row r="678" spans="1:6" x14ac:dyDescent="0.2">
      <c r="A678">
        <v>826</v>
      </c>
      <c r="B678" t="s">
        <v>170</v>
      </c>
      <c r="C678" t="s">
        <v>171</v>
      </c>
      <c r="D678">
        <v>1</v>
      </c>
      <c r="E678">
        <v>15.438000000000001</v>
      </c>
      <c r="F678">
        <f t="shared" si="10"/>
        <v>15.438000000000001</v>
      </c>
    </row>
    <row r="679" spans="1:6" x14ac:dyDescent="0.2">
      <c r="A679">
        <v>826</v>
      </c>
      <c r="B679" t="s">
        <v>172</v>
      </c>
      <c r="C679" t="s">
        <v>173</v>
      </c>
      <c r="D679">
        <v>1</v>
      </c>
      <c r="E679">
        <v>158.41380000000001</v>
      </c>
      <c r="F679">
        <f t="shared" si="10"/>
        <v>158.41380000000001</v>
      </c>
    </row>
    <row r="680" spans="1:6" x14ac:dyDescent="0.2">
      <c r="A680">
        <v>826</v>
      </c>
      <c r="B680" t="s">
        <v>174</v>
      </c>
      <c r="C680" t="s">
        <v>119</v>
      </c>
      <c r="D680">
        <v>5</v>
      </c>
      <c r="E680">
        <v>1.2616000000000001</v>
      </c>
      <c r="F680">
        <f t="shared" si="10"/>
        <v>6.3079999999999998</v>
      </c>
    </row>
    <row r="681" spans="1:6" x14ac:dyDescent="0.2">
      <c r="A681">
        <v>826</v>
      </c>
      <c r="B681" t="s">
        <v>175</v>
      </c>
      <c r="C681" t="s">
        <v>176</v>
      </c>
      <c r="D681">
        <v>5</v>
      </c>
      <c r="E681">
        <v>194.7595</v>
      </c>
      <c r="F681">
        <f t="shared" si="10"/>
        <v>973.79750000000001</v>
      </c>
    </row>
    <row r="682" spans="1:6" x14ac:dyDescent="0.2">
      <c r="A682">
        <v>826</v>
      </c>
      <c r="B682" t="s">
        <v>177</v>
      </c>
      <c r="C682" t="s">
        <v>178</v>
      </c>
      <c r="D682">
        <v>1</v>
      </c>
      <c r="E682">
        <v>1660.6244256000002</v>
      </c>
      <c r="F682">
        <f t="shared" si="10"/>
        <v>1660.6244256000002</v>
      </c>
    </row>
    <row r="683" spans="1:6" x14ac:dyDescent="0.2">
      <c r="A683">
        <v>826</v>
      </c>
      <c r="B683" t="s">
        <v>179</v>
      </c>
      <c r="C683" t="s">
        <v>119</v>
      </c>
      <c r="D683">
        <v>1</v>
      </c>
      <c r="E683">
        <v>32.444700000000005</v>
      </c>
      <c r="F683">
        <f t="shared" si="10"/>
        <v>32.444700000000005</v>
      </c>
    </row>
    <row r="684" spans="1:6" x14ac:dyDescent="0.2">
      <c r="A684">
        <v>826</v>
      </c>
      <c r="B684" t="s">
        <v>180</v>
      </c>
      <c r="C684" t="s">
        <v>181</v>
      </c>
      <c r="D684">
        <v>4</v>
      </c>
      <c r="E684">
        <v>64.117499999999993</v>
      </c>
      <c r="F684">
        <f t="shared" si="10"/>
        <v>256.46999999999997</v>
      </c>
    </row>
    <row r="685" spans="1:6" x14ac:dyDescent="0.2">
      <c r="A685">
        <v>826</v>
      </c>
      <c r="B685" t="s">
        <v>182</v>
      </c>
      <c r="C685" t="s">
        <v>158</v>
      </c>
      <c r="D685">
        <v>3</v>
      </c>
      <c r="E685">
        <v>80.788189439999996</v>
      </c>
      <c r="F685">
        <f t="shared" si="10"/>
        <v>242.36456831999999</v>
      </c>
    </row>
    <row r="686" spans="1:6" x14ac:dyDescent="0.2">
      <c r="A686">
        <v>826</v>
      </c>
      <c r="B686" t="s">
        <v>183</v>
      </c>
      <c r="C686" t="s">
        <v>184</v>
      </c>
      <c r="D686">
        <v>1</v>
      </c>
      <c r="E686">
        <v>548.61538461538476</v>
      </c>
      <c r="F686">
        <f t="shared" si="10"/>
        <v>548.61538461538476</v>
      </c>
    </row>
    <row r="687" spans="1:6" x14ac:dyDescent="0.2">
      <c r="A687">
        <v>826</v>
      </c>
      <c r="B687" t="s">
        <v>185</v>
      </c>
      <c r="C687" t="s">
        <v>186</v>
      </c>
      <c r="D687">
        <v>3</v>
      </c>
      <c r="E687">
        <v>278.05</v>
      </c>
      <c r="F687">
        <f t="shared" si="10"/>
        <v>834.15000000000009</v>
      </c>
    </row>
    <row r="688" spans="1:6" x14ac:dyDescent="0.2">
      <c r="A688">
        <v>826</v>
      </c>
      <c r="B688" t="s">
        <v>187</v>
      </c>
      <c r="C688" t="s">
        <v>188</v>
      </c>
      <c r="D688">
        <v>2</v>
      </c>
      <c r="E688">
        <v>105.03649999999999</v>
      </c>
      <c r="F688">
        <f t="shared" si="10"/>
        <v>210.07299999999998</v>
      </c>
    </row>
    <row r="689" spans="1:6" x14ac:dyDescent="0.2">
      <c r="A689">
        <v>826</v>
      </c>
      <c r="B689" t="s">
        <v>189</v>
      </c>
      <c r="C689" t="s">
        <v>163</v>
      </c>
      <c r="D689">
        <v>4</v>
      </c>
      <c r="E689">
        <v>154.25968320000001</v>
      </c>
      <c r="F689">
        <f t="shared" si="10"/>
        <v>617.03873280000005</v>
      </c>
    </row>
    <row r="690" spans="1:6" x14ac:dyDescent="0.2">
      <c r="A690">
        <v>826</v>
      </c>
      <c r="B690" t="s">
        <v>190</v>
      </c>
      <c r="C690" t="s">
        <v>191</v>
      </c>
      <c r="D690">
        <v>1</v>
      </c>
      <c r="E690">
        <v>1397.886</v>
      </c>
      <c r="F690">
        <f t="shared" si="10"/>
        <v>1397.886</v>
      </c>
    </row>
    <row r="691" spans="1:6" x14ac:dyDescent="0.2">
      <c r="A691">
        <v>826</v>
      </c>
      <c r="B691" t="s">
        <v>192</v>
      </c>
      <c r="C691" t="s">
        <v>193</v>
      </c>
      <c r="D691">
        <v>118</v>
      </c>
      <c r="E691">
        <v>843.03639167999984</v>
      </c>
      <c r="F691">
        <f t="shared" si="10"/>
        <v>99478.294218239986</v>
      </c>
    </row>
    <row r="692" spans="1:6" x14ac:dyDescent="0.2">
      <c r="A692">
        <v>826</v>
      </c>
      <c r="B692" t="s">
        <v>194</v>
      </c>
      <c r="C692" t="s">
        <v>193</v>
      </c>
      <c r="D692">
        <v>1</v>
      </c>
      <c r="E692">
        <v>868.20489999999995</v>
      </c>
      <c r="F692">
        <f t="shared" si="10"/>
        <v>868.20489999999995</v>
      </c>
    </row>
    <row r="693" spans="1:6" x14ac:dyDescent="0.2">
      <c r="A693">
        <v>826</v>
      </c>
      <c r="B693" t="s">
        <v>195</v>
      </c>
      <c r="C693" t="s">
        <v>117</v>
      </c>
      <c r="D693">
        <v>1</v>
      </c>
      <c r="E693">
        <v>1.0374999999999999</v>
      </c>
      <c r="F693">
        <f t="shared" si="10"/>
        <v>1.0374999999999999</v>
      </c>
    </row>
    <row r="694" spans="1:6" x14ac:dyDescent="0.2">
      <c r="A694">
        <v>826</v>
      </c>
      <c r="B694" t="s">
        <v>135</v>
      </c>
      <c r="C694" t="s">
        <v>136</v>
      </c>
      <c r="D694">
        <v>3</v>
      </c>
      <c r="E694">
        <v>395.04690624</v>
      </c>
      <c r="F694">
        <f t="shared" si="10"/>
        <v>1185.14071872</v>
      </c>
    </row>
    <row r="695" spans="1:6" x14ac:dyDescent="0.2">
      <c r="A695">
        <v>826</v>
      </c>
      <c r="B695" t="s">
        <v>137</v>
      </c>
      <c r="C695" t="s">
        <v>138</v>
      </c>
      <c r="D695">
        <v>1</v>
      </c>
      <c r="E695">
        <v>252.98431871999998</v>
      </c>
      <c r="F695">
        <f t="shared" si="10"/>
        <v>252.98431871999998</v>
      </c>
    </row>
    <row r="696" spans="1:6" x14ac:dyDescent="0.2">
      <c r="A696">
        <v>826</v>
      </c>
      <c r="B696" t="s">
        <v>139</v>
      </c>
      <c r="C696" t="s">
        <v>140</v>
      </c>
      <c r="D696">
        <v>2</v>
      </c>
      <c r="E696">
        <v>2054.4575</v>
      </c>
      <c r="F696">
        <f t="shared" si="10"/>
        <v>4108.915</v>
      </c>
    </row>
    <row r="697" spans="1:6" x14ac:dyDescent="0.2">
      <c r="A697">
        <v>826</v>
      </c>
      <c r="B697" t="s">
        <v>116</v>
      </c>
      <c r="C697" t="s">
        <v>117</v>
      </c>
      <c r="D697">
        <v>3</v>
      </c>
      <c r="E697">
        <v>0.25729999999999997</v>
      </c>
      <c r="F697">
        <f t="shared" si="10"/>
        <v>0.77189999999999992</v>
      </c>
    </row>
    <row r="698" spans="1:6" x14ac:dyDescent="0.2">
      <c r="A698">
        <v>826</v>
      </c>
      <c r="B698" t="s">
        <v>118</v>
      </c>
      <c r="C698" t="s">
        <v>119</v>
      </c>
      <c r="D698">
        <v>6</v>
      </c>
      <c r="E698">
        <v>0.83</v>
      </c>
      <c r="F698">
        <f t="shared" si="10"/>
        <v>4.9799999999999995</v>
      </c>
    </row>
    <row r="699" spans="1:6" x14ac:dyDescent="0.2">
      <c r="A699">
        <v>826</v>
      </c>
      <c r="B699" t="s">
        <v>120</v>
      </c>
      <c r="C699" t="s">
        <v>117</v>
      </c>
      <c r="D699">
        <v>6</v>
      </c>
      <c r="E699">
        <v>1.5603999999999998</v>
      </c>
      <c r="F699">
        <f t="shared" si="10"/>
        <v>9.3623999999999992</v>
      </c>
    </row>
    <row r="700" spans="1:6" x14ac:dyDescent="0.2">
      <c r="A700">
        <v>826</v>
      </c>
      <c r="B700" t="s">
        <v>121</v>
      </c>
      <c r="C700" t="s">
        <v>117</v>
      </c>
      <c r="D700">
        <v>1</v>
      </c>
      <c r="E700">
        <v>270.83729999999997</v>
      </c>
      <c r="F700">
        <f t="shared" si="10"/>
        <v>270.83729999999997</v>
      </c>
    </row>
    <row r="701" spans="1:6" x14ac:dyDescent="0.2">
      <c r="A701">
        <v>826</v>
      </c>
      <c r="B701" t="s">
        <v>122</v>
      </c>
      <c r="C701" t="s">
        <v>76</v>
      </c>
      <c r="D701">
        <v>3</v>
      </c>
      <c r="E701">
        <v>14.915099999999999</v>
      </c>
      <c r="F701">
        <f t="shared" si="10"/>
        <v>44.7453</v>
      </c>
    </row>
    <row r="702" spans="1:6" x14ac:dyDescent="0.2">
      <c r="A702">
        <v>826</v>
      </c>
      <c r="B702" t="s">
        <v>123</v>
      </c>
      <c r="C702" t="s">
        <v>119</v>
      </c>
      <c r="D702">
        <v>1</v>
      </c>
      <c r="E702">
        <v>122.52459999999999</v>
      </c>
      <c r="F702">
        <f t="shared" si="10"/>
        <v>122.52459999999999</v>
      </c>
    </row>
    <row r="703" spans="1:6" x14ac:dyDescent="0.2">
      <c r="A703">
        <v>826</v>
      </c>
      <c r="B703" t="s">
        <v>124</v>
      </c>
      <c r="C703" t="s">
        <v>119</v>
      </c>
      <c r="D703">
        <v>1</v>
      </c>
      <c r="E703">
        <v>65.877099999999999</v>
      </c>
      <c r="F703">
        <f t="shared" si="10"/>
        <v>65.877099999999999</v>
      </c>
    </row>
    <row r="704" spans="1:6" x14ac:dyDescent="0.2">
      <c r="A704">
        <v>826</v>
      </c>
      <c r="B704" t="s">
        <v>125</v>
      </c>
      <c r="C704" t="s">
        <v>117</v>
      </c>
      <c r="D704">
        <v>3</v>
      </c>
      <c r="E704">
        <v>45.957099999999997</v>
      </c>
      <c r="F704">
        <f t="shared" si="10"/>
        <v>137.87129999999999</v>
      </c>
    </row>
    <row r="705" spans="1:6" x14ac:dyDescent="0.2">
      <c r="A705">
        <v>826</v>
      </c>
      <c r="B705" t="s">
        <v>126</v>
      </c>
      <c r="C705" t="s">
        <v>127</v>
      </c>
      <c r="D705">
        <v>2</v>
      </c>
      <c r="E705">
        <v>411.49739999999997</v>
      </c>
      <c r="F705">
        <f t="shared" si="10"/>
        <v>822.99479999999994</v>
      </c>
    </row>
    <row r="706" spans="1:6" x14ac:dyDescent="0.2">
      <c r="A706">
        <v>826</v>
      </c>
      <c r="B706" t="s">
        <v>129</v>
      </c>
      <c r="C706" t="s">
        <v>130</v>
      </c>
      <c r="D706">
        <v>1</v>
      </c>
      <c r="E706">
        <v>6724.2781999999997</v>
      </c>
      <c r="F706">
        <f t="shared" si="10"/>
        <v>6724.2781999999997</v>
      </c>
    </row>
    <row r="707" spans="1:6" x14ac:dyDescent="0.2">
      <c r="A707">
        <v>826</v>
      </c>
      <c r="B707" t="s">
        <v>132</v>
      </c>
      <c r="C707" t="s">
        <v>133</v>
      </c>
      <c r="D707">
        <v>5</v>
      </c>
      <c r="E707">
        <v>1168.0257999999999</v>
      </c>
      <c r="F707">
        <f t="shared" ref="F707:F770" si="11">D707*E707</f>
        <v>5840.128999999999</v>
      </c>
    </row>
    <row r="708" spans="1:6" x14ac:dyDescent="0.2">
      <c r="A708">
        <v>826</v>
      </c>
      <c r="B708" t="s">
        <v>110</v>
      </c>
      <c r="C708" t="s">
        <v>111</v>
      </c>
      <c r="D708">
        <v>1</v>
      </c>
      <c r="E708">
        <v>119.83539999999999</v>
      </c>
      <c r="F708">
        <f t="shared" si="11"/>
        <v>119.83539999999999</v>
      </c>
    </row>
    <row r="709" spans="1:6" x14ac:dyDescent="0.2">
      <c r="A709">
        <v>826</v>
      </c>
      <c r="B709" t="s">
        <v>112</v>
      </c>
      <c r="C709" t="s">
        <v>113</v>
      </c>
      <c r="D709">
        <v>1</v>
      </c>
      <c r="E709">
        <v>97.646153846153851</v>
      </c>
      <c r="F709">
        <f t="shared" si="11"/>
        <v>97.646153846153851</v>
      </c>
    </row>
    <row r="710" spans="1:6" x14ac:dyDescent="0.2">
      <c r="A710">
        <v>826</v>
      </c>
      <c r="B710" t="s">
        <v>110</v>
      </c>
      <c r="C710" t="s">
        <v>111</v>
      </c>
      <c r="D710">
        <v>1</v>
      </c>
      <c r="E710">
        <v>119.83539999999999</v>
      </c>
      <c r="F710">
        <f t="shared" si="11"/>
        <v>119.83539999999999</v>
      </c>
    </row>
    <row r="711" spans="1:6" x14ac:dyDescent="0.2">
      <c r="A711">
        <v>826</v>
      </c>
      <c r="B711" t="s">
        <v>112</v>
      </c>
      <c r="C711" t="s">
        <v>113</v>
      </c>
      <c r="D711">
        <v>5</v>
      </c>
      <c r="E711">
        <v>97.646153846153851</v>
      </c>
      <c r="F711">
        <f t="shared" si="11"/>
        <v>488.23076923076928</v>
      </c>
    </row>
    <row r="712" spans="1:6" x14ac:dyDescent="0.2">
      <c r="A712">
        <v>826</v>
      </c>
      <c r="B712" t="s">
        <v>97</v>
      </c>
      <c r="C712" t="s">
        <v>98</v>
      </c>
      <c r="D712">
        <v>5</v>
      </c>
      <c r="E712">
        <v>189.87909999999999</v>
      </c>
      <c r="F712">
        <f t="shared" si="11"/>
        <v>949.39549999999997</v>
      </c>
    </row>
    <row r="713" spans="1:6" x14ac:dyDescent="0.2">
      <c r="A713">
        <v>826</v>
      </c>
      <c r="B713" t="s">
        <v>99</v>
      </c>
      <c r="C713" t="s">
        <v>100</v>
      </c>
      <c r="D713">
        <v>1</v>
      </c>
      <c r="E713">
        <v>1287.1384615384613</v>
      </c>
      <c r="F713">
        <f t="shared" si="11"/>
        <v>1287.1384615384613</v>
      </c>
    </row>
    <row r="714" spans="1:6" x14ac:dyDescent="0.2">
      <c r="A714">
        <v>826</v>
      </c>
      <c r="B714" t="s">
        <v>101</v>
      </c>
      <c r="C714" t="s">
        <v>102</v>
      </c>
      <c r="D714">
        <v>1</v>
      </c>
      <c r="E714">
        <v>1363.0371551999999</v>
      </c>
      <c r="F714">
        <f t="shared" si="11"/>
        <v>1363.0371551999999</v>
      </c>
    </row>
    <row r="715" spans="1:6" x14ac:dyDescent="0.2">
      <c r="A715">
        <v>826</v>
      </c>
      <c r="B715" t="s">
        <v>103</v>
      </c>
      <c r="C715" t="s">
        <v>104</v>
      </c>
      <c r="D715">
        <v>4</v>
      </c>
      <c r="E715">
        <v>423.58219999999994</v>
      </c>
      <c r="F715">
        <f t="shared" si="11"/>
        <v>1694.3287999999998</v>
      </c>
    </row>
    <row r="716" spans="1:6" x14ac:dyDescent="0.2">
      <c r="A716">
        <v>826</v>
      </c>
      <c r="B716" t="s">
        <v>105</v>
      </c>
      <c r="C716" t="s">
        <v>106</v>
      </c>
      <c r="D716">
        <v>3</v>
      </c>
      <c r="E716">
        <v>36.470199999999998</v>
      </c>
      <c r="F716">
        <f t="shared" si="11"/>
        <v>109.41059999999999</v>
      </c>
    </row>
    <row r="717" spans="1:6" x14ac:dyDescent="0.2">
      <c r="A717">
        <v>826</v>
      </c>
      <c r="B717" t="s">
        <v>107</v>
      </c>
      <c r="C717" t="s">
        <v>108</v>
      </c>
      <c r="D717">
        <v>1</v>
      </c>
      <c r="E717">
        <v>61.492307692307698</v>
      </c>
      <c r="F717">
        <f t="shared" si="11"/>
        <v>61.492307692307698</v>
      </c>
    </row>
    <row r="718" spans="1:6" x14ac:dyDescent="0.2">
      <c r="A718">
        <v>826</v>
      </c>
      <c r="B718" t="s">
        <v>62</v>
      </c>
      <c r="C718" t="s">
        <v>323</v>
      </c>
      <c r="D718">
        <v>3</v>
      </c>
      <c r="E718">
        <v>0.34859999999999997</v>
      </c>
      <c r="F718">
        <f t="shared" si="11"/>
        <v>1.0457999999999998</v>
      </c>
    </row>
    <row r="719" spans="1:6" x14ac:dyDescent="0.2">
      <c r="A719">
        <v>826</v>
      </c>
      <c r="B719" t="s">
        <v>324</v>
      </c>
      <c r="C719" t="s">
        <v>273</v>
      </c>
      <c r="D719">
        <v>2</v>
      </c>
      <c r="E719">
        <v>0.9544999999999999</v>
      </c>
      <c r="F719">
        <f t="shared" si="11"/>
        <v>1.9089999999999998</v>
      </c>
    </row>
    <row r="720" spans="1:6" x14ac:dyDescent="0.2">
      <c r="A720">
        <v>826</v>
      </c>
      <c r="B720" t="s">
        <v>325</v>
      </c>
      <c r="C720" t="s">
        <v>273</v>
      </c>
      <c r="D720">
        <v>4</v>
      </c>
      <c r="E720">
        <v>3.3692307692307697</v>
      </c>
      <c r="F720">
        <f t="shared" si="11"/>
        <v>13.476923076923079</v>
      </c>
    </row>
    <row r="721" spans="1:6" x14ac:dyDescent="0.2">
      <c r="A721">
        <v>826</v>
      </c>
      <c r="B721" t="s">
        <v>154</v>
      </c>
      <c r="C721" t="s">
        <v>278</v>
      </c>
      <c r="D721">
        <v>1</v>
      </c>
      <c r="E721">
        <v>4.3657999999999992</v>
      </c>
      <c r="F721">
        <f t="shared" si="11"/>
        <v>4.3657999999999992</v>
      </c>
    </row>
    <row r="722" spans="1:6" x14ac:dyDescent="0.2">
      <c r="A722">
        <v>826</v>
      </c>
      <c r="B722" t="s">
        <v>290</v>
      </c>
      <c r="C722" t="s">
        <v>278</v>
      </c>
      <c r="D722">
        <v>118</v>
      </c>
      <c r="E722">
        <v>43.751809919999999</v>
      </c>
      <c r="F722">
        <f t="shared" si="11"/>
        <v>5162.7135705600003</v>
      </c>
    </row>
    <row r="723" spans="1:6" x14ac:dyDescent="0.2">
      <c r="A723">
        <v>826</v>
      </c>
      <c r="B723" t="s">
        <v>288</v>
      </c>
      <c r="C723" t="s">
        <v>289</v>
      </c>
      <c r="D723">
        <v>1</v>
      </c>
      <c r="E723">
        <v>7.3401215999999998</v>
      </c>
      <c r="F723">
        <f t="shared" si="11"/>
        <v>7.3401215999999998</v>
      </c>
    </row>
    <row r="724" spans="1:6" x14ac:dyDescent="0.2">
      <c r="A724">
        <v>826</v>
      </c>
      <c r="B724" t="s">
        <v>287</v>
      </c>
      <c r="C724" t="s">
        <v>273</v>
      </c>
      <c r="D724">
        <v>1</v>
      </c>
      <c r="E724">
        <v>100.66898687999999</v>
      </c>
      <c r="F724">
        <f t="shared" si="11"/>
        <v>100.66898687999999</v>
      </c>
    </row>
    <row r="725" spans="1:6" x14ac:dyDescent="0.2">
      <c r="A725">
        <v>826</v>
      </c>
      <c r="B725" t="s">
        <v>285</v>
      </c>
      <c r="C725" t="s">
        <v>286</v>
      </c>
      <c r="D725">
        <v>3</v>
      </c>
      <c r="E725">
        <v>58.189985279999981</v>
      </c>
      <c r="F725">
        <f t="shared" si="11"/>
        <v>174.56995583999995</v>
      </c>
    </row>
    <row r="726" spans="1:6" x14ac:dyDescent="0.2">
      <c r="A726">
        <v>826</v>
      </c>
      <c r="B726" t="s">
        <v>291</v>
      </c>
      <c r="C726" t="s">
        <v>278</v>
      </c>
      <c r="D726">
        <v>1</v>
      </c>
      <c r="E726">
        <v>24.136399999999998</v>
      </c>
      <c r="F726">
        <f t="shared" si="11"/>
        <v>24.136399999999998</v>
      </c>
    </row>
    <row r="727" spans="1:6" x14ac:dyDescent="0.2">
      <c r="A727">
        <v>826</v>
      </c>
      <c r="B727" t="s">
        <v>277</v>
      </c>
      <c r="C727" t="s">
        <v>278</v>
      </c>
      <c r="D727">
        <v>2</v>
      </c>
      <c r="E727">
        <v>41.026594559999999</v>
      </c>
      <c r="F727">
        <f t="shared" si="11"/>
        <v>82.053189119999999</v>
      </c>
    </row>
    <row r="728" spans="1:6" x14ac:dyDescent="0.2">
      <c r="A728">
        <v>826</v>
      </c>
      <c r="B728" t="s">
        <v>326</v>
      </c>
      <c r="C728" t="s">
        <v>278</v>
      </c>
      <c r="D728">
        <v>3</v>
      </c>
      <c r="E728">
        <v>3.97459776</v>
      </c>
      <c r="F728">
        <f t="shared" si="11"/>
        <v>11.92379328</v>
      </c>
    </row>
    <row r="729" spans="1:6" x14ac:dyDescent="0.2">
      <c r="A729">
        <v>826</v>
      </c>
      <c r="B729" t="s">
        <v>274</v>
      </c>
      <c r="C729" t="s">
        <v>273</v>
      </c>
      <c r="D729">
        <v>6</v>
      </c>
      <c r="E729">
        <v>149.23091903999997</v>
      </c>
      <c r="F729">
        <f t="shared" si="11"/>
        <v>895.38551423999979</v>
      </c>
    </row>
    <row r="730" spans="1:6" x14ac:dyDescent="0.2">
      <c r="A730">
        <v>826</v>
      </c>
      <c r="B730" t="s">
        <v>327</v>
      </c>
      <c r="C730" t="s">
        <v>309</v>
      </c>
      <c r="D730">
        <v>6</v>
      </c>
      <c r="E730">
        <v>1532.5236863999999</v>
      </c>
      <c r="F730">
        <f t="shared" si="11"/>
        <v>9195.1421183999992</v>
      </c>
    </row>
    <row r="731" spans="1:6" x14ac:dyDescent="0.2">
      <c r="A731">
        <v>826</v>
      </c>
      <c r="B731" t="s">
        <v>328</v>
      </c>
      <c r="C731" t="s">
        <v>329</v>
      </c>
      <c r="D731">
        <v>1</v>
      </c>
      <c r="E731">
        <v>155.62307692307695</v>
      </c>
      <c r="F731">
        <f t="shared" si="11"/>
        <v>155.62307692307695</v>
      </c>
    </row>
    <row r="732" spans="1:6" x14ac:dyDescent="0.2">
      <c r="A732">
        <v>826</v>
      </c>
      <c r="B732" t="s">
        <v>330</v>
      </c>
      <c r="C732" t="s">
        <v>331</v>
      </c>
      <c r="D732">
        <v>3</v>
      </c>
      <c r="E732">
        <v>710.44615384615395</v>
      </c>
      <c r="F732">
        <f t="shared" si="11"/>
        <v>2131.3384615384621</v>
      </c>
    </row>
    <row r="733" spans="1:6" x14ac:dyDescent="0.2">
      <c r="A733">
        <v>826</v>
      </c>
      <c r="B733" t="s">
        <v>332</v>
      </c>
      <c r="C733" t="s">
        <v>333</v>
      </c>
      <c r="D733">
        <v>1</v>
      </c>
      <c r="E733">
        <v>167.55384615384617</v>
      </c>
      <c r="F733">
        <f t="shared" si="11"/>
        <v>167.55384615384617</v>
      </c>
    </row>
    <row r="734" spans="1:6" x14ac:dyDescent="0.2">
      <c r="A734">
        <v>826</v>
      </c>
      <c r="B734" t="s">
        <v>272</v>
      </c>
      <c r="C734" t="s">
        <v>273</v>
      </c>
      <c r="D734">
        <v>1</v>
      </c>
      <c r="E734">
        <v>170.11122239999997</v>
      </c>
      <c r="F734">
        <f t="shared" si="11"/>
        <v>170.11122239999997</v>
      </c>
    </row>
    <row r="735" spans="1:6" x14ac:dyDescent="0.2">
      <c r="A735">
        <v>826</v>
      </c>
      <c r="B735" t="s">
        <v>275</v>
      </c>
      <c r="C735" t="s">
        <v>276</v>
      </c>
      <c r="D735">
        <v>3</v>
      </c>
      <c r="E735">
        <v>9.0814483199999998</v>
      </c>
      <c r="F735">
        <f t="shared" si="11"/>
        <v>27.244344959999999</v>
      </c>
    </row>
    <row r="736" spans="1:6" x14ac:dyDescent="0.2">
      <c r="A736">
        <v>826</v>
      </c>
      <c r="B736" t="s">
        <v>334</v>
      </c>
      <c r="C736" t="s">
        <v>329</v>
      </c>
      <c r="D736">
        <v>2</v>
      </c>
      <c r="E736">
        <v>149.03076923076924</v>
      </c>
      <c r="F736">
        <f t="shared" si="11"/>
        <v>298.06153846153848</v>
      </c>
    </row>
    <row r="737" spans="1:6" x14ac:dyDescent="0.2">
      <c r="A737">
        <v>826</v>
      </c>
      <c r="B737" t="s">
        <v>335</v>
      </c>
      <c r="C737" t="s">
        <v>331</v>
      </c>
      <c r="D737">
        <v>1</v>
      </c>
      <c r="E737">
        <v>703.1</v>
      </c>
      <c r="F737">
        <f t="shared" si="11"/>
        <v>703.1</v>
      </c>
    </row>
    <row r="738" spans="1:6" x14ac:dyDescent="0.2">
      <c r="A738">
        <v>826</v>
      </c>
      <c r="B738" t="s">
        <v>336</v>
      </c>
      <c r="C738" t="s">
        <v>333</v>
      </c>
      <c r="D738">
        <v>5</v>
      </c>
      <c r="E738">
        <v>288.42307692307691</v>
      </c>
      <c r="F738">
        <f t="shared" si="11"/>
        <v>1442.1153846153845</v>
      </c>
    </row>
    <row r="739" spans="1:6" x14ac:dyDescent="0.2">
      <c r="A739">
        <v>826</v>
      </c>
      <c r="B739" t="s">
        <v>337</v>
      </c>
      <c r="C739" t="s">
        <v>297</v>
      </c>
      <c r="D739">
        <v>1</v>
      </c>
      <c r="E739">
        <v>11.761099999999999</v>
      </c>
      <c r="F739">
        <f t="shared" si="11"/>
        <v>11.761099999999999</v>
      </c>
    </row>
    <row r="740" spans="1:6" x14ac:dyDescent="0.2">
      <c r="A740">
        <v>826</v>
      </c>
      <c r="B740" t="s">
        <v>338</v>
      </c>
      <c r="C740" t="s">
        <v>297</v>
      </c>
      <c r="D740">
        <v>1</v>
      </c>
      <c r="E740">
        <v>11.712959999999999</v>
      </c>
      <c r="F740">
        <f t="shared" si="11"/>
        <v>11.712959999999999</v>
      </c>
    </row>
    <row r="741" spans="1:6" x14ac:dyDescent="0.2">
      <c r="A741">
        <v>826</v>
      </c>
      <c r="B741" t="s">
        <v>339</v>
      </c>
      <c r="C741" t="s">
        <v>297</v>
      </c>
      <c r="D741">
        <v>1</v>
      </c>
      <c r="E741">
        <v>20.279038079999996</v>
      </c>
      <c r="F741">
        <f t="shared" si="11"/>
        <v>20.279038079999996</v>
      </c>
    </row>
    <row r="742" spans="1:6" x14ac:dyDescent="0.2">
      <c r="A742">
        <v>826</v>
      </c>
      <c r="B742" t="s">
        <v>340</v>
      </c>
      <c r="C742" t="s">
        <v>309</v>
      </c>
      <c r="D742">
        <v>5</v>
      </c>
      <c r="E742">
        <v>1536.3343027199999</v>
      </c>
      <c r="F742">
        <f t="shared" si="11"/>
        <v>7681.6715135999993</v>
      </c>
    </row>
    <row r="743" spans="1:6" x14ac:dyDescent="0.2">
      <c r="A743">
        <v>826</v>
      </c>
      <c r="B743" t="s">
        <v>341</v>
      </c>
      <c r="C743" t="s">
        <v>342</v>
      </c>
      <c r="D743">
        <v>5</v>
      </c>
      <c r="E743">
        <v>307.22449999999998</v>
      </c>
      <c r="F743">
        <f t="shared" si="11"/>
        <v>1536.1224999999999</v>
      </c>
    </row>
    <row r="744" spans="1:6" x14ac:dyDescent="0.2">
      <c r="A744">
        <v>826</v>
      </c>
      <c r="B744" t="s">
        <v>284</v>
      </c>
      <c r="C744" t="s">
        <v>273</v>
      </c>
      <c r="D744">
        <v>1</v>
      </c>
      <c r="E744">
        <v>15.547002240000001</v>
      </c>
      <c r="F744">
        <f t="shared" si="11"/>
        <v>15.547002240000001</v>
      </c>
    </row>
    <row r="745" spans="1:6" x14ac:dyDescent="0.2">
      <c r="A745">
        <v>826</v>
      </c>
      <c r="B745" t="s">
        <v>283</v>
      </c>
      <c r="C745" t="s">
        <v>278</v>
      </c>
      <c r="D745">
        <v>1</v>
      </c>
      <c r="E745">
        <v>101.76219647999997</v>
      </c>
      <c r="F745">
        <f t="shared" si="11"/>
        <v>101.76219647999997</v>
      </c>
    </row>
    <row r="746" spans="1:6" x14ac:dyDescent="0.2">
      <c r="A746">
        <v>826</v>
      </c>
      <c r="B746" t="s">
        <v>281</v>
      </c>
      <c r="C746" t="s">
        <v>282</v>
      </c>
      <c r="D746">
        <v>4</v>
      </c>
      <c r="E746">
        <v>43.369186559999996</v>
      </c>
      <c r="F746">
        <f t="shared" si="11"/>
        <v>173.47674623999998</v>
      </c>
    </row>
    <row r="747" spans="1:6" x14ac:dyDescent="0.2">
      <c r="A747">
        <v>826</v>
      </c>
      <c r="B747" t="s">
        <v>279</v>
      </c>
      <c r="C747" t="s">
        <v>280</v>
      </c>
      <c r="D747">
        <v>3</v>
      </c>
      <c r="E747">
        <v>36.786503039999999</v>
      </c>
      <c r="F747">
        <f t="shared" si="11"/>
        <v>110.35950912</v>
      </c>
    </row>
    <row r="748" spans="1:6" x14ac:dyDescent="0.2">
      <c r="A748">
        <v>826</v>
      </c>
      <c r="B748" t="s">
        <v>343</v>
      </c>
      <c r="C748" t="s">
        <v>282</v>
      </c>
      <c r="D748">
        <v>1</v>
      </c>
      <c r="E748">
        <v>16.807499999999997</v>
      </c>
      <c r="F748">
        <f t="shared" si="11"/>
        <v>16.807499999999997</v>
      </c>
    </row>
    <row r="749" spans="1:6" x14ac:dyDescent="0.2">
      <c r="A749">
        <v>826</v>
      </c>
      <c r="B749" t="s">
        <v>344</v>
      </c>
      <c r="C749" t="s">
        <v>282</v>
      </c>
      <c r="D749">
        <v>3</v>
      </c>
      <c r="E749">
        <v>12.767126399999999</v>
      </c>
      <c r="F749">
        <f t="shared" si="11"/>
        <v>38.3013792</v>
      </c>
    </row>
    <row r="750" spans="1:6" x14ac:dyDescent="0.2">
      <c r="A750">
        <v>826</v>
      </c>
      <c r="B750" t="s">
        <v>270</v>
      </c>
      <c r="C750" t="s">
        <v>271</v>
      </c>
      <c r="D750">
        <v>2</v>
      </c>
      <c r="E750">
        <v>3027.0973823999993</v>
      </c>
      <c r="F750">
        <f t="shared" si="11"/>
        <v>6054.1947647999987</v>
      </c>
    </row>
    <row r="751" spans="1:6" x14ac:dyDescent="0.2">
      <c r="A751">
        <v>826</v>
      </c>
      <c r="B751" t="s">
        <v>272</v>
      </c>
      <c r="C751" t="s">
        <v>273</v>
      </c>
      <c r="D751">
        <v>4</v>
      </c>
      <c r="E751">
        <v>170.11122239999997</v>
      </c>
      <c r="F751">
        <f t="shared" si="11"/>
        <v>680.4448895999999</v>
      </c>
    </row>
    <row r="752" spans="1:6" x14ac:dyDescent="0.2">
      <c r="A752">
        <v>826</v>
      </c>
      <c r="B752" t="s">
        <v>274</v>
      </c>
      <c r="C752" t="s">
        <v>273</v>
      </c>
      <c r="D752">
        <v>1</v>
      </c>
      <c r="E752">
        <v>149.23091903999997</v>
      </c>
      <c r="F752">
        <f t="shared" si="11"/>
        <v>149.23091903999997</v>
      </c>
    </row>
    <row r="753" spans="1:6" x14ac:dyDescent="0.2">
      <c r="A753">
        <v>826</v>
      </c>
      <c r="B753" t="s">
        <v>275</v>
      </c>
      <c r="C753" t="s">
        <v>276</v>
      </c>
      <c r="D753">
        <v>118</v>
      </c>
      <c r="E753">
        <v>9.0814483199999998</v>
      </c>
      <c r="F753">
        <f t="shared" si="11"/>
        <v>1071.6109017599999</v>
      </c>
    </row>
    <row r="754" spans="1:6" x14ac:dyDescent="0.2">
      <c r="A754">
        <v>826</v>
      </c>
      <c r="B754" t="s">
        <v>277</v>
      </c>
      <c r="C754" t="s">
        <v>278</v>
      </c>
      <c r="D754">
        <v>1</v>
      </c>
      <c r="E754">
        <v>41.026594559999999</v>
      </c>
      <c r="F754">
        <f t="shared" si="11"/>
        <v>41.026594559999999</v>
      </c>
    </row>
    <row r="755" spans="1:6" x14ac:dyDescent="0.2">
      <c r="A755">
        <v>826</v>
      </c>
      <c r="B755" t="s">
        <v>279</v>
      </c>
      <c r="C755" t="s">
        <v>280</v>
      </c>
      <c r="D755">
        <v>1</v>
      </c>
      <c r="E755">
        <v>36.786503039999999</v>
      </c>
      <c r="F755">
        <f t="shared" si="11"/>
        <v>36.786503039999999</v>
      </c>
    </row>
    <row r="756" spans="1:6" x14ac:dyDescent="0.2">
      <c r="A756">
        <v>826</v>
      </c>
      <c r="B756" t="s">
        <v>281</v>
      </c>
      <c r="C756" t="s">
        <v>282</v>
      </c>
      <c r="D756">
        <v>3</v>
      </c>
      <c r="E756">
        <v>43.369186559999996</v>
      </c>
      <c r="F756">
        <f t="shared" si="11"/>
        <v>130.10755967999998</v>
      </c>
    </row>
    <row r="757" spans="1:6" x14ac:dyDescent="0.2">
      <c r="A757">
        <v>826</v>
      </c>
      <c r="B757" t="s">
        <v>283</v>
      </c>
      <c r="C757" t="s">
        <v>278</v>
      </c>
      <c r="D757">
        <v>1</v>
      </c>
      <c r="E757">
        <v>101.76219647999997</v>
      </c>
      <c r="F757">
        <f t="shared" si="11"/>
        <v>101.76219647999997</v>
      </c>
    </row>
    <row r="758" spans="1:6" x14ac:dyDescent="0.2">
      <c r="A758">
        <v>826</v>
      </c>
      <c r="B758" t="s">
        <v>284</v>
      </c>
      <c r="C758" t="s">
        <v>273</v>
      </c>
      <c r="D758">
        <v>2</v>
      </c>
      <c r="E758">
        <v>15.547002240000001</v>
      </c>
      <c r="F758">
        <f t="shared" si="11"/>
        <v>31.094004480000002</v>
      </c>
    </row>
    <row r="759" spans="1:6" x14ac:dyDescent="0.2">
      <c r="A759">
        <v>826</v>
      </c>
      <c r="B759" t="s">
        <v>285</v>
      </c>
      <c r="C759" t="s">
        <v>286</v>
      </c>
      <c r="D759">
        <v>3</v>
      </c>
      <c r="E759">
        <v>58.189985279999981</v>
      </c>
      <c r="F759">
        <f t="shared" si="11"/>
        <v>174.56995583999995</v>
      </c>
    </row>
    <row r="760" spans="1:6" x14ac:dyDescent="0.2">
      <c r="A760">
        <v>826</v>
      </c>
      <c r="B760" t="s">
        <v>287</v>
      </c>
      <c r="C760" t="s">
        <v>273</v>
      </c>
      <c r="D760">
        <v>6</v>
      </c>
      <c r="E760">
        <v>100.66898687999999</v>
      </c>
      <c r="F760">
        <f t="shared" si="11"/>
        <v>604.01392127999998</v>
      </c>
    </row>
    <row r="761" spans="1:6" x14ac:dyDescent="0.2">
      <c r="A761">
        <v>826</v>
      </c>
      <c r="B761" t="s">
        <v>288</v>
      </c>
      <c r="C761" t="s">
        <v>289</v>
      </c>
      <c r="D761">
        <v>6</v>
      </c>
      <c r="E761">
        <v>7.3401215999999998</v>
      </c>
      <c r="F761">
        <f t="shared" si="11"/>
        <v>44.040729599999999</v>
      </c>
    </row>
    <row r="762" spans="1:6" x14ac:dyDescent="0.2">
      <c r="A762">
        <v>826</v>
      </c>
      <c r="B762" t="s">
        <v>290</v>
      </c>
      <c r="C762" t="s">
        <v>278</v>
      </c>
      <c r="D762">
        <v>1</v>
      </c>
      <c r="E762">
        <v>43.751809919999999</v>
      </c>
      <c r="F762">
        <f t="shared" si="11"/>
        <v>43.751809919999999</v>
      </c>
    </row>
    <row r="763" spans="1:6" x14ac:dyDescent="0.2">
      <c r="A763">
        <v>826</v>
      </c>
      <c r="B763" t="s">
        <v>277</v>
      </c>
      <c r="C763" t="s">
        <v>278</v>
      </c>
      <c r="D763">
        <v>3</v>
      </c>
      <c r="E763">
        <v>41.026594559999999</v>
      </c>
      <c r="F763">
        <f t="shared" si="11"/>
        <v>123.07978367999999</v>
      </c>
    </row>
    <row r="764" spans="1:6" x14ac:dyDescent="0.2">
      <c r="A764">
        <v>826</v>
      </c>
      <c r="B764" t="s">
        <v>291</v>
      </c>
      <c r="C764" t="s">
        <v>278</v>
      </c>
      <c r="D764">
        <v>1</v>
      </c>
      <c r="E764">
        <v>24.136399999999998</v>
      </c>
      <c r="F764">
        <f t="shared" si="11"/>
        <v>24.136399999999998</v>
      </c>
    </row>
    <row r="765" spans="1:6" x14ac:dyDescent="0.2">
      <c r="A765">
        <v>826</v>
      </c>
      <c r="B765" t="s">
        <v>292</v>
      </c>
      <c r="C765" t="s">
        <v>293</v>
      </c>
      <c r="D765">
        <v>1</v>
      </c>
      <c r="E765">
        <v>96.852699999999999</v>
      </c>
      <c r="F765">
        <f t="shared" si="11"/>
        <v>96.852699999999999</v>
      </c>
    </row>
    <row r="766" spans="1:6" x14ac:dyDescent="0.2">
      <c r="A766">
        <v>826</v>
      </c>
      <c r="B766" t="s">
        <v>294</v>
      </c>
      <c r="C766" t="s">
        <v>278</v>
      </c>
      <c r="D766">
        <v>3</v>
      </c>
      <c r="E766">
        <v>26.221413119999998</v>
      </c>
      <c r="F766">
        <f t="shared" si="11"/>
        <v>78.664239359999996</v>
      </c>
    </row>
    <row r="767" spans="1:6" x14ac:dyDescent="0.2">
      <c r="A767">
        <v>826</v>
      </c>
      <c r="B767" t="s">
        <v>295</v>
      </c>
      <c r="C767" t="s">
        <v>273</v>
      </c>
      <c r="D767">
        <v>2</v>
      </c>
      <c r="E767">
        <v>54.886930560000003</v>
      </c>
      <c r="F767">
        <f t="shared" si="11"/>
        <v>109.77386112000001</v>
      </c>
    </row>
    <row r="768" spans="1:6" x14ac:dyDescent="0.2">
      <c r="A768">
        <v>826</v>
      </c>
      <c r="B768" t="s">
        <v>296</v>
      </c>
      <c r="C768" t="s">
        <v>297</v>
      </c>
      <c r="D768">
        <v>1</v>
      </c>
      <c r="E768">
        <v>5.5028999999999995</v>
      </c>
      <c r="F768">
        <f t="shared" si="11"/>
        <v>5.5028999999999995</v>
      </c>
    </row>
    <row r="769" spans="1:6" x14ac:dyDescent="0.2">
      <c r="A769">
        <v>826</v>
      </c>
      <c r="B769" t="s">
        <v>298</v>
      </c>
      <c r="C769" t="s">
        <v>297</v>
      </c>
      <c r="D769">
        <v>5</v>
      </c>
      <c r="E769">
        <v>5.9344999999999999</v>
      </c>
      <c r="F769">
        <f t="shared" si="11"/>
        <v>29.672499999999999</v>
      </c>
    </row>
    <row r="770" spans="1:6" x14ac:dyDescent="0.2">
      <c r="A770">
        <v>826</v>
      </c>
      <c r="B770" t="s">
        <v>299</v>
      </c>
      <c r="C770" t="s">
        <v>297</v>
      </c>
      <c r="D770">
        <v>1</v>
      </c>
      <c r="E770">
        <v>4.3574999999999999</v>
      </c>
      <c r="F770">
        <f t="shared" si="11"/>
        <v>4.3574999999999999</v>
      </c>
    </row>
    <row r="771" spans="1:6" x14ac:dyDescent="0.2">
      <c r="A771">
        <v>826</v>
      </c>
      <c r="B771" t="s">
        <v>122</v>
      </c>
      <c r="C771" t="s">
        <v>276</v>
      </c>
      <c r="D771">
        <v>1</v>
      </c>
      <c r="E771">
        <v>14.915099999999999</v>
      </c>
      <c r="F771">
        <f t="shared" ref="F771:F834" si="12">D771*E771</f>
        <v>14.915099999999999</v>
      </c>
    </row>
    <row r="772" spans="1:6" x14ac:dyDescent="0.2">
      <c r="A772">
        <v>826</v>
      </c>
      <c r="B772" t="s">
        <v>120</v>
      </c>
      <c r="C772" t="s">
        <v>278</v>
      </c>
      <c r="D772">
        <v>1</v>
      </c>
      <c r="E772">
        <v>1.5603999999999998</v>
      </c>
      <c r="F772">
        <f t="shared" si="12"/>
        <v>1.5603999999999998</v>
      </c>
    </row>
    <row r="773" spans="1:6" x14ac:dyDescent="0.2">
      <c r="A773">
        <v>826</v>
      </c>
      <c r="B773" t="s">
        <v>300</v>
      </c>
      <c r="C773" t="s">
        <v>273</v>
      </c>
      <c r="D773">
        <v>5</v>
      </c>
      <c r="E773">
        <v>60.589999999999996</v>
      </c>
      <c r="F773">
        <f t="shared" si="12"/>
        <v>302.95</v>
      </c>
    </row>
    <row r="774" spans="1:6" x14ac:dyDescent="0.2">
      <c r="A774">
        <v>826</v>
      </c>
      <c r="B774" t="s">
        <v>301</v>
      </c>
      <c r="C774" t="s">
        <v>302</v>
      </c>
      <c r="D774">
        <v>5</v>
      </c>
      <c r="E774">
        <v>104.88565247999999</v>
      </c>
      <c r="F774">
        <f t="shared" si="12"/>
        <v>524.42826239999999</v>
      </c>
    </row>
    <row r="775" spans="1:6" x14ac:dyDescent="0.2">
      <c r="A775">
        <v>826</v>
      </c>
      <c r="B775" t="s">
        <v>303</v>
      </c>
      <c r="C775" t="s">
        <v>304</v>
      </c>
      <c r="D775">
        <v>1</v>
      </c>
      <c r="E775">
        <v>683.94489999999996</v>
      </c>
      <c r="F775">
        <f t="shared" si="12"/>
        <v>683.94489999999996</v>
      </c>
    </row>
    <row r="776" spans="1:6" x14ac:dyDescent="0.2">
      <c r="A776">
        <v>826</v>
      </c>
      <c r="B776" t="s">
        <v>305</v>
      </c>
      <c r="C776" t="s">
        <v>273</v>
      </c>
      <c r="D776">
        <v>1</v>
      </c>
      <c r="E776">
        <v>71.189099999999996</v>
      </c>
      <c r="F776">
        <f t="shared" si="12"/>
        <v>71.189099999999996</v>
      </c>
    </row>
    <row r="777" spans="1:6" x14ac:dyDescent="0.2">
      <c r="A777">
        <v>826</v>
      </c>
      <c r="B777" t="s">
        <v>294</v>
      </c>
      <c r="C777" t="s">
        <v>278</v>
      </c>
      <c r="D777">
        <v>4</v>
      </c>
      <c r="E777">
        <v>26.221413119999998</v>
      </c>
      <c r="F777">
        <f t="shared" si="12"/>
        <v>104.88565247999999</v>
      </c>
    </row>
    <row r="778" spans="1:6" x14ac:dyDescent="0.2">
      <c r="A778">
        <v>826</v>
      </c>
      <c r="B778" t="s">
        <v>306</v>
      </c>
      <c r="C778" t="s">
        <v>273</v>
      </c>
      <c r="D778">
        <v>3</v>
      </c>
      <c r="E778">
        <v>99.575777279999997</v>
      </c>
      <c r="F778">
        <f t="shared" si="12"/>
        <v>298.72733183999998</v>
      </c>
    </row>
    <row r="779" spans="1:6" x14ac:dyDescent="0.2">
      <c r="A779">
        <v>826</v>
      </c>
      <c r="B779" t="s">
        <v>294</v>
      </c>
      <c r="C779" t="s">
        <v>278</v>
      </c>
      <c r="D779">
        <v>1</v>
      </c>
      <c r="E779">
        <v>26.221413119999998</v>
      </c>
      <c r="F779">
        <f t="shared" si="12"/>
        <v>26.221413119999998</v>
      </c>
    </row>
    <row r="780" spans="1:6" x14ac:dyDescent="0.2">
      <c r="A780">
        <v>826</v>
      </c>
      <c r="B780" t="s">
        <v>306</v>
      </c>
      <c r="C780" t="s">
        <v>273</v>
      </c>
      <c r="D780">
        <v>3</v>
      </c>
      <c r="E780">
        <v>99.575777279999997</v>
      </c>
      <c r="F780">
        <f t="shared" si="12"/>
        <v>298.72733183999998</v>
      </c>
    </row>
    <row r="781" spans="1:6" x14ac:dyDescent="0.2">
      <c r="A781">
        <v>826</v>
      </c>
      <c r="B781" t="s">
        <v>308</v>
      </c>
      <c r="C781" t="s">
        <v>309</v>
      </c>
      <c r="D781">
        <v>2</v>
      </c>
      <c r="E781">
        <v>167.62307692307692</v>
      </c>
      <c r="F781">
        <f t="shared" si="12"/>
        <v>335.24615384615385</v>
      </c>
    </row>
    <row r="782" spans="1:6" x14ac:dyDescent="0.2">
      <c r="A782">
        <v>826</v>
      </c>
      <c r="B782" t="s">
        <v>310</v>
      </c>
      <c r="C782" t="s">
        <v>273</v>
      </c>
      <c r="D782">
        <v>4</v>
      </c>
      <c r="E782">
        <v>0.33200000000000002</v>
      </c>
      <c r="F782">
        <f t="shared" si="12"/>
        <v>1.3280000000000001</v>
      </c>
    </row>
    <row r="783" spans="1:6" x14ac:dyDescent="0.2">
      <c r="A783">
        <v>826</v>
      </c>
      <c r="B783" t="s">
        <v>197</v>
      </c>
      <c r="C783" t="s">
        <v>278</v>
      </c>
      <c r="D783">
        <v>1</v>
      </c>
      <c r="E783">
        <v>7.4699999999999989E-2</v>
      </c>
      <c r="F783">
        <f t="shared" si="12"/>
        <v>7.4699999999999989E-2</v>
      </c>
    </row>
    <row r="784" spans="1:6" x14ac:dyDescent="0.2">
      <c r="A784">
        <v>826</v>
      </c>
      <c r="B784" t="s">
        <v>311</v>
      </c>
      <c r="C784" t="s">
        <v>273</v>
      </c>
      <c r="D784">
        <v>118</v>
      </c>
      <c r="E784">
        <v>1.5935999999999999</v>
      </c>
      <c r="F784">
        <f t="shared" si="12"/>
        <v>188.04479999999998</v>
      </c>
    </row>
    <row r="785" spans="1:6" x14ac:dyDescent="0.2">
      <c r="A785">
        <v>826</v>
      </c>
      <c r="B785" t="s">
        <v>312</v>
      </c>
      <c r="C785" t="s">
        <v>278</v>
      </c>
      <c r="D785">
        <v>1</v>
      </c>
      <c r="E785">
        <v>21.040500000000002</v>
      </c>
      <c r="F785">
        <f t="shared" si="12"/>
        <v>21.040500000000002</v>
      </c>
    </row>
    <row r="786" spans="1:6" x14ac:dyDescent="0.2">
      <c r="A786">
        <v>826</v>
      </c>
      <c r="B786" t="s">
        <v>75</v>
      </c>
      <c r="C786" t="s">
        <v>313</v>
      </c>
      <c r="D786">
        <v>1</v>
      </c>
      <c r="E786">
        <v>0.1153846153846154</v>
      </c>
      <c r="F786">
        <f t="shared" si="12"/>
        <v>0.1153846153846154</v>
      </c>
    </row>
    <row r="787" spans="1:6" x14ac:dyDescent="0.2">
      <c r="A787">
        <v>826</v>
      </c>
      <c r="B787" t="s">
        <v>314</v>
      </c>
      <c r="C787" t="s">
        <v>273</v>
      </c>
      <c r="D787">
        <v>3</v>
      </c>
      <c r="E787">
        <v>0.45650000000000002</v>
      </c>
      <c r="F787">
        <f t="shared" si="12"/>
        <v>1.3694999999999999</v>
      </c>
    </row>
    <row r="788" spans="1:6" x14ac:dyDescent="0.2">
      <c r="A788">
        <v>826</v>
      </c>
      <c r="B788" t="s">
        <v>314</v>
      </c>
      <c r="C788" t="s">
        <v>315</v>
      </c>
      <c r="D788">
        <v>1</v>
      </c>
      <c r="E788">
        <v>0.45650000000000002</v>
      </c>
      <c r="F788">
        <f t="shared" si="12"/>
        <v>0.45650000000000002</v>
      </c>
    </row>
    <row r="789" spans="1:6" x14ac:dyDescent="0.2">
      <c r="A789">
        <v>826</v>
      </c>
      <c r="B789" t="s">
        <v>316</v>
      </c>
      <c r="C789" t="s">
        <v>317</v>
      </c>
      <c r="D789">
        <v>2</v>
      </c>
      <c r="E789">
        <v>92.206615384615375</v>
      </c>
      <c r="F789">
        <f t="shared" si="12"/>
        <v>184.41323076923075</v>
      </c>
    </row>
    <row r="790" spans="1:6" x14ac:dyDescent="0.2">
      <c r="A790">
        <v>826</v>
      </c>
      <c r="B790" t="s">
        <v>318</v>
      </c>
      <c r="C790" t="s">
        <v>319</v>
      </c>
      <c r="D790">
        <v>3</v>
      </c>
      <c r="E790">
        <v>85.453846153846172</v>
      </c>
      <c r="F790">
        <f t="shared" si="12"/>
        <v>256.36153846153854</v>
      </c>
    </row>
    <row r="791" spans="1:6" x14ac:dyDescent="0.2">
      <c r="A791">
        <v>826</v>
      </c>
      <c r="B791" t="s">
        <v>320</v>
      </c>
      <c r="C791" t="s">
        <v>321</v>
      </c>
      <c r="D791">
        <v>6</v>
      </c>
      <c r="E791">
        <v>92.206615384615375</v>
      </c>
      <c r="F791">
        <f t="shared" si="12"/>
        <v>553.23969230769228</v>
      </c>
    </row>
    <row r="792" spans="1:6" x14ac:dyDescent="0.2">
      <c r="A792">
        <v>826</v>
      </c>
      <c r="B792" t="s">
        <v>267</v>
      </c>
      <c r="C792" t="s">
        <v>268</v>
      </c>
      <c r="D792">
        <v>6</v>
      </c>
      <c r="E792">
        <v>84863.132923076919</v>
      </c>
      <c r="F792">
        <f t="shared" si="12"/>
        <v>509178.79753846151</v>
      </c>
    </row>
    <row r="793" spans="1:6" x14ac:dyDescent="0.2">
      <c r="A793">
        <v>826</v>
      </c>
      <c r="B793" t="s">
        <v>260</v>
      </c>
      <c r="C793" t="s">
        <v>261</v>
      </c>
      <c r="D793">
        <v>1</v>
      </c>
      <c r="E793">
        <v>2908.2944615384613</v>
      </c>
      <c r="F793">
        <f t="shared" si="12"/>
        <v>2908.2944615384613</v>
      </c>
    </row>
    <row r="794" spans="1:6" x14ac:dyDescent="0.2">
      <c r="A794">
        <v>826</v>
      </c>
      <c r="B794" t="s">
        <v>262</v>
      </c>
      <c r="C794" t="s">
        <v>263</v>
      </c>
      <c r="D794">
        <v>3</v>
      </c>
      <c r="E794">
        <v>3207.1966153846147</v>
      </c>
      <c r="F794">
        <f t="shared" si="12"/>
        <v>9621.5898461538436</v>
      </c>
    </row>
    <row r="795" spans="1:6" x14ac:dyDescent="0.2">
      <c r="A795">
        <v>826</v>
      </c>
      <c r="B795" t="s">
        <v>264</v>
      </c>
      <c r="C795" t="s">
        <v>265</v>
      </c>
      <c r="D795">
        <v>1</v>
      </c>
      <c r="E795">
        <v>3466.73123076923</v>
      </c>
      <c r="F795">
        <f t="shared" si="12"/>
        <v>3466.73123076923</v>
      </c>
    </row>
    <row r="796" spans="1:6" x14ac:dyDescent="0.2">
      <c r="A796">
        <v>826</v>
      </c>
      <c r="B796" t="s">
        <v>259</v>
      </c>
      <c r="C796" t="s">
        <v>258</v>
      </c>
      <c r="D796">
        <v>1</v>
      </c>
      <c r="E796">
        <v>3325.9759999999997</v>
      </c>
      <c r="F796">
        <f t="shared" si="12"/>
        <v>3325.9759999999997</v>
      </c>
    </row>
    <row r="797" spans="1:6" x14ac:dyDescent="0.2">
      <c r="A797">
        <v>826</v>
      </c>
      <c r="B797" t="s">
        <v>257</v>
      </c>
      <c r="C797" t="s">
        <v>258</v>
      </c>
      <c r="D797">
        <v>3</v>
      </c>
      <c r="E797">
        <v>3325.9759999999997</v>
      </c>
      <c r="F797">
        <f t="shared" si="12"/>
        <v>9977.9279999999999</v>
      </c>
    </row>
    <row r="798" spans="1:6" x14ac:dyDescent="0.2">
      <c r="A798">
        <v>826</v>
      </c>
      <c r="B798" t="s">
        <v>255</v>
      </c>
      <c r="C798" t="s">
        <v>256</v>
      </c>
      <c r="D798">
        <v>2</v>
      </c>
      <c r="E798">
        <v>18546.094615384613</v>
      </c>
      <c r="F798">
        <f t="shared" si="12"/>
        <v>37092.189230769225</v>
      </c>
    </row>
    <row r="799" spans="1:6" x14ac:dyDescent="0.2">
      <c r="A799">
        <v>826</v>
      </c>
      <c r="B799" t="s">
        <v>253</v>
      </c>
      <c r="C799" t="s">
        <v>254</v>
      </c>
      <c r="D799">
        <v>1</v>
      </c>
      <c r="E799">
        <v>21043.67953846154</v>
      </c>
      <c r="F799">
        <f t="shared" si="12"/>
        <v>21043.67953846154</v>
      </c>
    </row>
    <row r="800" spans="1:6" x14ac:dyDescent="0.2">
      <c r="A800">
        <v>826</v>
      </c>
      <c r="B800" t="s">
        <v>359</v>
      </c>
      <c r="C800" t="s">
        <v>360</v>
      </c>
      <c r="D800">
        <v>5</v>
      </c>
      <c r="E800">
        <v>1844.9384615384615</v>
      </c>
      <c r="F800">
        <f t="shared" si="12"/>
        <v>9224.6923076923085</v>
      </c>
    </row>
    <row r="801" spans="1:6" x14ac:dyDescent="0.2">
      <c r="A801">
        <v>826</v>
      </c>
      <c r="B801" t="s">
        <v>389</v>
      </c>
      <c r="C801" t="s">
        <v>390</v>
      </c>
      <c r="D801">
        <v>1</v>
      </c>
      <c r="E801">
        <v>4906</v>
      </c>
      <c r="F801">
        <f t="shared" si="12"/>
        <v>4906</v>
      </c>
    </row>
    <row r="802" spans="1:6" x14ac:dyDescent="0.2">
      <c r="A802">
        <v>827</v>
      </c>
      <c r="B802" t="s">
        <v>62</v>
      </c>
      <c r="C802" t="s">
        <v>63</v>
      </c>
      <c r="D802">
        <v>3</v>
      </c>
      <c r="E802">
        <v>0.34860000000000002</v>
      </c>
      <c r="F802">
        <f t="shared" si="12"/>
        <v>1.0458000000000001</v>
      </c>
    </row>
    <row r="803" spans="1:6" x14ac:dyDescent="0.2">
      <c r="A803">
        <v>827</v>
      </c>
      <c r="B803" t="s">
        <v>64</v>
      </c>
      <c r="C803" t="s">
        <v>65</v>
      </c>
      <c r="D803">
        <v>6</v>
      </c>
      <c r="E803">
        <v>803.07692307692309</v>
      </c>
      <c r="F803">
        <f t="shared" si="12"/>
        <v>4818.461538461539</v>
      </c>
    </row>
    <row r="804" spans="1:6" x14ac:dyDescent="0.2">
      <c r="A804">
        <v>827</v>
      </c>
      <c r="B804" t="s">
        <v>67</v>
      </c>
      <c r="C804" t="s">
        <v>68</v>
      </c>
      <c r="D804">
        <v>6</v>
      </c>
      <c r="E804">
        <v>49.678567679999993</v>
      </c>
      <c r="F804">
        <f t="shared" si="12"/>
        <v>298.07140607999997</v>
      </c>
    </row>
    <row r="805" spans="1:6" x14ac:dyDescent="0.2">
      <c r="A805">
        <v>827</v>
      </c>
      <c r="B805" t="s">
        <v>70</v>
      </c>
      <c r="C805" t="s">
        <v>71</v>
      </c>
      <c r="D805">
        <v>1</v>
      </c>
      <c r="E805">
        <v>407.98649999999998</v>
      </c>
      <c r="F805">
        <f t="shared" si="12"/>
        <v>407.98649999999998</v>
      </c>
    </row>
    <row r="806" spans="1:6" x14ac:dyDescent="0.2">
      <c r="A806">
        <v>827</v>
      </c>
      <c r="B806" t="s">
        <v>73</v>
      </c>
      <c r="C806" t="s">
        <v>74</v>
      </c>
      <c r="D806">
        <v>3</v>
      </c>
      <c r="E806">
        <v>0.57783935999999991</v>
      </c>
      <c r="F806">
        <f t="shared" si="12"/>
        <v>1.7335180799999996</v>
      </c>
    </row>
    <row r="807" spans="1:6" x14ac:dyDescent="0.2">
      <c r="A807">
        <v>827</v>
      </c>
      <c r="B807" t="s">
        <v>75</v>
      </c>
      <c r="C807" t="s">
        <v>76</v>
      </c>
      <c r="D807">
        <v>1</v>
      </c>
      <c r="E807">
        <v>0.1153846153846154</v>
      </c>
      <c r="F807">
        <f t="shared" si="12"/>
        <v>0.1153846153846154</v>
      </c>
    </row>
    <row r="808" spans="1:6" x14ac:dyDescent="0.2">
      <c r="A808">
        <v>827</v>
      </c>
      <c r="B808" t="s">
        <v>77</v>
      </c>
      <c r="C808" t="s">
        <v>74</v>
      </c>
      <c r="D808">
        <v>1</v>
      </c>
      <c r="E808">
        <v>1.3943999999999999</v>
      </c>
      <c r="F808">
        <f t="shared" si="12"/>
        <v>1.3943999999999999</v>
      </c>
    </row>
    <row r="809" spans="1:6" x14ac:dyDescent="0.2">
      <c r="A809">
        <v>827</v>
      </c>
      <c r="B809" t="s">
        <v>78</v>
      </c>
      <c r="C809" t="s">
        <v>76</v>
      </c>
      <c r="D809">
        <v>3</v>
      </c>
      <c r="E809">
        <v>0.71839487999999996</v>
      </c>
      <c r="F809">
        <f t="shared" si="12"/>
        <v>2.1551846399999999</v>
      </c>
    </row>
    <row r="810" spans="1:6" x14ac:dyDescent="0.2">
      <c r="A810">
        <v>827</v>
      </c>
      <c r="B810" t="s">
        <v>79</v>
      </c>
      <c r="C810" t="s">
        <v>74</v>
      </c>
      <c r="D810">
        <v>2</v>
      </c>
      <c r="E810">
        <v>1.9307692307692308</v>
      </c>
      <c r="F810">
        <f t="shared" si="12"/>
        <v>3.8615384615384616</v>
      </c>
    </row>
    <row r="811" spans="1:6" x14ac:dyDescent="0.2">
      <c r="A811">
        <v>827</v>
      </c>
      <c r="B811" t="s">
        <v>80</v>
      </c>
      <c r="C811" t="s">
        <v>74</v>
      </c>
      <c r="D811">
        <v>1</v>
      </c>
      <c r="E811">
        <v>0.9544999999999999</v>
      </c>
      <c r="F811">
        <f t="shared" si="12"/>
        <v>0.9544999999999999</v>
      </c>
    </row>
    <row r="812" spans="1:6" x14ac:dyDescent="0.2">
      <c r="A812">
        <v>827</v>
      </c>
      <c r="B812" t="s">
        <v>81</v>
      </c>
      <c r="C812" t="s">
        <v>74</v>
      </c>
      <c r="D812">
        <v>5</v>
      </c>
      <c r="E812">
        <v>0.76359999999999995</v>
      </c>
      <c r="F812">
        <f t="shared" si="12"/>
        <v>3.8179999999999996</v>
      </c>
    </row>
    <row r="813" spans="1:6" x14ac:dyDescent="0.2">
      <c r="A813">
        <v>827</v>
      </c>
      <c r="B813" t="s">
        <v>82</v>
      </c>
      <c r="C813" t="s">
        <v>83</v>
      </c>
      <c r="D813">
        <v>1</v>
      </c>
      <c r="E813">
        <v>20.351599999999998</v>
      </c>
      <c r="F813">
        <f t="shared" si="12"/>
        <v>20.351599999999998</v>
      </c>
    </row>
    <row r="814" spans="1:6" x14ac:dyDescent="0.2">
      <c r="A814">
        <v>827</v>
      </c>
      <c r="B814" t="s">
        <v>84</v>
      </c>
      <c r="C814" t="s">
        <v>85</v>
      </c>
      <c r="D814">
        <v>1</v>
      </c>
      <c r="E814">
        <v>102.33222719999999</v>
      </c>
      <c r="F814">
        <f t="shared" si="12"/>
        <v>102.33222719999999</v>
      </c>
    </row>
    <row r="815" spans="1:6" x14ac:dyDescent="0.2">
      <c r="A815">
        <v>827</v>
      </c>
      <c r="B815" t="s">
        <v>86</v>
      </c>
      <c r="C815" t="s">
        <v>85</v>
      </c>
      <c r="D815">
        <v>1</v>
      </c>
      <c r="E815">
        <v>144.26462399999997</v>
      </c>
      <c r="F815">
        <f t="shared" si="12"/>
        <v>144.26462399999997</v>
      </c>
    </row>
    <row r="816" spans="1:6" x14ac:dyDescent="0.2">
      <c r="A816">
        <v>827</v>
      </c>
      <c r="B816" t="s">
        <v>87</v>
      </c>
      <c r="C816" t="s">
        <v>88</v>
      </c>
      <c r="D816">
        <v>5</v>
      </c>
      <c r="E816">
        <v>162.02147135999999</v>
      </c>
      <c r="F816">
        <f t="shared" si="12"/>
        <v>810.10735679999993</v>
      </c>
    </row>
    <row r="817" spans="1:6" x14ac:dyDescent="0.2">
      <c r="A817">
        <v>827</v>
      </c>
      <c r="B817" t="s">
        <v>89</v>
      </c>
      <c r="C817" t="s">
        <v>85</v>
      </c>
      <c r="D817">
        <v>5</v>
      </c>
      <c r="E817">
        <v>211.01287872</v>
      </c>
      <c r="F817">
        <f t="shared" si="12"/>
        <v>1055.0643936000001</v>
      </c>
    </row>
    <row r="818" spans="1:6" x14ac:dyDescent="0.2">
      <c r="A818">
        <v>827</v>
      </c>
      <c r="B818" t="s">
        <v>90</v>
      </c>
      <c r="C818" t="s">
        <v>88</v>
      </c>
      <c r="D818">
        <v>1</v>
      </c>
      <c r="E818">
        <v>238.16351999999995</v>
      </c>
      <c r="F818">
        <f t="shared" si="12"/>
        <v>238.16351999999995</v>
      </c>
    </row>
    <row r="819" spans="1:6" x14ac:dyDescent="0.2">
      <c r="A819">
        <v>827</v>
      </c>
      <c r="B819" t="s">
        <v>92</v>
      </c>
      <c r="C819" t="s">
        <v>93</v>
      </c>
      <c r="D819">
        <v>1</v>
      </c>
      <c r="E819">
        <v>19.297499999999999</v>
      </c>
      <c r="F819">
        <f t="shared" si="12"/>
        <v>19.297499999999999</v>
      </c>
    </row>
    <row r="820" spans="1:6" x14ac:dyDescent="0.2">
      <c r="A820">
        <v>827</v>
      </c>
      <c r="B820" t="s">
        <v>94</v>
      </c>
      <c r="C820" t="s">
        <v>95</v>
      </c>
      <c r="D820">
        <v>4</v>
      </c>
      <c r="E820">
        <v>644.46267648000003</v>
      </c>
      <c r="F820">
        <f t="shared" si="12"/>
        <v>2577.8507059200001</v>
      </c>
    </row>
    <row r="821" spans="1:6" x14ac:dyDescent="0.2">
      <c r="A821">
        <v>827</v>
      </c>
      <c r="B821" t="s">
        <v>236</v>
      </c>
      <c r="C821" t="s">
        <v>237</v>
      </c>
      <c r="D821">
        <v>3</v>
      </c>
      <c r="E821">
        <v>132.79999999999998</v>
      </c>
      <c r="F821">
        <f t="shared" si="12"/>
        <v>398.4</v>
      </c>
    </row>
    <row r="822" spans="1:6" x14ac:dyDescent="0.2">
      <c r="A822">
        <v>827</v>
      </c>
      <c r="B822" t="s">
        <v>238</v>
      </c>
      <c r="C822" t="s">
        <v>239</v>
      </c>
      <c r="D822">
        <v>1</v>
      </c>
      <c r="E822">
        <v>340.93846153846152</v>
      </c>
      <c r="F822">
        <f t="shared" si="12"/>
        <v>340.93846153846152</v>
      </c>
    </row>
    <row r="823" spans="1:6" x14ac:dyDescent="0.2">
      <c r="A823">
        <v>827</v>
      </c>
      <c r="B823" t="s">
        <v>240</v>
      </c>
      <c r="C823" t="s">
        <v>241</v>
      </c>
      <c r="D823">
        <v>3</v>
      </c>
      <c r="E823">
        <v>309.01538461538462</v>
      </c>
      <c r="F823">
        <f t="shared" si="12"/>
        <v>927.04615384615386</v>
      </c>
    </row>
    <row r="824" spans="1:6" x14ac:dyDescent="0.2">
      <c r="A824">
        <v>827</v>
      </c>
      <c r="B824" t="s">
        <v>242</v>
      </c>
      <c r="C824" t="s">
        <v>243</v>
      </c>
      <c r="D824">
        <v>2</v>
      </c>
      <c r="E824">
        <v>427.76923076923072</v>
      </c>
      <c r="F824">
        <f t="shared" si="12"/>
        <v>855.53846153846143</v>
      </c>
    </row>
    <row r="825" spans="1:6" x14ac:dyDescent="0.2">
      <c r="A825">
        <v>827</v>
      </c>
      <c r="B825" t="s">
        <v>244</v>
      </c>
      <c r="C825" t="s">
        <v>184</v>
      </c>
      <c r="D825">
        <v>4</v>
      </c>
      <c r="E825">
        <v>18.643076923076922</v>
      </c>
      <c r="F825">
        <f t="shared" si="12"/>
        <v>74.572307692307689</v>
      </c>
    </row>
    <row r="826" spans="1:6" x14ac:dyDescent="0.2">
      <c r="A826">
        <v>827</v>
      </c>
      <c r="B826" t="s">
        <v>245</v>
      </c>
      <c r="C826" t="s">
        <v>246</v>
      </c>
      <c r="D826">
        <v>1</v>
      </c>
      <c r="E826">
        <v>0.44819999999999999</v>
      </c>
      <c r="F826">
        <f t="shared" si="12"/>
        <v>0.44819999999999999</v>
      </c>
    </row>
    <row r="827" spans="1:6" x14ac:dyDescent="0.2">
      <c r="A827">
        <v>827</v>
      </c>
      <c r="B827" t="s">
        <v>75</v>
      </c>
      <c r="C827" t="s">
        <v>247</v>
      </c>
      <c r="D827">
        <v>118</v>
      </c>
      <c r="E827">
        <v>0.1153846153846154</v>
      </c>
      <c r="F827">
        <f t="shared" si="12"/>
        <v>13.615384615384619</v>
      </c>
    </row>
    <row r="828" spans="1:6" x14ac:dyDescent="0.2">
      <c r="A828">
        <v>827</v>
      </c>
      <c r="B828" t="s">
        <v>197</v>
      </c>
      <c r="C828" t="s">
        <v>117</v>
      </c>
      <c r="D828">
        <v>1</v>
      </c>
      <c r="E828">
        <v>7.4699999999999989E-2</v>
      </c>
      <c r="F828">
        <f t="shared" si="12"/>
        <v>7.4699999999999989E-2</v>
      </c>
    </row>
    <row r="829" spans="1:6" x14ac:dyDescent="0.2">
      <c r="A829">
        <v>827</v>
      </c>
      <c r="B829" t="s">
        <v>248</v>
      </c>
      <c r="C829" t="s">
        <v>249</v>
      </c>
      <c r="D829">
        <v>1</v>
      </c>
      <c r="E829">
        <v>31064.984615384612</v>
      </c>
      <c r="F829">
        <f t="shared" si="12"/>
        <v>31064.984615384612</v>
      </c>
    </row>
    <row r="830" spans="1:6" x14ac:dyDescent="0.2">
      <c r="A830">
        <v>827</v>
      </c>
      <c r="B830" t="s">
        <v>250</v>
      </c>
      <c r="C830" t="s">
        <v>251</v>
      </c>
      <c r="D830">
        <v>3</v>
      </c>
      <c r="E830">
        <v>564.54124607999995</v>
      </c>
      <c r="F830">
        <f t="shared" si="12"/>
        <v>1693.62373824</v>
      </c>
    </row>
    <row r="831" spans="1:6" x14ac:dyDescent="0.2">
      <c r="A831">
        <v>827</v>
      </c>
      <c r="B831" t="s">
        <v>146</v>
      </c>
      <c r="C831" t="s">
        <v>147</v>
      </c>
      <c r="D831">
        <v>1</v>
      </c>
      <c r="E831">
        <v>8021.5764999999992</v>
      </c>
      <c r="F831">
        <f t="shared" si="12"/>
        <v>8021.5764999999992</v>
      </c>
    </row>
    <row r="832" spans="1:6" x14ac:dyDescent="0.2">
      <c r="A832">
        <v>827</v>
      </c>
      <c r="B832" t="s">
        <v>215</v>
      </c>
      <c r="C832" t="s">
        <v>208</v>
      </c>
      <c r="D832">
        <v>2</v>
      </c>
      <c r="E832">
        <v>1.42898112</v>
      </c>
      <c r="F832">
        <f t="shared" si="12"/>
        <v>2.85796224</v>
      </c>
    </row>
    <row r="833" spans="1:6" x14ac:dyDescent="0.2">
      <c r="A833">
        <v>827</v>
      </c>
      <c r="B833" t="s">
        <v>200</v>
      </c>
      <c r="C833" t="s">
        <v>199</v>
      </c>
      <c r="D833">
        <v>3</v>
      </c>
      <c r="E833">
        <v>0.66373439999999995</v>
      </c>
      <c r="F833">
        <f t="shared" si="12"/>
        <v>1.9912031999999997</v>
      </c>
    </row>
    <row r="834" spans="1:6" x14ac:dyDescent="0.2">
      <c r="A834">
        <v>827</v>
      </c>
      <c r="B834" t="s">
        <v>216</v>
      </c>
      <c r="C834" t="s">
        <v>199</v>
      </c>
      <c r="D834">
        <v>6</v>
      </c>
      <c r="E834">
        <v>0.66400000000000003</v>
      </c>
      <c r="F834">
        <f t="shared" si="12"/>
        <v>3.984</v>
      </c>
    </row>
    <row r="835" spans="1:6" x14ac:dyDescent="0.2">
      <c r="A835">
        <v>827</v>
      </c>
      <c r="B835" t="s">
        <v>217</v>
      </c>
      <c r="C835" t="s">
        <v>199</v>
      </c>
      <c r="D835">
        <v>6</v>
      </c>
      <c r="E835">
        <v>4.2164000000000001</v>
      </c>
      <c r="F835">
        <f t="shared" ref="F835:F898" si="13">D835*E835</f>
        <v>25.298400000000001</v>
      </c>
    </row>
    <row r="836" spans="1:6" x14ac:dyDescent="0.2">
      <c r="A836">
        <v>827</v>
      </c>
      <c r="B836" t="s">
        <v>218</v>
      </c>
      <c r="C836" t="s">
        <v>208</v>
      </c>
      <c r="D836">
        <v>1</v>
      </c>
      <c r="E836">
        <v>7.3454999999999995</v>
      </c>
      <c r="F836">
        <f t="shared" si="13"/>
        <v>7.3454999999999995</v>
      </c>
    </row>
    <row r="837" spans="1:6" x14ac:dyDescent="0.2">
      <c r="A837">
        <v>827</v>
      </c>
      <c r="B837" t="s">
        <v>219</v>
      </c>
      <c r="C837" t="s">
        <v>199</v>
      </c>
      <c r="D837">
        <v>3</v>
      </c>
      <c r="E837">
        <v>1.4774</v>
      </c>
      <c r="F837">
        <f t="shared" si="13"/>
        <v>4.4321999999999999</v>
      </c>
    </row>
    <row r="838" spans="1:6" x14ac:dyDescent="0.2">
      <c r="A838">
        <v>827</v>
      </c>
      <c r="B838" t="s">
        <v>220</v>
      </c>
      <c r="C838" t="s">
        <v>208</v>
      </c>
      <c r="D838">
        <v>1</v>
      </c>
      <c r="E838">
        <v>3.7267000000000001</v>
      </c>
      <c r="F838">
        <f t="shared" si="13"/>
        <v>3.7267000000000001</v>
      </c>
    </row>
    <row r="839" spans="1:6" x14ac:dyDescent="0.2">
      <c r="A839">
        <v>827</v>
      </c>
      <c r="B839" t="s">
        <v>221</v>
      </c>
      <c r="C839" t="s">
        <v>199</v>
      </c>
      <c r="D839">
        <v>1</v>
      </c>
      <c r="E839">
        <v>0.97939999999999994</v>
      </c>
      <c r="F839">
        <f t="shared" si="13"/>
        <v>0.97939999999999994</v>
      </c>
    </row>
    <row r="840" spans="1:6" x14ac:dyDescent="0.2">
      <c r="A840">
        <v>827</v>
      </c>
      <c r="B840" t="s">
        <v>222</v>
      </c>
      <c r="C840" t="s">
        <v>208</v>
      </c>
      <c r="D840">
        <v>3</v>
      </c>
      <c r="E840">
        <v>6.0672999999999995</v>
      </c>
      <c r="F840">
        <f t="shared" si="13"/>
        <v>18.201899999999998</v>
      </c>
    </row>
    <row r="841" spans="1:6" x14ac:dyDescent="0.2">
      <c r="A841">
        <v>827</v>
      </c>
      <c r="B841" t="s">
        <v>223</v>
      </c>
      <c r="C841" t="s">
        <v>224</v>
      </c>
      <c r="D841">
        <v>2</v>
      </c>
      <c r="E841">
        <v>19.4635</v>
      </c>
      <c r="F841">
        <f t="shared" si="13"/>
        <v>38.927</v>
      </c>
    </row>
    <row r="842" spans="1:6" x14ac:dyDescent="0.2">
      <c r="A842">
        <v>827</v>
      </c>
      <c r="B842" t="s">
        <v>225</v>
      </c>
      <c r="C842" t="s">
        <v>226</v>
      </c>
      <c r="D842">
        <v>1</v>
      </c>
      <c r="E842">
        <v>10.221509759999998</v>
      </c>
      <c r="F842">
        <f t="shared" si="13"/>
        <v>10.221509759999998</v>
      </c>
    </row>
    <row r="843" spans="1:6" x14ac:dyDescent="0.2">
      <c r="A843">
        <v>827</v>
      </c>
      <c r="B843" t="s">
        <v>227</v>
      </c>
      <c r="C843" t="s">
        <v>208</v>
      </c>
      <c r="D843">
        <v>5</v>
      </c>
      <c r="E843">
        <v>3.6307692307692312</v>
      </c>
      <c r="F843">
        <f t="shared" si="13"/>
        <v>18.153846153846157</v>
      </c>
    </row>
    <row r="844" spans="1:6" x14ac:dyDescent="0.2">
      <c r="A844">
        <v>827</v>
      </c>
      <c r="B844" t="s">
        <v>228</v>
      </c>
      <c r="C844" t="s">
        <v>229</v>
      </c>
      <c r="D844">
        <v>1</v>
      </c>
      <c r="E844">
        <v>306.94982975999994</v>
      </c>
      <c r="F844">
        <f t="shared" si="13"/>
        <v>306.94982975999994</v>
      </c>
    </row>
    <row r="845" spans="1:6" x14ac:dyDescent="0.2">
      <c r="A845">
        <v>827</v>
      </c>
      <c r="B845" t="s">
        <v>116</v>
      </c>
      <c r="C845" t="s">
        <v>117</v>
      </c>
      <c r="D845">
        <v>1</v>
      </c>
      <c r="E845">
        <v>0.25729999999999997</v>
      </c>
      <c r="F845">
        <f t="shared" si="13"/>
        <v>0.25729999999999997</v>
      </c>
    </row>
    <row r="846" spans="1:6" x14ac:dyDescent="0.2">
      <c r="A846">
        <v>827</v>
      </c>
      <c r="B846" t="s">
        <v>78</v>
      </c>
      <c r="C846" t="s">
        <v>76</v>
      </c>
      <c r="D846">
        <v>1</v>
      </c>
      <c r="E846">
        <v>0.71839487999999996</v>
      </c>
      <c r="F846">
        <f t="shared" si="13"/>
        <v>0.71839487999999996</v>
      </c>
    </row>
    <row r="847" spans="1:6" x14ac:dyDescent="0.2">
      <c r="A847">
        <v>827</v>
      </c>
      <c r="B847" t="s">
        <v>231</v>
      </c>
      <c r="C847" t="s">
        <v>208</v>
      </c>
      <c r="D847">
        <v>5</v>
      </c>
      <c r="E847">
        <v>2.0832999999999999</v>
      </c>
      <c r="F847">
        <f t="shared" si="13"/>
        <v>10.416499999999999</v>
      </c>
    </row>
    <row r="848" spans="1:6" x14ac:dyDescent="0.2">
      <c r="A848">
        <v>827</v>
      </c>
      <c r="B848" t="s">
        <v>232</v>
      </c>
      <c r="C848" t="s">
        <v>119</v>
      </c>
      <c r="D848">
        <v>5</v>
      </c>
      <c r="E848">
        <v>1.5935999999999999</v>
      </c>
      <c r="F848">
        <f t="shared" si="13"/>
        <v>7.968</v>
      </c>
    </row>
    <row r="849" spans="1:6" x14ac:dyDescent="0.2">
      <c r="A849">
        <v>827</v>
      </c>
      <c r="B849" t="s">
        <v>233</v>
      </c>
      <c r="C849" t="s">
        <v>234</v>
      </c>
      <c r="D849">
        <v>1</v>
      </c>
      <c r="E849">
        <v>3989.2954</v>
      </c>
      <c r="F849">
        <f t="shared" si="13"/>
        <v>3989.2954</v>
      </c>
    </row>
    <row r="850" spans="1:6" x14ac:dyDescent="0.2">
      <c r="A850">
        <v>827</v>
      </c>
      <c r="B850" t="s">
        <v>142</v>
      </c>
      <c r="C850" t="s">
        <v>143</v>
      </c>
      <c r="D850">
        <v>1</v>
      </c>
      <c r="E850">
        <v>18141.642</v>
      </c>
      <c r="F850">
        <f t="shared" si="13"/>
        <v>18141.642</v>
      </c>
    </row>
    <row r="851" spans="1:6" x14ac:dyDescent="0.2">
      <c r="A851">
        <v>827</v>
      </c>
      <c r="B851" t="s">
        <v>144</v>
      </c>
      <c r="C851" t="s">
        <v>145</v>
      </c>
      <c r="D851">
        <v>4</v>
      </c>
      <c r="E851">
        <v>7346.6769230769241</v>
      </c>
      <c r="F851">
        <f t="shared" si="13"/>
        <v>29386.707692307697</v>
      </c>
    </row>
    <row r="852" spans="1:6" x14ac:dyDescent="0.2">
      <c r="A852">
        <v>827</v>
      </c>
      <c r="B852" t="s">
        <v>197</v>
      </c>
      <c r="C852" t="s">
        <v>117</v>
      </c>
      <c r="D852">
        <v>3</v>
      </c>
      <c r="E852">
        <v>7.4699999999999989E-2</v>
      </c>
      <c r="F852">
        <f t="shared" si="13"/>
        <v>0.22409999999999997</v>
      </c>
    </row>
    <row r="853" spans="1:6" x14ac:dyDescent="0.2">
      <c r="A853">
        <v>827</v>
      </c>
      <c r="B853" t="s">
        <v>198</v>
      </c>
      <c r="C853" t="s">
        <v>199</v>
      </c>
      <c r="D853">
        <v>1</v>
      </c>
      <c r="E853">
        <v>0.66373439999999995</v>
      </c>
      <c r="F853">
        <f t="shared" si="13"/>
        <v>0.66373439999999995</v>
      </c>
    </row>
    <row r="854" spans="1:6" x14ac:dyDescent="0.2">
      <c r="A854">
        <v>827</v>
      </c>
      <c r="B854" t="s">
        <v>200</v>
      </c>
      <c r="C854" t="s">
        <v>199</v>
      </c>
      <c r="D854">
        <v>3</v>
      </c>
      <c r="E854">
        <v>0.66373439999999995</v>
      </c>
      <c r="F854">
        <f t="shared" si="13"/>
        <v>1.9912031999999997</v>
      </c>
    </row>
    <row r="855" spans="1:6" x14ac:dyDescent="0.2">
      <c r="A855">
        <v>827</v>
      </c>
      <c r="B855" t="s">
        <v>201</v>
      </c>
      <c r="C855" t="s">
        <v>76</v>
      </c>
      <c r="D855">
        <v>2</v>
      </c>
      <c r="E855">
        <v>0.22645055999999994</v>
      </c>
      <c r="F855">
        <f t="shared" si="13"/>
        <v>0.45290111999999988</v>
      </c>
    </row>
    <row r="856" spans="1:6" x14ac:dyDescent="0.2">
      <c r="A856">
        <v>827</v>
      </c>
      <c r="B856" t="s">
        <v>202</v>
      </c>
      <c r="C856" t="s">
        <v>203</v>
      </c>
      <c r="D856">
        <v>4</v>
      </c>
      <c r="E856">
        <v>12.45</v>
      </c>
      <c r="F856">
        <f t="shared" si="13"/>
        <v>49.8</v>
      </c>
    </row>
    <row r="857" spans="1:6" x14ac:dyDescent="0.2">
      <c r="A857">
        <v>827</v>
      </c>
      <c r="B857" t="s">
        <v>204</v>
      </c>
      <c r="C857" t="s">
        <v>205</v>
      </c>
      <c r="D857">
        <v>1</v>
      </c>
      <c r="E857">
        <v>103.72216512</v>
      </c>
      <c r="F857">
        <f t="shared" si="13"/>
        <v>103.72216512</v>
      </c>
    </row>
    <row r="858" spans="1:6" x14ac:dyDescent="0.2">
      <c r="A858">
        <v>827</v>
      </c>
      <c r="B858" t="s">
        <v>116</v>
      </c>
      <c r="C858" t="s">
        <v>117</v>
      </c>
      <c r="D858">
        <v>118</v>
      </c>
      <c r="E858">
        <v>0.25729999999999997</v>
      </c>
      <c r="F858">
        <f t="shared" si="13"/>
        <v>30.361399999999996</v>
      </c>
    </row>
    <row r="859" spans="1:6" x14ac:dyDescent="0.2">
      <c r="A859">
        <v>827</v>
      </c>
      <c r="B859" t="s">
        <v>78</v>
      </c>
      <c r="C859" t="s">
        <v>76</v>
      </c>
      <c r="D859">
        <v>1</v>
      </c>
      <c r="E859">
        <v>0.71839487999999996</v>
      </c>
      <c r="F859">
        <f t="shared" si="13"/>
        <v>0.71839487999999996</v>
      </c>
    </row>
    <row r="860" spans="1:6" x14ac:dyDescent="0.2">
      <c r="A860">
        <v>827</v>
      </c>
      <c r="B860" t="s">
        <v>207</v>
      </c>
      <c r="C860" t="s">
        <v>208</v>
      </c>
      <c r="D860">
        <v>1</v>
      </c>
      <c r="E860">
        <v>4.6314000000000002</v>
      </c>
      <c r="F860">
        <f t="shared" si="13"/>
        <v>4.6314000000000002</v>
      </c>
    </row>
    <row r="861" spans="1:6" x14ac:dyDescent="0.2">
      <c r="A861">
        <v>827</v>
      </c>
      <c r="B861" t="s">
        <v>209</v>
      </c>
      <c r="C861" t="s">
        <v>210</v>
      </c>
      <c r="D861">
        <v>3</v>
      </c>
      <c r="E861">
        <v>39.550761599999994</v>
      </c>
      <c r="F861">
        <f t="shared" si="13"/>
        <v>118.65228479999999</v>
      </c>
    </row>
    <row r="862" spans="1:6" x14ac:dyDescent="0.2">
      <c r="A862">
        <v>827</v>
      </c>
      <c r="B862" t="s">
        <v>211</v>
      </c>
      <c r="C862" t="s">
        <v>203</v>
      </c>
      <c r="D862">
        <v>1</v>
      </c>
      <c r="E862">
        <v>25.754899999999999</v>
      </c>
      <c r="F862">
        <f t="shared" si="13"/>
        <v>25.754899999999999</v>
      </c>
    </row>
    <row r="863" spans="1:6" x14ac:dyDescent="0.2">
      <c r="A863">
        <v>827</v>
      </c>
      <c r="B863" t="s">
        <v>212</v>
      </c>
      <c r="C863" t="s">
        <v>213</v>
      </c>
      <c r="D863">
        <v>2</v>
      </c>
      <c r="E863">
        <v>272.92059999999998</v>
      </c>
      <c r="F863">
        <f t="shared" si="13"/>
        <v>545.84119999999996</v>
      </c>
    </row>
    <row r="864" spans="1:6" x14ac:dyDescent="0.2">
      <c r="A864">
        <v>827</v>
      </c>
      <c r="B864" t="s">
        <v>149</v>
      </c>
      <c r="C864" t="s">
        <v>150</v>
      </c>
      <c r="D864">
        <v>3</v>
      </c>
      <c r="E864">
        <v>0.7054999999999999</v>
      </c>
      <c r="F864">
        <f t="shared" si="13"/>
        <v>2.1164999999999998</v>
      </c>
    </row>
    <row r="865" spans="1:6" x14ac:dyDescent="0.2">
      <c r="A865">
        <v>827</v>
      </c>
      <c r="B865" t="s">
        <v>151</v>
      </c>
      <c r="C865" t="s">
        <v>152</v>
      </c>
      <c r="D865">
        <v>6</v>
      </c>
      <c r="E865">
        <v>5.6190999999999995</v>
      </c>
      <c r="F865">
        <f t="shared" si="13"/>
        <v>33.714599999999997</v>
      </c>
    </row>
    <row r="866" spans="1:6" x14ac:dyDescent="0.2">
      <c r="A866">
        <v>827</v>
      </c>
      <c r="B866" t="s">
        <v>153</v>
      </c>
      <c r="C866" t="s">
        <v>119</v>
      </c>
      <c r="D866">
        <v>6</v>
      </c>
      <c r="E866">
        <v>1.11663552</v>
      </c>
      <c r="F866">
        <f t="shared" si="13"/>
        <v>6.69981312</v>
      </c>
    </row>
    <row r="867" spans="1:6" x14ac:dyDescent="0.2">
      <c r="A867">
        <v>827</v>
      </c>
      <c r="B867" t="s">
        <v>154</v>
      </c>
      <c r="C867" t="s">
        <v>117</v>
      </c>
      <c r="D867">
        <v>5</v>
      </c>
      <c r="E867">
        <v>4.3657999999999992</v>
      </c>
      <c r="F867">
        <f t="shared" si="13"/>
        <v>21.828999999999997</v>
      </c>
    </row>
    <row r="868" spans="1:6" x14ac:dyDescent="0.2">
      <c r="A868">
        <v>827</v>
      </c>
      <c r="B868" t="s">
        <v>155</v>
      </c>
      <c r="C868" t="s">
        <v>156</v>
      </c>
      <c r="D868">
        <v>1</v>
      </c>
      <c r="E868">
        <v>28.551999999999996</v>
      </c>
      <c r="F868">
        <f t="shared" si="13"/>
        <v>28.551999999999996</v>
      </c>
    </row>
    <row r="869" spans="1:6" x14ac:dyDescent="0.2">
      <c r="A869">
        <v>827</v>
      </c>
      <c r="B869" t="s">
        <v>157</v>
      </c>
      <c r="C869" t="s">
        <v>158</v>
      </c>
      <c r="D869">
        <v>1</v>
      </c>
      <c r="E869">
        <v>29.456700000000001</v>
      </c>
      <c r="F869">
        <f t="shared" si="13"/>
        <v>29.456700000000001</v>
      </c>
    </row>
    <row r="870" spans="1:6" x14ac:dyDescent="0.2">
      <c r="A870">
        <v>827</v>
      </c>
      <c r="B870" t="s">
        <v>159</v>
      </c>
      <c r="C870" t="s">
        <v>117</v>
      </c>
      <c r="D870">
        <v>4</v>
      </c>
      <c r="E870">
        <v>11.976899999999999</v>
      </c>
      <c r="F870">
        <f t="shared" si="13"/>
        <v>47.907599999999995</v>
      </c>
    </row>
    <row r="871" spans="1:6" x14ac:dyDescent="0.2">
      <c r="A871">
        <v>827</v>
      </c>
      <c r="B871" t="s">
        <v>116</v>
      </c>
      <c r="C871" t="s">
        <v>117</v>
      </c>
      <c r="D871">
        <v>3</v>
      </c>
      <c r="E871">
        <v>0.25729999999999997</v>
      </c>
      <c r="F871">
        <f t="shared" si="13"/>
        <v>0.77189999999999992</v>
      </c>
    </row>
    <row r="872" spans="1:6" x14ac:dyDescent="0.2">
      <c r="A872">
        <v>827</v>
      </c>
      <c r="B872" t="s">
        <v>160</v>
      </c>
      <c r="C872" t="s">
        <v>161</v>
      </c>
      <c r="D872">
        <v>1</v>
      </c>
      <c r="E872">
        <v>15.9194</v>
      </c>
      <c r="F872">
        <f t="shared" si="13"/>
        <v>15.9194</v>
      </c>
    </row>
    <row r="873" spans="1:6" x14ac:dyDescent="0.2">
      <c r="A873">
        <v>827</v>
      </c>
      <c r="B873" t="s">
        <v>162</v>
      </c>
      <c r="C873" t="s">
        <v>163</v>
      </c>
      <c r="D873">
        <v>3</v>
      </c>
      <c r="E873">
        <v>62.822699999999998</v>
      </c>
      <c r="F873">
        <f t="shared" si="13"/>
        <v>188.46809999999999</v>
      </c>
    </row>
    <row r="874" spans="1:6" x14ac:dyDescent="0.2">
      <c r="A874">
        <v>827</v>
      </c>
      <c r="B874" t="s">
        <v>164</v>
      </c>
      <c r="C874" t="s">
        <v>165</v>
      </c>
      <c r="D874">
        <v>2</v>
      </c>
      <c r="E874">
        <v>29.381999999999998</v>
      </c>
      <c r="F874">
        <f t="shared" si="13"/>
        <v>58.763999999999996</v>
      </c>
    </row>
    <row r="875" spans="1:6" x14ac:dyDescent="0.2">
      <c r="A875">
        <v>827</v>
      </c>
      <c r="B875" t="s">
        <v>166</v>
      </c>
      <c r="C875" t="s">
        <v>76</v>
      </c>
      <c r="D875">
        <v>4</v>
      </c>
      <c r="E875">
        <v>0.97109999999999985</v>
      </c>
      <c r="F875">
        <f t="shared" si="13"/>
        <v>3.8843999999999994</v>
      </c>
    </row>
    <row r="876" spans="1:6" x14ac:dyDescent="0.2">
      <c r="A876">
        <v>827</v>
      </c>
      <c r="B876" t="s">
        <v>167</v>
      </c>
      <c r="C876" t="s">
        <v>168</v>
      </c>
      <c r="D876">
        <v>1</v>
      </c>
      <c r="E876">
        <v>68.201099999999997</v>
      </c>
      <c r="F876">
        <f t="shared" si="13"/>
        <v>68.201099999999997</v>
      </c>
    </row>
    <row r="877" spans="1:6" x14ac:dyDescent="0.2">
      <c r="A877">
        <v>827</v>
      </c>
      <c r="B877" t="s">
        <v>169</v>
      </c>
      <c r="C877" t="s">
        <v>119</v>
      </c>
      <c r="D877">
        <v>118</v>
      </c>
      <c r="E877">
        <v>26.078600000000002</v>
      </c>
      <c r="F877">
        <f t="shared" si="13"/>
        <v>3077.2748000000001</v>
      </c>
    </row>
    <row r="878" spans="1:6" x14ac:dyDescent="0.2">
      <c r="A878">
        <v>827</v>
      </c>
      <c r="B878" t="s">
        <v>170</v>
      </c>
      <c r="C878" t="s">
        <v>171</v>
      </c>
      <c r="D878">
        <v>1</v>
      </c>
      <c r="E878">
        <v>15.438000000000001</v>
      </c>
      <c r="F878">
        <f t="shared" si="13"/>
        <v>15.438000000000001</v>
      </c>
    </row>
    <row r="879" spans="1:6" x14ac:dyDescent="0.2">
      <c r="A879">
        <v>827</v>
      </c>
      <c r="B879" t="s">
        <v>172</v>
      </c>
      <c r="C879" t="s">
        <v>173</v>
      </c>
      <c r="D879">
        <v>1</v>
      </c>
      <c r="E879">
        <v>158.41380000000001</v>
      </c>
      <c r="F879">
        <f t="shared" si="13"/>
        <v>158.41380000000001</v>
      </c>
    </row>
    <row r="880" spans="1:6" x14ac:dyDescent="0.2">
      <c r="A880">
        <v>827</v>
      </c>
      <c r="B880" t="s">
        <v>174</v>
      </c>
      <c r="C880" t="s">
        <v>119</v>
      </c>
      <c r="D880">
        <v>3</v>
      </c>
      <c r="E880">
        <v>1.2616000000000001</v>
      </c>
      <c r="F880">
        <f t="shared" si="13"/>
        <v>3.7848000000000002</v>
      </c>
    </row>
    <row r="881" spans="1:6" x14ac:dyDescent="0.2">
      <c r="A881">
        <v>827</v>
      </c>
      <c r="B881" t="s">
        <v>175</v>
      </c>
      <c r="C881" t="s">
        <v>176</v>
      </c>
      <c r="D881">
        <v>1</v>
      </c>
      <c r="E881">
        <v>194.7595</v>
      </c>
      <c r="F881">
        <f t="shared" si="13"/>
        <v>194.7595</v>
      </c>
    </row>
    <row r="882" spans="1:6" x14ac:dyDescent="0.2">
      <c r="A882">
        <v>827</v>
      </c>
      <c r="B882" t="s">
        <v>177</v>
      </c>
      <c r="C882" t="s">
        <v>178</v>
      </c>
      <c r="D882">
        <v>2</v>
      </c>
      <c r="E882">
        <v>1660.6244256000002</v>
      </c>
      <c r="F882">
        <f t="shared" si="13"/>
        <v>3321.2488512000004</v>
      </c>
    </row>
    <row r="883" spans="1:6" x14ac:dyDescent="0.2">
      <c r="A883">
        <v>827</v>
      </c>
      <c r="B883" t="s">
        <v>179</v>
      </c>
      <c r="C883" t="s">
        <v>119</v>
      </c>
      <c r="D883">
        <v>3</v>
      </c>
      <c r="E883">
        <v>32.444700000000005</v>
      </c>
      <c r="F883">
        <f t="shared" si="13"/>
        <v>97.334100000000007</v>
      </c>
    </row>
    <row r="884" spans="1:6" x14ac:dyDescent="0.2">
      <c r="A884">
        <v>827</v>
      </c>
      <c r="B884" t="s">
        <v>180</v>
      </c>
      <c r="C884" t="s">
        <v>181</v>
      </c>
      <c r="D884">
        <v>6</v>
      </c>
      <c r="E884">
        <v>64.117499999999993</v>
      </c>
      <c r="F884">
        <f t="shared" si="13"/>
        <v>384.70499999999993</v>
      </c>
    </row>
    <row r="885" spans="1:6" x14ac:dyDescent="0.2">
      <c r="A885">
        <v>827</v>
      </c>
      <c r="B885" t="s">
        <v>182</v>
      </c>
      <c r="C885" t="s">
        <v>158</v>
      </c>
      <c r="D885">
        <v>6</v>
      </c>
      <c r="E885">
        <v>80.788189439999996</v>
      </c>
      <c r="F885">
        <f t="shared" si="13"/>
        <v>484.72913663999998</v>
      </c>
    </row>
    <row r="886" spans="1:6" x14ac:dyDescent="0.2">
      <c r="A886">
        <v>827</v>
      </c>
      <c r="B886" t="s">
        <v>183</v>
      </c>
      <c r="C886" t="s">
        <v>184</v>
      </c>
      <c r="D886">
        <v>1</v>
      </c>
      <c r="E886">
        <v>548.61538461538476</v>
      </c>
      <c r="F886">
        <f t="shared" si="13"/>
        <v>548.61538461538476</v>
      </c>
    </row>
    <row r="887" spans="1:6" x14ac:dyDescent="0.2">
      <c r="A887">
        <v>827</v>
      </c>
      <c r="B887" t="s">
        <v>185</v>
      </c>
      <c r="C887" t="s">
        <v>186</v>
      </c>
      <c r="D887">
        <v>3</v>
      </c>
      <c r="E887">
        <v>278.05</v>
      </c>
      <c r="F887">
        <f t="shared" si="13"/>
        <v>834.15000000000009</v>
      </c>
    </row>
    <row r="888" spans="1:6" x14ac:dyDescent="0.2">
      <c r="A888">
        <v>827</v>
      </c>
      <c r="B888" t="s">
        <v>187</v>
      </c>
      <c r="C888" t="s">
        <v>188</v>
      </c>
      <c r="D888">
        <v>1</v>
      </c>
      <c r="E888">
        <v>105.03649999999999</v>
      </c>
      <c r="F888">
        <f t="shared" si="13"/>
        <v>105.03649999999999</v>
      </c>
    </row>
    <row r="889" spans="1:6" x14ac:dyDescent="0.2">
      <c r="A889">
        <v>827</v>
      </c>
      <c r="B889" t="s">
        <v>189</v>
      </c>
      <c r="C889" t="s">
        <v>163</v>
      </c>
      <c r="D889">
        <v>1</v>
      </c>
      <c r="E889">
        <v>154.25968320000001</v>
      </c>
      <c r="F889">
        <f t="shared" si="13"/>
        <v>154.25968320000001</v>
      </c>
    </row>
    <row r="890" spans="1:6" x14ac:dyDescent="0.2">
      <c r="A890">
        <v>827</v>
      </c>
      <c r="B890" t="s">
        <v>190</v>
      </c>
      <c r="C890" t="s">
        <v>191</v>
      </c>
      <c r="D890">
        <v>3</v>
      </c>
      <c r="E890">
        <v>1397.886</v>
      </c>
      <c r="F890">
        <f t="shared" si="13"/>
        <v>4193.6579999999994</v>
      </c>
    </row>
    <row r="891" spans="1:6" x14ac:dyDescent="0.2">
      <c r="A891">
        <v>827</v>
      </c>
      <c r="B891" t="s">
        <v>192</v>
      </c>
      <c r="C891" t="s">
        <v>193</v>
      </c>
      <c r="D891">
        <v>2</v>
      </c>
      <c r="E891">
        <v>843.03639167999984</v>
      </c>
      <c r="F891">
        <f t="shared" si="13"/>
        <v>1686.0727833599997</v>
      </c>
    </row>
    <row r="892" spans="1:6" x14ac:dyDescent="0.2">
      <c r="A892">
        <v>827</v>
      </c>
      <c r="B892" t="s">
        <v>194</v>
      </c>
      <c r="C892" t="s">
        <v>193</v>
      </c>
      <c r="D892">
        <v>1</v>
      </c>
      <c r="E892">
        <v>868.20489999999995</v>
      </c>
      <c r="F892">
        <f t="shared" si="13"/>
        <v>868.20489999999995</v>
      </c>
    </row>
    <row r="893" spans="1:6" x14ac:dyDescent="0.2">
      <c r="A893">
        <v>827</v>
      </c>
      <c r="B893" t="s">
        <v>195</v>
      </c>
      <c r="C893" t="s">
        <v>117</v>
      </c>
      <c r="D893">
        <v>5</v>
      </c>
      <c r="E893">
        <v>1.0374999999999999</v>
      </c>
      <c r="F893">
        <f t="shared" si="13"/>
        <v>5.1874999999999991</v>
      </c>
    </row>
    <row r="894" spans="1:6" x14ac:dyDescent="0.2">
      <c r="A894">
        <v>827</v>
      </c>
      <c r="B894" t="s">
        <v>135</v>
      </c>
      <c r="C894" t="s">
        <v>136</v>
      </c>
      <c r="D894">
        <v>1</v>
      </c>
      <c r="E894">
        <v>395.04690624</v>
      </c>
      <c r="F894">
        <f t="shared" si="13"/>
        <v>395.04690624</v>
      </c>
    </row>
    <row r="895" spans="1:6" x14ac:dyDescent="0.2">
      <c r="A895">
        <v>827</v>
      </c>
      <c r="B895" t="s">
        <v>137</v>
      </c>
      <c r="C895" t="s">
        <v>138</v>
      </c>
      <c r="D895">
        <v>1</v>
      </c>
      <c r="E895">
        <v>252.98431871999998</v>
      </c>
      <c r="F895">
        <f t="shared" si="13"/>
        <v>252.98431871999998</v>
      </c>
    </row>
    <row r="896" spans="1:6" x14ac:dyDescent="0.2">
      <c r="A896">
        <v>827</v>
      </c>
      <c r="B896" t="s">
        <v>139</v>
      </c>
      <c r="C896" t="s">
        <v>140</v>
      </c>
      <c r="D896">
        <v>1</v>
      </c>
      <c r="E896">
        <v>2054.4575</v>
      </c>
      <c r="F896">
        <f t="shared" si="13"/>
        <v>2054.4575</v>
      </c>
    </row>
    <row r="897" spans="1:6" x14ac:dyDescent="0.2">
      <c r="A897">
        <v>827</v>
      </c>
      <c r="B897" t="s">
        <v>116</v>
      </c>
      <c r="C897" t="s">
        <v>117</v>
      </c>
      <c r="D897">
        <v>5</v>
      </c>
      <c r="E897">
        <v>0.25729999999999997</v>
      </c>
      <c r="F897">
        <f t="shared" si="13"/>
        <v>1.2864999999999998</v>
      </c>
    </row>
    <row r="898" spans="1:6" x14ac:dyDescent="0.2">
      <c r="A898">
        <v>827</v>
      </c>
      <c r="B898" t="s">
        <v>118</v>
      </c>
      <c r="C898" t="s">
        <v>119</v>
      </c>
      <c r="D898">
        <v>5</v>
      </c>
      <c r="E898">
        <v>0.83</v>
      </c>
      <c r="F898">
        <f t="shared" si="13"/>
        <v>4.1499999999999995</v>
      </c>
    </row>
    <row r="899" spans="1:6" x14ac:dyDescent="0.2">
      <c r="A899">
        <v>827</v>
      </c>
      <c r="B899" t="s">
        <v>120</v>
      </c>
      <c r="C899" t="s">
        <v>117</v>
      </c>
      <c r="D899">
        <v>1</v>
      </c>
      <c r="E899">
        <v>1.5603999999999998</v>
      </c>
      <c r="F899">
        <f t="shared" ref="F899:F962" si="14">D899*E899</f>
        <v>1.5603999999999998</v>
      </c>
    </row>
    <row r="900" spans="1:6" x14ac:dyDescent="0.2">
      <c r="A900">
        <v>827</v>
      </c>
      <c r="B900" t="s">
        <v>121</v>
      </c>
      <c r="C900" t="s">
        <v>117</v>
      </c>
      <c r="D900">
        <v>1</v>
      </c>
      <c r="E900">
        <v>270.83729999999997</v>
      </c>
      <c r="F900">
        <f t="shared" si="14"/>
        <v>270.83729999999997</v>
      </c>
    </row>
    <row r="901" spans="1:6" x14ac:dyDescent="0.2">
      <c r="A901">
        <v>827</v>
      </c>
      <c r="B901" t="s">
        <v>122</v>
      </c>
      <c r="C901" t="s">
        <v>76</v>
      </c>
      <c r="D901">
        <v>4</v>
      </c>
      <c r="E901">
        <v>14.915099999999999</v>
      </c>
      <c r="F901">
        <f t="shared" si="14"/>
        <v>59.660399999999996</v>
      </c>
    </row>
    <row r="902" spans="1:6" x14ac:dyDescent="0.2">
      <c r="A902">
        <v>827</v>
      </c>
      <c r="B902" t="s">
        <v>123</v>
      </c>
      <c r="C902" t="s">
        <v>119</v>
      </c>
      <c r="D902">
        <v>3</v>
      </c>
      <c r="E902">
        <v>122.52459999999999</v>
      </c>
      <c r="F902">
        <f t="shared" si="14"/>
        <v>367.57380000000001</v>
      </c>
    </row>
    <row r="903" spans="1:6" x14ac:dyDescent="0.2">
      <c r="A903">
        <v>827</v>
      </c>
      <c r="B903" t="s">
        <v>124</v>
      </c>
      <c r="C903" t="s">
        <v>119</v>
      </c>
      <c r="D903">
        <v>1</v>
      </c>
      <c r="E903">
        <v>65.877099999999999</v>
      </c>
      <c r="F903">
        <f t="shared" si="14"/>
        <v>65.877099999999999</v>
      </c>
    </row>
    <row r="904" spans="1:6" x14ac:dyDescent="0.2">
      <c r="A904">
        <v>827</v>
      </c>
      <c r="B904" t="s">
        <v>125</v>
      </c>
      <c r="C904" t="s">
        <v>117</v>
      </c>
      <c r="D904">
        <v>3</v>
      </c>
      <c r="E904">
        <v>45.957099999999997</v>
      </c>
      <c r="F904">
        <f t="shared" si="14"/>
        <v>137.87129999999999</v>
      </c>
    </row>
    <row r="905" spans="1:6" x14ac:dyDescent="0.2">
      <c r="A905">
        <v>827</v>
      </c>
      <c r="B905" t="s">
        <v>126</v>
      </c>
      <c r="C905" t="s">
        <v>127</v>
      </c>
      <c r="D905">
        <v>2</v>
      </c>
      <c r="E905">
        <v>411.49739999999997</v>
      </c>
      <c r="F905">
        <f t="shared" si="14"/>
        <v>822.99479999999994</v>
      </c>
    </row>
    <row r="906" spans="1:6" x14ac:dyDescent="0.2">
      <c r="A906">
        <v>827</v>
      </c>
      <c r="B906" t="s">
        <v>129</v>
      </c>
      <c r="C906" t="s">
        <v>130</v>
      </c>
      <c r="D906">
        <v>4</v>
      </c>
      <c r="E906">
        <v>6724.2781999999997</v>
      </c>
      <c r="F906">
        <f t="shared" si="14"/>
        <v>26897.112799999999</v>
      </c>
    </row>
    <row r="907" spans="1:6" x14ac:dyDescent="0.2">
      <c r="A907">
        <v>827</v>
      </c>
      <c r="B907" t="s">
        <v>132</v>
      </c>
      <c r="C907" t="s">
        <v>133</v>
      </c>
      <c r="D907">
        <v>1</v>
      </c>
      <c r="E907">
        <v>1168.0257999999999</v>
      </c>
      <c r="F907">
        <f t="shared" si="14"/>
        <v>1168.0257999999999</v>
      </c>
    </row>
    <row r="908" spans="1:6" x14ac:dyDescent="0.2">
      <c r="A908">
        <v>827</v>
      </c>
      <c r="B908" t="s">
        <v>110</v>
      </c>
      <c r="C908" t="s">
        <v>111</v>
      </c>
      <c r="D908">
        <v>118</v>
      </c>
      <c r="E908">
        <v>119.83539999999999</v>
      </c>
      <c r="F908">
        <f t="shared" si="14"/>
        <v>14140.5772</v>
      </c>
    </row>
    <row r="909" spans="1:6" x14ac:dyDescent="0.2">
      <c r="A909">
        <v>827</v>
      </c>
      <c r="B909" t="s">
        <v>112</v>
      </c>
      <c r="C909" t="s">
        <v>113</v>
      </c>
      <c r="D909">
        <v>1</v>
      </c>
      <c r="E909">
        <v>97.646153846153851</v>
      </c>
      <c r="F909">
        <f t="shared" si="14"/>
        <v>97.646153846153851</v>
      </c>
    </row>
    <row r="910" spans="1:6" x14ac:dyDescent="0.2">
      <c r="A910">
        <v>827</v>
      </c>
      <c r="B910" t="s">
        <v>110</v>
      </c>
      <c r="C910" t="s">
        <v>111</v>
      </c>
      <c r="D910">
        <v>1</v>
      </c>
      <c r="E910">
        <v>119.83539999999999</v>
      </c>
      <c r="F910">
        <f t="shared" si="14"/>
        <v>119.83539999999999</v>
      </c>
    </row>
    <row r="911" spans="1:6" x14ac:dyDescent="0.2">
      <c r="A911">
        <v>827</v>
      </c>
      <c r="B911" t="s">
        <v>112</v>
      </c>
      <c r="C911" t="s">
        <v>113</v>
      </c>
      <c r="D911">
        <v>3</v>
      </c>
      <c r="E911">
        <v>97.646153846153851</v>
      </c>
      <c r="F911">
        <f t="shared" si="14"/>
        <v>292.93846153846152</v>
      </c>
    </row>
    <row r="912" spans="1:6" x14ac:dyDescent="0.2">
      <c r="A912">
        <v>827</v>
      </c>
      <c r="B912" t="s">
        <v>97</v>
      </c>
      <c r="C912" t="s">
        <v>98</v>
      </c>
      <c r="D912">
        <v>1</v>
      </c>
      <c r="E912">
        <v>189.87909999999999</v>
      </c>
      <c r="F912">
        <f t="shared" si="14"/>
        <v>189.87909999999999</v>
      </c>
    </row>
    <row r="913" spans="1:6" x14ac:dyDescent="0.2">
      <c r="A913">
        <v>827</v>
      </c>
      <c r="B913" t="s">
        <v>99</v>
      </c>
      <c r="C913" t="s">
        <v>100</v>
      </c>
      <c r="D913">
        <v>2</v>
      </c>
      <c r="E913">
        <v>1287.1384615384613</v>
      </c>
      <c r="F913">
        <f t="shared" si="14"/>
        <v>2574.2769230769227</v>
      </c>
    </row>
    <row r="914" spans="1:6" x14ac:dyDescent="0.2">
      <c r="A914">
        <v>827</v>
      </c>
      <c r="B914" t="s">
        <v>101</v>
      </c>
      <c r="C914" t="s">
        <v>102</v>
      </c>
      <c r="D914">
        <v>3</v>
      </c>
      <c r="E914">
        <v>1363.0371551999999</v>
      </c>
      <c r="F914">
        <f t="shared" si="14"/>
        <v>4089.1114656</v>
      </c>
    </row>
    <row r="915" spans="1:6" x14ac:dyDescent="0.2">
      <c r="A915">
        <v>827</v>
      </c>
      <c r="B915" t="s">
        <v>103</v>
      </c>
      <c r="C915" t="s">
        <v>104</v>
      </c>
      <c r="D915">
        <v>6</v>
      </c>
      <c r="E915">
        <v>423.58219999999994</v>
      </c>
      <c r="F915">
        <f t="shared" si="14"/>
        <v>2541.4931999999999</v>
      </c>
    </row>
    <row r="916" spans="1:6" x14ac:dyDescent="0.2">
      <c r="A916">
        <v>827</v>
      </c>
      <c r="B916" t="s">
        <v>105</v>
      </c>
      <c r="C916" t="s">
        <v>106</v>
      </c>
      <c r="D916">
        <v>6</v>
      </c>
      <c r="E916">
        <v>36.470199999999998</v>
      </c>
      <c r="F916">
        <f t="shared" si="14"/>
        <v>218.82119999999998</v>
      </c>
    </row>
    <row r="917" spans="1:6" x14ac:dyDescent="0.2">
      <c r="A917">
        <v>827</v>
      </c>
      <c r="B917" t="s">
        <v>107</v>
      </c>
      <c r="C917" t="s">
        <v>108</v>
      </c>
      <c r="D917">
        <v>1</v>
      </c>
      <c r="E917">
        <v>61.492307692307698</v>
      </c>
      <c r="F917">
        <f t="shared" si="14"/>
        <v>61.492307692307698</v>
      </c>
    </row>
    <row r="918" spans="1:6" x14ac:dyDescent="0.2">
      <c r="A918">
        <v>827</v>
      </c>
      <c r="B918" t="s">
        <v>62</v>
      </c>
      <c r="C918" t="s">
        <v>323</v>
      </c>
      <c r="D918">
        <v>3</v>
      </c>
      <c r="E918">
        <v>0.34859999999999997</v>
      </c>
      <c r="F918">
        <f t="shared" si="14"/>
        <v>1.0457999999999998</v>
      </c>
    </row>
    <row r="919" spans="1:6" x14ac:dyDescent="0.2">
      <c r="A919">
        <v>827</v>
      </c>
      <c r="B919" t="s">
        <v>324</v>
      </c>
      <c r="C919" t="s">
        <v>273</v>
      </c>
      <c r="D919">
        <v>1</v>
      </c>
      <c r="E919">
        <v>0.9544999999999999</v>
      </c>
      <c r="F919">
        <f t="shared" si="14"/>
        <v>0.9544999999999999</v>
      </c>
    </row>
    <row r="920" spans="1:6" x14ac:dyDescent="0.2">
      <c r="A920">
        <v>827</v>
      </c>
      <c r="B920" t="s">
        <v>325</v>
      </c>
      <c r="C920" t="s">
        <v>273</v>
      </c>
      <c r="D920">
        <v>1</v>
      </c>
      <c r="E920">
        <v>3.3692307692307697</v>
      </c>
      <c r="F920">
        <f t="shared" si="14"/>
        <v>3.3692307692307697</v>
      </c>
    </row>
    <row r="921" spans="1:6" x14ac:dyDescent="0.2">
      <c r="A921">
        <v>827</v>
      </c>
      <c r="B921" t="s">
        <v>154</v>
      </c>
      <c r="C921" t="s">
        <v>278</v>
      </c>
      <c r="D921">
        <v>3</v>
      </c>
      <c r="E921">
        <v>4.3657999999999992</v>
      </c>
      <c r="F921">
        <f t="shared" si="14"/>
        <v>13.097399999999997</v>
      </c>
    </row>
    <row r="922" spans="1:6" x14ac:dyDescent="0.2">
      <c r="A922">
        <v>827</v>
      </c>
      <c r="B922" t="s">
        <v>290</v>
      </c>
      <c r="C922" t="s">
        <v>278</v>
      </c>
      <c r="D922">
        <v>2</v>
      </c>
      <c r="E922">
        <v>43.751809919999999</v>
      </c>
      <c r="F922">
        <f t="shared" si="14"/>
        <v>87.503619839999999</v>
      </c>
    </row>
    <row r="923" spans="1:6" x14ac:dyDescent="0.2">
      <c r="A923">
        <v>827</v>
      </c>
      <c r="B923" t="s">
        <v>288</v>
      </c>
      <c r="C923" t="s">
        <v>289</v>
      </c>
      <c r="D923">
        <v>1</v>
      </c>
      <c r="E923">
        <v>7.3401215999999998</v>
      </c>
      <c r="F923">
        <f t="shared" si="14"/>
        <v>7.3401215999999998</v>
      </c>
    </row>
    <row r="924" spans="1:6" x14ac:dyDescent="0.2">
      <c r="A924">
        <v>827</v>
      </c>
      <c r="B924" t="s">
        <v>287</v>
      </c>
      <c r="C924" t="s">
        <v>273</v>
      </c>
      <c r="D924">
        <v>5</v>
      </c>
      <c r="E924">
        <v>100.66898687999999</v>
      </c>
      <c r="F924">
        <f t="shared" si="14"/>
        <v>503.34493439999994</v>
      </c>
    </row>
    <row r="925" spans="1:6" x14ac:dyDescent="0.2">
      <c r="A925">
        <v>827</v>
      </c>
      <c r="B925" t="s">
        <v>285</v>
      </c>
      <c r="C925" t="s">
        <v>286</v>
      </c>
      <c r="D925">
        <v>1</v>
      </c>
      <c r="E925">
        <v>58.189985279999981</v>
      </c>
      <c r="F925">
        <f t="shared" si="14"/>
        <v>58.189985279999981</v>
      </c>
    </row>
    <row r="926" spans="1:6" x14ac:dyDescent="0.2">
      <c r="A926">
        <v>827</v>
      </c>
      <c r="B926" t="s">
        <v>291</v>
      </c>
      <c r="C926" t="s">
        <v>278</v>
      </c>
      <c r="D926">
        <v>1</v>
      </c>
      <c r="E926">
        <v>24.136399999999998</v>
      </c>
      <c r="F926">
        <f t="shared" si="14"/>
        <v>24.136399999999998</v>
      </c>
    </row>
    <row r="927" spans="1:6" x14ac:dyDescent="0.2">
      <c r="A927">
        <v>827</v>
      </c>
      <c r="B927" t="s">
        <v>277</v>
      </c>
      <c r="C927" t="s">
        <v>278</v>
      </c>
      <c r="D927">
        <v>1</v>
      </c>
      <c r="E927">
        <v>41.026594559999999</v>
      </c>
      <c r="F927">
        <f t="shared" si="14"/>
        <v>41.026594559999999</v>
      </c>
    </row>
    <row r="928" spans="1:6" x14ac:dyDescent="0.2">
      <c r="A928">
        <v>827</v>
      </c>
      <c r="B928" t="s">
        <v>326</v>
      </c>
      <c r="C928" t="s">
        <v>278</v>
      </c>
      <c r="D928">
        <v>5</v>
      </c>
      <c r="E928">
        <v>3.97459776</v>
      </c>
      <c r="F928">
        <f t="shared" si="14"/>
        <v>19.872988800000002</v>
      </c>
    </row>
    <row r="929" spans="1:6" x14ac:dyDescent="0.2">
      <c r="A929">
        <v>827</v>
      </c>
      <c r="B929" t="s">
        <v>274</v>
      </c>
      <c r="C929" t="s">
        <v>273</v>
      </c>
      <c r="D929">
        <v>5</v>
      </c>
      <c r="E929">
        <v>149.23091903999997</v>
      </c>
      <c r="F929">
        <f t="shared" si="14"/>
        <v>746.1545951999999</v>
      </c>
    </row>
    <row r="930" spans="1:6" x14ac:dyDescent="0.2">
      <c r="A930">
        <v>827</v>
      </c>
      <c r="B930" t="s">
        <v>327</v>
      </c>
      <c r="C930" t="s">
        <v>309</v>
      </c>
      <c r="D930">
        <v>1</v>
      </c>
      <c r="E930">
        <v>1532.5236863999999</v>
      </c>
      <c r="F930">
        <f t="shared" si="14"/>
        <v>1532.5236863999999</v>
      </c>
    </row>
    <row r="931" spans="1:6" x14ac:dyDescent="0.2">
      <c r="A931">
        <v>827</v>
      </c>
      <c r="B931" t="s">
        <v>328</v>
      </c>
      <c r="C931" t="s">
        <v>329</v>
      </c>
      <c r="D931">
        <v>1</v>
      </c>
      <c r="E931">
        <v>155.62307692307695</v>
      </c>
      <c r="F931">
        <f t="shared" si="14"/>
        <v>155.62307692307695</v>
      </c>
    </row>
    <row r="932" spans="1:6" x14ac:dyDescent="0.2">
      <c r="A932">
        <v>827</v>
      </c>
      <c r="B932" t="s">
        <v>330</v>
      </c>
      <c r="C932" t="s">
        <v>331</v>
      </c>
      <c r="D932">
        <v>4</v>
      </c>
      <c r="E932">
        <v>710.44615384615395</v>
      </c>
      <c r="F932">
        <f t="shared" si="14"/>
        <v>2841.7846153846158</v>
      </c>
    </row>
    <row r="933" spans="1:6" x14ac:dyDescent="0.2">
      <c r="A933">
        <v>827</v>
      </c>
      <c r="B933" t="s">
        <v>332</v>
      </c>
      <c r="C933" t="s">
        <v>333</v>
      </c>
      <c r="D933">
        <v>3</v>
      </c>
      <c r="E933">
        <v>167.55384615384617</v>
      </c>
      <c r="F933">
        <f t="shared" si="14"/>
        <v>502.6615384615385</v>
      </c>
    </row>
    <row r="934" spans="1:6" x14ac:dyDescent="0.2">
      <c r="A934">
        <v>827</v>
      </c>
      <c r="B934" t="s">
        <v>272</v>
      </c>
      <c r="C934" t="s">
        <v>273</v>
      </c>
      <c r="D934">
        <v>1</v>
      </c>
      <c r="E934">
        <v>170.11122239999997</v>
      </c>
      <c r="F934">
        <f t="shared" si="14"/>
        <v>170.11122239999997</v>
      </c>
    </row>
    <row r="935" spans="1:6" x14ac:dyDescent="0.2">
      <c r="A935">
        <v>827</v>
      </c>
      <c r="B935" t="s">
        <v>275</v>
      </c>
      <c r="C935" t="s">
        <v>276</v>
      </c>
      <c r="D935">
        <v>3</v>
      </c>
      <c r="E935">
        <v>9.0814483199999998</v>
      </c>
      <c r="F935">
        <f t="shared" si="14"/>
        <v>27.244344959999999</v>
      </c>
    </row>
    <row r="936" spans="1:6" x14ac:dyDescent="0.2">
      <c r="A936">
        <v>827</v>
      </c>
      <c r="B936" t="s">
        <v>334</v>
      </c>
      <c r="C936" t="s">
        <v>329</v>
      </c>
      <c r="D936">
        <v>2</v>
      </c>
      <c r="E936">
        <v>149.03076923076924</v>
      </c>
      <c r="F936">
        <f t="shared" si="14"/>
        <v>298.06153846153848</v>
      </c>
    </row>
    <row r="937" spans="1:6" x14ac:dyDescent="0.2">
      <c r="A937">
        <v>827</v>
      </c>
      <c r="B937" t="s">
        <v>335</v>
      </c>
      <c r="C937" t="s">
        <v>331</v>
      </c>
      <c r="D937">
        <v>4</v>
      </c>
      <c r="E937">
        <v>703.1</v>
      </c>
      <c r="F937">
        <f t="shared" si="14"/>
        <v>2812.4</v>
      </c>
    </row>
    <row r="938" spans="1:6" x14ac:dyDescent="0.2">
      <c r="A938">
        <v>827</v>
      </c>
      <c r="B938" t="s">
        <v>336</v>
      </c>
      <c r="C938" t="s">
        <v>333</v>
      </c>
      <c r="D938">
        <v>1</v>
      </c>
      <c r="E938">
        <v>288.42307692307691</v>
      </c>
      <c r="F938">
        <f t="shared" si="14"/>
        <v>288.42307692307691</v>
      </c>
    </row>
    <row r="939" spans="1:6" x14ac:dyDescent="0.2">
      <c r="A939">
        <v>827</v>
      </c>
      <c r="B939" t="s">
        <v>337</v>
      </c>
      <c r="C939" t="s">
        <v>297</v>
      </c>
      <c r="D939">
        <v>118</v>
      </c>
      <c r="E939">
        <v>11.761099999999999</v>
      </c>
      <c r="F939">
        <f t="shared" si="14"/>
        <v>1387.8098</v>
      </c>
    </row>
    <row r="940" spans="1:6" x14ac:dyDescent="0.2">
      <c r="A940">
        <v>827</v>
      </c>
      <c r="B940" t="s">
        <v>338</v>
      </c>
      <c r="C940" t="s">
        <v>297</v>
      </c>
      <c r="D940">
        <v>1</v>
      </c>
      <c r="E940">
        <v>11.712959999999999</v>
      </c>
      <c r="F940">
        <f t="shared" si="14"/>
        <v>11.712959999999999</v>
      </c>
    </row>
    <row r="941" spans="1:6" x14ac:dyDescent="0.2">
      <c r="A941">
        <v>827</v>
      </c>
      <c r="B941" t="s">
        <v>339</v>
      </c>
      <c r="C941" t="s">
        <v>297</v>
      </c>
      <c r="D941">
        <v>1</v>
      </c>
      <c r="E941">
        <v>20.279038079999996</v>
      </c>
      <c r="F941">
        <f t="shared" si="14"/>
        <v>20.279038079999996</v>
      </c>
    </row>
    <row r="942" spans="1:6" x14ac:dyDescent="0.2">
      <c r="A942">
        <v>827</v>
      </c>
      <c r="B942" t="s">
        <v>340</v>
      </c>
      <c r="C942" t="s">
        <v>309</v>
      </c>
      <c r="D942">
        <v>3</v>
      </c>
      <c r="E942">
        <v>1536.3343027199999</v>
      </c>
      <c r="F942">
        <f t="shared" si="14"/>
        <v>4609.0029081599996</v>
      </c>
    </row>
    <row r="943" spans="1:6" x14ac:dyDescent="0.2">
      <c r="A943">
        <v>827</v>
      </c>
      <c r="B943" t="s">
        <v>341</v>
      </c>
      <c r="C943" t="s">
        <v>342</v>
      </c>
      <c r="D943">
        <v>1</v>
      </c>
      <c r="E943">
        <v>307.22449999999998</v>
      </c>
      <c r="F943">
        <f t="shared" si="14"/>
        <v>307.22449999999998</v>
      </c>
    </row>
    <row r="944" spans="1:6" x14ac:dyDescent="0.2">
      <c r="A944">
        <v>827</v>
      </c>
      <c r="B944" t="s">
        <v>284</v>
      </c>
      <c r="C944" t="s">
        <v>273</v>
      </c>
      <c r="D944">
        <v>2</v>
      </c>
      <c r="E944">
        <v>15.547002240000001</v>
      </c>
      <c r="F944">
        <f t="shared" si="14"/>
        <v>31.094004480000002</v>
      </c>
    </row>
    <row r="945" spans="1:6" x14ac:dyDescent="0.2">
      <c r="A945">
        <v>827</v>
      </c>
      <c r="B945" t="s">
        <v>283</v>
      </c>
      <c r="C945" t="s">
        <v>278</v>
      </c>
      <c r="D945">
        <v>3</v>
      </c>
      <c r="E945">
        <v>101.76219647999997</v>
      </c>
      <c r="F945">
        <f t="shared" si="14"/>
        <v>305.28658943999994</v>
      </c>
    </row>
    <row r="946" spans="1:6" x14ac:dyDescent="0.2">
      <c r="A946">
        <v>827</v>
      </c>
      <c r="B946" t="s">
        <v>281</v>
      </c>
      <c r="C946" t="s">
        <v>282</v>
      </c>
      <c r="D946">
        <v>6</v>
      </c>
      <c r="E946">
        <v>43.369186559999996</v>
      </c>
      <c r="F946">
        <f t="shared" si="14"/>
        <v>260.21511935999996</v>
      </c>
    </row>
    <row r="947" spans="1:6" x14ac:dyDescent="0.2">
      <c r="A947">
        <v>827</v>
      </c>
      <c r="B947" t="s">
        <v>279</v>
      </c>
      <c r="C947" t="s">
        <v>280</v>
      </c>
      <c r="D947">
        <v>6</v>
      </c>
      <c r="E947">
        <v>36.786503039999999</v>
      </c>
      <c r="F947">
        <f t="shared" si="14"/>
        <v>220.71901824</v>
      </c>
    </row>
    <row r="948" spans="1:6" x14ac:dyDescent="0.2">
      <c r="A948">
        <v>827</v>
      </c>
      <c r="B948" t="s">
        <v>343</v>
      </c>
      <c r="C948" t="s">
        <v>282</v>
      </c>
      <c r="D948">
        <v>1</v>
      </c>
      <c r="E948">
        <v>16.807499999999997</v>
      </c>
      <c r="F948">
        <f t="shared" si="14"/>
        <v>16.807499999999997</v>
      </c>
    </row>
    <row r="949" spans="1:6" x14ac:dyDescent="0.2">
      <c r="A949">
        <v>827</v>
      </c>
      <c r="B949" t="s">
        <v>344</v>
      </c>
      <c r="C949" t="s">
        <v>282</v>
      </c>
      <c r="D949">
        <v>3</v>
      </c>
      <c r="E949">
        <v>12.767126399999999</v>
      </c>
      <c r="F949">
        <f t="shared" si="14"/>
        <v>38.3013792</v>
      </c>
    </row>
    <row r="950" spans="1:6" x14ac:dyDescent="0.2">
      <c r="A950">
        <v>827</v>
      </c>
      <c r="B950" t="s">
        <v>270</v>
      </c>
      <c r="C950" t="s">
        <v>271</v>
      </c>
      <c r="D950">
        <v>1</v>
      </c>
      <c r="E950">
        <v>3027.0973823999993</v>
      </c>
      <c r="F950">
        <f t="shared" si="14"/>
        <v>3027.0973823999993</v>
      </c>
    </row>
    <row r="951" spans="1:6" x14ac:dyDescent="0.2">
      <c r="A951">
        <v>827</v>
      </c>
      <c r="B951" t="s">
        <v>272</v>
      </c>
      <c r="C951" t="s">
        <v>273</v>
      </c>
      <c r="D951">
        <v>1</v>
      </c>
      <c r="E951">
        <v>170.11122239999997</v>
      </c>
      <c r="F951">
        <f t="shared" si="14"/>
        <v>170.11122239999997</v>
      </c>
    </row>
    <row r="952" spans="1:6" x14ac:dyDescent="0.2">
      <c r="A952">
        <v>827</v>
      </c>
      <c r="B952" t="s">
        <v>274</v>
      </c>
      <c r="C952" t="s">
        <v>273</v>
      </c>
      <c r="D952">
        <v>3</v>
      </c>
      <c r="E952">
        <v>149.23091903999997</v>
      </c>
      <c r="F952">
        <f t="shared" si="14"/>
        <v>447.6927571199999</v>
      </c>
    </row>
    <row r="953" spans="1:6" x14ac:dyDescent="0.2">
      <c r="A953">
        <v>827</v>
      </c>
      <c r="B953" t="s">
        <v>275</v>
      </c>
      <c r="C953" t="s">
        <v>276</v>
      </c>
      <c r="D953">
        <v>2</v>
      </c>
      <c r="E953">
        <v>9.0814483199999998</v>
      </c>
      <c r="F953">
        <f t="shared" si="14"/>
        <v>18.16289664</v>
      </c>
    </row>
    <row r="954" spans="1:6" x14ac:dyDescent="0.2">
      <c r="A954">
        <v>827</v>
      </c>
      <c r="B954" t="s">
        <v>277</v>
      </c>
      <c r="C954" t="s">
        <v>278</v>
      </c>
      <c r="D954">
        <v>1</v>
      </c>
      <c r="E954">
        <v>41.026594559999999</v>
      </c>
      <c r="F954">
        <f t="shared" si="14"/>
        <v>41.026594559999999</v>
      </c>
    </row>
    <row r="955" spans="1:6" x14ac:dyDescent="0.2">
      <c r="A955">
        <v>827</v>
      </c>
      <c r="B955" t="s">
        <v>279</v>
      </c>
      <c r="C955" t="s">
        <v>280</v>
      </c>
      <c r="D955">
        <v>5</v>
      </c>
      <c r="E955">
        <v>36.786503039999999</v>
      </c>
      <c r="F955">
        <f t="shared" si="14"/>
        <v>183.93251520000001</v>
      </c>
    </row>
    <row r="956" spans="1:6" x14ac:dyDescent="0.2">
      <c r="A956">
        <v>827</v>
      </c>
      <c r="B956" t="s">
        <v>281</v>
      </c>
      <c r="C956" t="s">
        <v>282</v>
      </c>
      <c r="D956">
        <v>1</v>
      </c>
      <c r="E956">
        <v>43.369186559999996</v>
      </c>
      <c r="F956">
        <f t="shared" si="14"/>
        <v>43.369186559999996</v>
      </c>
    </row>
    <row r="957" spans="1:6" x14ac:dyDescent="0.2">
      <c r="A957">
        <v>827</v>
      </c>
      <c r="B957" t="s">
        <v>283</v>
      </c>
      <c r="C957" t="s">
        <v>278</v>
      </c>
      <c r="D957">
        <v>3</v>
      </c>
      <c r="E957">
        <v>101.76219647999997</v>
      </c>
      <c r="F957">
        <f t="shared" si="14"/>
        <v>305.28658943999994</v>
      </c>
    </row>
    <row r="958" spans="1:6" x14ac:dyDescent="0.2">
      <c r="A958">
        <v>827</v>
      </c>
      <c r="B958" t="s">
        <v>284</v>
      </c>
      <c r="C958" t="s">
        <v>273</v>
      </c>
      <c r="D958">
        <v>6</v>
      </c>
      <c r="E958">
        <v>15.547002240000001</v>
      </c>
      <c r="F958">
        <f t="shared" si="14"/>
        <v>93.282013440000014</v>
      </c>
    </row>
    <row r="959" spans="1:6" x14ac:dyDescent="0.2">
      <c r="A959">
        <v>827</v>
      </c>
      <c r="B959" t="s">
        <v>285</v>
      </c>
      <c r="C959" t="s">
        <v>286</v>
      </c>
      <c r="D959">
        <v>6</v>
      </c>
      <c r="E959">
        <v>58.189985279999981</v>
      </c>
      <c r="F959">
        <f t="shared" si="14"/>
        <v>349.1399116799999</v>
      </c>
    </row>
    <row r="960" spans="1:6" x14ac:dyDescent="0.2">
      <c r="A960">
        <v>827</v>
      </c>
      <c r="B960" t="s">
        <v>287</v>
      </c>
      <c r="C960" t="s">
        <v>273</v>
      </c>
      <c r="D960">
        <v>1</v>
      </c>
      <c r="E960">
        <v>100.66898687999999</v>
      </c>
      <c r="F960">
        <f t="shared" si="14"/>
        <v>100.66898687999999</v>
      </c>
    </row>
    <row r="961" spans="1:6" x14ac:dyDescent="0.2">
      <c r="A961">
        <v>827</v>
      </c>
      <c r="B961" t="s">
        <v>288</v>
      </c>
      <c r="C961" t="s">
        <v>289</v>
      </c>
      <c r="D961">
        <v>3</v>
      </c>
      <c r="E961">
        <v>7.3401215999999998</v>
      </c>
      <c r="F961">
        <f t="shared" si="14"/>
        <v>22.020364799999999</v>
      </c>
    </row>
    <row r="962" spans="1:6" x14ac:dyDescent="0.2">
      <c r="A962">
        <v>827</v>
      </c>
      <c r="B962" t="s">
        <v>290</v>
      </c>
      <c r="C962" t="s">
        <v>278</v>
      </c>
      <c r="D962">
        <v>1</v>
      </c>
      <c r="E962">
        <v>43.751809919999999</v>
      </c>
      <c r="F962">
        <f t="shared" si="14"/>
        <v>43.751809919999999</v>
      </c>
    </row>
    <row r="963" spans="1:6" x14ac:dyDescent="0.2">
      <c r="A963">
        <v>827</v>
      </c>
      <c r="B963" t="s">
        <v>277</v>
      </c>
      <c r="C963" t="s">
        <v>278</v>
      </c>
      <c r="D963">
        <v>1</v>
      </c>
      <c r="E963">
        <v>41.026594559999999</v>
      </c>
      <c r="F963">
        <f t="shared" ref="F963:F1026" si="15">D963*E963</f>
        <v>41.026594559999999</v>
      </c>
    </row>
    <row r="964" spans="1:6" x14ac:dyDescent="0.2">
      <c r="A964">
        <v>827</v>
      </c>
      <c r="B964" t="s">
        <v>291</v>
      </c>
      <c r="C964" t="s">
        <v>278</v>
      </c>
      <c r="D964">
        <v>3</v>
      </c>
      <c r="E964">
        <v>24.136399999999998</v>
      </c>
      <c r="F964">
        <f t="shared" si="15"/>
        <v>72.409199999999998</v>
      </c>
    </row>
    <row r="965" spans="1:6" x14ac:dyDescent="0.2">
      <c r="A965">
        <v>827</v>
      </c>
      <c r="B965" t="s">
        <v>292</v>
      </c>
      <c r="C965" t="s">
        <v>293</v>
      </c>
      <c r="D965">
        <v>2</v>
      </c>
      <c r="E965">
        <v>96.852699999999999</v>
      </c>
      <c r="F965">
        <f t="shared" si="15"/>
        <v>193.7054</v>
      </c>
    </row>
    <row r="966" spans="1:6" x14ac:dyDescent="0.2">
      <c r="A966">
        <v>827</v>
      </c>
      <c r="B966" t="s">
        <v>294</v>
      </c>
      <c r="C966" t="s">
        <v>278</v>
      </c>
      <c r="D966">
        <v>1</v>
      </c>
      <c r="E966">
        <v>26.221413119999998</v>
      </c>
      <c r="F966">
        <f t="shared" si="15"/>
        <v>26.221413119999998</v>
      </c>
    </row>
    <row r="967" spans="1:6" x14ac:dyDescent="0.2">
      <c r="A967">
        <v>827</v>
      </c>
      <c r="B967" t="s">
        <v>295</v>
      </c>
      <c r="C967" t="s">
        <v>273</v>
      </c>
      <c r="D967">
        <v>5</v>
      </c>
      <c r="E967">
        <v>54.886930560000003</v>
      </c>
      <c r="F967">
        <f t="shared" si="15"/>
        <v>274.43465280000004</v>
      </c>
    </row>
    <row r="968" spans="1:6" x14ac:dyDescent="0.2">
      <c r="A968">
        <v>827</v>
      </c>
      <c r="B968" t="s">
        <v>296</v>
      </c>
      <c r="C968" t="s">
        <v>297</v>
      </c>
      <c r="D968">
        <v>1</v>
      </c>
      <c r="E968">
        <v>5.5028999999999995</v>
      </c>
      <c r="F968">
        <f t="shared" si="15"/>
        <v>5.5028999999999995</v>
      </c>
    </row>
    <row r="969" spans="1:6" x14ac:dyDescent="0.2">
      <c r="A969">
        <v>827</v>
      </c>
      <c r="B969" t="s">
        <v>298</v>
      </c>
      <c r="C969" t="s">
        <v>297</v>
      </c>
      <c r="D969">
        <v>1</v>
      </c>
      <c r="E969">
        <v>5.9344999999999999</v>
      </c>
      <c r="F969">
        <f t="shared" si="15"/>
        <v>5.9344999999999999</v>
      </c>
    </row>
    <row r="970" spans="1:6" x14ac:dyDescent="0.2">
      <c r="A970">
        <v>827</v>
      </c>
      <c r="B970" t="s">
        <v>299</v>
      </c>
      <c r="C970" t="s">
        <v>297</v>
      </c>
      <c r="D970">
        <v>1</v>
      </c>
      <c r="E970">
        <v>4.3574999999999999</v>
      </c>
      <c r="F970">
        <f t="shared" si="15"/>
        <v>4.3574999999999999</v>
      </c>
    </row>
    <row r="971" spans="1:6" x14ac:dyDescent="0.2">
      <c r="A971">
        <v>827</v>
      </c>
      <c r="B971" t="s">
        <v>122</v>
      </c>
      <c r="C971" t="s">
        <v>276</v>
      </c>
      <c r="D971">
        <v>5</v>
      </c>
      <c r="E971">
        <v>14.915099999999999</v>
      </c>
      <c r="F971">
        <f t="shared" si="15"/>
        <v>74.575499999999991</v>
      </c>
    </row>
    <row r="972" spans="1:6" x14ac:dyDescent="0.2">
      <c r="A972">
        <v>827</v>
      </c>
      <c r="B972" t="s">
        <v>120</v>
      </c>
      <c r="C972" t="s">
        <v>278</v>
      </c>
      <c r="D972">
        <v>5</v>
      </c>
      <c r="E972">
        <v>1.5603999999999998</v>
      </c>
      <c r="F972">
        <f t="shared" si="15"/>
        <v>7.8019999999999987</v>
      </c>
    </row>
    <row r="973" spans="1:6" x14ac:dyDescent="0.2">
      <c r="A973">
        <v>827</v>
      </c>
      <c r="B973" t="s">
        <v>300</v>
      </c>
      <c r="C973" t="s">
        <v>273</v>
      </c>
      <c r="D973">
        <v>1</v>
      </c>
      <c r="E973">
        <v>60.589999999999996</v>
      </c>
      <c r="F973">
        <f t="shared" si="15"/>
        <v>60.589999999999996</v>
      </c>
    </row>
    <row r="974" spans="1:6" x14ac:dyDescent="0.2">
      <c r="A974">
        <v>827</v>
      </c>
      <c r="B974" t="s">
        <v>301</v>
      </c>
      <c r="C974" t="s">
        <v>302</v>
      </c>
      <c r="D974">
        <v>1</v>
      </c>
      <c r="E974">
        <v>104.88565247999999</v>
      </c>
      <c r="F974">
        <f t="shared" si="15"/>
        <v>104.88565247999999</v>
      </c>
    </row>
    <row r="975" spans="1:6" x14ac:dyDescent="0.2">
      <c r="A975">
        <v>827</v>
      </c>
      <c r="B975" t="s">
        <v>303</v>
      </c>
      <c r="C975" t="s">
        <v>304</v>
      </c>
      <c r="D975">
        <v>4</v>
      </c>
      <c r="E975">
        <v>683.94489999999996</v>
      </c>
      <c r="F975">
        <f t="shared" si="15"/>
        <v>2735.7795999999998</v>
      </c>
    </row>
    <row r="976" spans="1:6" x14ac:dyDescent="0.2">
      <c r="A976">
        <v>827</v>
      </c>
      <c r="B976" t="s">
        <v>305</v>
      </c>
      <c r="C976" t="s">
        <v>273</v>
      </c>
      <c r="D976">
        <v>3</v>
      </c>
      <c r="E976">
        <v>71.189099999999996</v>
      </c>
      <c r="F976">
        <f t="shared" si="15"/>
        <v>213.56729999999999</v>
      </c>
    </row>
    <row r="977" spans="1:6" x14ac:dyDescent="0.2">
      <c r="A977">
        <v>827</v>
      </c>
      <c r="B977" t="s">
        <v>294</v>
      </c>
      <c r="C977" t="s">
        <v>278</v>
      </c>
      <c r="D977">
        <v>1</v>
      </c>
      <c r="E977">
        <v>26.221413119999998</v>
      </c>
      <c r="F977">
        <f t="shared" si="15"/>
        <v>26.221413119999998</v>
      </c>
    </row>
    <row r="978" spans="1:6" x14ac:dyDescent="0.2">
      <c r="A978">
        <v>827</v>
      </c>
      <c r="B978" t="s">
        <v>306</v>
      </c>
      <c r="C978" t="s">
        <v>273</v>
      </c>
      <c r="D978">
        <v>3</v>
      </c>
      <c r="E978">
        <v>99.575777279999997</v>
      </c>
      <c r="F978">
        <f t="shared" si="15"/>
        <v>298.72733183999998</v>
      </c>
    </row>
    <row r="979" spans="1:6" x14ac:dyDescent="0.2">
      <c r="A979">
        <v>827</v>
      </c>
      <c r="B979" t="s">
        <v>294</v>
      </c>
      <c r="C979" t="s">
        <v>278</v>
      </c>
      <c r="D979">
        <v>2</v>
      </c>
      <c r="E979">
        <v>26.221413119999998</v>
      </c>
      <c r="F979">
        <f t="shared" si="15"/>
        <v>52.442826239999995</v>
      </c>
    </row>
    <row r="980" spans="1:6" x14ac:dyDescent="0.2">
      <c r="A980">
        <v>827</v>
      </c>
      <c r="B980" t="s">
        <v>306</v>
      </c>
      <c r="C980" t="s">
        <v>273</v>
      </c>
      <c r="D980">
        <v>4</v>
      </c>
      <c r="E980">
        <v>99.575777279999997</v>
      </c>
      <c r="F980">
        <f t="shared" si="15"/>
        <v>398.30310911999999</v>
      </c>
    </row>
    <row r="981" spans="1:6" x14ac:dyDescent="0.2">
      <c r="A981">
        <v>827</v>
      </c>
      <c r="B981" t="s">
        <v>308</v>
      </c>
      <c r="C981" t="s">
        <v>309</v>
      </c>
      <c r="D981">
        <v>1</v>
      </c>
      <c r="E981">
        <v>167.62307692307692</v>
      </c>
      <c r="F981">
        <f t="shared" si="15"/>
        <v>167.62307692307692</v>
      </c>
    </row>
    <row r="982" spans="1:6" x14ac:dyDescent="0.2">
      <c r="A982">
        <v>827</v>
      </c>
      <c r="B982" t="s">
        <v>310</v>
      </c>
      <c r="C982" t="s">
        <v>273</v>
      </c>
      <c r="D982">
        <v>118</v>
      </c>
      <c r="E982">
        <v>0.33200000000000002</v>
      </c>
      <c r="F982">
        <f t="shared" si="15"/>
        <v>39.176000000000002</v>
      </c>
    </row>
    <row r="983" spans="1:6" x14ac:dyDescent="0.2">
      <c r="A983">
        <v>827</v>
      </c>
      <c r="B983" t="s">
        <v>197</v>
      </c>
      <c r="C983" t="s">
        <v>278</v>
      </c>
      <c r="D983">
        <v>1</v>
      </c>
      <c r="E983">
        <v>7.4699999999999989E-2</v>
      </c>
      <c r="F983">
        <f t="shared" si="15"/>
        <v>7.4699999999999989E-2</v>
      </c>
    </row>
    <row r="984" spans="1:6" x14ac:dyDescent="0.2">
      <c r="A984">
        <v>827</v>
      </c>
      <c r="B984" t="s">
        <v>311</v>
      </c>
      <c r="C984" t="s">
        <v>273</v>
      </c>
      <c r="D984">
        <v>1</v>
      </c>
      <c r="E984">
        <v>1.5935999999999999</v>
      </c>
      <c r="F984">
        <f t="shared" si="15"/>
        <v>1.5935999999999999</v>
      </c>
    </row>
    <row r="985" spans="1:6" x14ac:dyDescent="0.2">
      <c r="A985">
        <v>827</v>
      </c>
      <c r="B985" t="s">
        <v>312</v>
      </c>
      <c r="C985" t="s">
        <v>278</v>
      </c>
      <c r="D985">
        <v>3</v>
      </c>
      <c r="E985">
        <v>21.040500000000002</v>
      </c>
      <c r="F985">
        <f t="shared" si="15"/>
        <v>63.121500000000005</v>
      </c>
    </row>
    <row r="986" spans="1:6" x14ac:dyDescent="0.2">
      <c r="A986">
        <v>827</v>
      </c>
      <c r="B986" t="s">
        <v>75</v>
      </c>
      <c r="C986" t="s">
        <v>313</v>
      </c>
      <c r="D986">
        <v>1</v>
      </c>
      <c r="E986">
        <v>0.1153846153846154</v>
      </c>
      <c r="F986">
        <f t="shared" si="15"/>
        <v>0.1153846153846154</v>
      </c>
    </row>
    <row r="987" spans="1:6" x14ac:dyDescent="0.2">
      <c r="A987">
        <v>827</v>
      </c>
      <c r="B987" t="s">
        <v>314</v>
      </c>
      <c r="C987" t="s">
        <v>273</v>
      </c>
      <c r="D987">
        <v>2</v>
      </c>
      <c r="E987">
        <v>0.45650000000000002</v>
      </c>
      <c r="F987">
        <f t="shared" si="15"/>
        <v>0.91300000000000003</v>
      </c>
    </row>
    <row r="988" spans="1:6" x14ac:dyDescent="0.2">
      <c r="A988">
        <v>827</v>
      </c>
      <c r="B988" t="s">
        <v>314</v>
      </c>
      <c r="C988" t="s">
        <v>315</v>
      </c>
      <c r="D988">
        <v>3</v>
      </c>
      <c r="E988">
        <v>0.45650000000000002</v>
      </c>
      <c r="F988">
        <f t="shared" si="15"/>
        <v>1.3694999999999999</v>
      </c>
    </row>
    <row r="989" spans="1:6" x14ac:dyDescent="0.2">
      <c r="A989">
        <v>827</v>
      </c>
      <c r="B989" t="s">
        <v>316</v>
      </c>
      <c r="C989" t="s">
        <v>317</v>
      </c>
      <c r="D989">
        <v>6</v>
      </c>
      <c r="E989">
        <v>92.206615384615375</v>
      </c>
      <c r="F989">
        <f t="shared" si="15"/>
        <v>553.23969230769228</v>
      </c>
    </row>
    <row r="990" spans="1:6" x14ac:dyDescent="0.2">
      <c r="A990">
        <v>827</v>
      </c>
      <c r="B990" t="s">
        <v>318</v>
      </c>
      <c r="C990" t="s">
        <v>319</v>
      </c>
      <c r="D990">
        <v>6</v>
      </c>
      <c r="E990">
        <v>85.453846153846172</v>
      </c>
      <c r="F990">
        <f t="shared" si="15"/>
        <v>512.72307692307709</v>
      </c>
    </row>
    <row r="991" spans="1:6" x14ac:dyDescent="0.2">
      <c r="A991">
        <v>827</v>
      </c>
      <c r="B991" t="s">
        <v>320</v>
      </c>
      <c r="C991" t="s">
        <v>321</v>
      </c>
      <c r="D991">
        <v>1</v>
      </c>
      <c r="E991">
        <v>92.206615384615375</v>
      </c>
      <c r="F991">
        <f t="shared" si="15"/>
        <v>92.206615384615375</v>
      </c>
    </row>
    <row r="992" spans="1:6" x14ac:dyDescent="0.2">
      <c r="A992">
        <v>827</v>
      </c>
      <c r="B992" t="s">
        <v>267</v>
      </c>
      <c r="C992" t="s">
        <v>268</v>
      </c>
      <c r="D992">
        <v>3</v>
      </c>
      <c r="E992">
        <v>84863.132923076919</v>
      </c>
      <c r="F992">
        <f t="shared" si="15"/>
        <v>254589.39876923076</v>
      </c>
    </row>
    <row r="993" spans="1:6" x14ac:dyDescent="0.2">
      <c r="A993">
        <v>827</v>
      </c>
      <c r="B993" t="s">
        <v>260</v>
      </c>
      <c r="C993" t="s">
        <v>261</v>
      </c>
      <c r="D993">
        <v>1</v>
      </c>
      <c r="E993">
        <v>2908.2944615384613</v>
      </c>
      <c r="F993">
        <f t="shared" si="15"/>
        <v>2908.2944615384613</v>
      </c>
    </row>
    <row r="994" spans="1:6" x14ac:dyDescent="0.2">
      <c r="A994">
        <v>827</v>
      </c>
      <c r="B994" t="s">
        <v>262</v>
      </c>
      <c r="C994" t="s">
        <v>263</v>
      </c>
      <c r="D994">
        <v>1</v>
      </c>
      <c r="E994">
        <v>3207.1966153846147</v>
      </c>
      <c r="F994">
        <f t="shared" si="15"/>
        <v>3207.1966153846147</v>
      </c>
    </row>
    <row r="995" spans="1:6" x14ac:dyDescent="0.2">
      <c r="A995">
        <v>827</v>
      </c>
      <c r="B995" t="s">
        <v>264</v>
      </c>
      <c r="C995" t="s">
        <v>265</v>
      </c>
      <c r="D995">
        <v>3</v>
      </c>
      <c r="E995">
        <v>3466.73123076923</v>
      </c>
      <c r="F995">
        <f t="shared" si="15"/>
        <v>10400.19369230769</v>
      </c>
    </row>
    <row r="996" spans="1:6" x14ac:dyDescent="0.2">
      <c r="A996">
        <v>827</v>
      </c>
      <c r="B996" t="s">
        <v>259</v>
      </c>
      <c r="C996" t="s">
        <v>258</v>
      </c>
      <c r="D996">
        <v>2</v>
      </c>
      <c r="E996">
        <v>3325.9759999999997</v>
      </c>
      <c r="F996">
        <f t="shared" si="15"/>
        <v>6651.9519999999993</v>
      </c>
    </row>
    <row r="997" spans="1:6" x14ac:dyDescent="0.2">
      <c r="A997">
        <v>827</v>
      </c>
      <c r="B997" t="s">
        <v>257</v>
      </c>
      <c r="C997" t="s">
        <v>258</v>
      </c>
      <c r="D997">
        <v>1</v>
      </c>
      <c r="E997">
        <v>3325.9759999999997</v>
      </c>
      <c r="F997">
        <f t="shared" si="15"/>
        <v>3325.9759999999997</v>
      </c>
    </row>
    <row r="998" spans="1:6" x14ac:dyDescent="0.2">
      <c r="A998">
        <v>827</v>
      </c>
      <c r="B998" t="s">
        <v>255</v>
      </c>
      <c r="C998" t="s">
        <v>256</v>
      </c>
      <c r="D998">
        <v>5</v>
      </c>
      <c r="E998">
        <v>18546.094615384613</v>
      </c>
      <c r="F998">
        <f t="shared" si="15"/>
        <v>92730.473076923066</v>
      </c>
    </row>
    <row r="999" spans="1:6" x14ac:dyDescent="0.2">
      <c r="A999">
        <v>827</v>
      </c>
      <c r="B999" t="s">
        <v>253</v>
      </c>
      <c r="C999" t="s">
        <v>254</v>
      </c>
      <c r="D999">
        <v>1</v>
      </c>
      <c r="E999">
        <v>21043.67953846154</v>
      </c>
      <c r="F999">
        <f t="shared" si="15"/>
        <v>21043.67953846154</v>
      </c>
    </row>
    <row r="1000" spans="1:6" x14ac:dyDescent="0.2">
      <c r="A1000">
        <v>827</v>
      </c>
      <c r="B1000" t="s">
        <v>359</v>
      </c>
      <c r="C1000" t="s">
        <v>360</v>
      </c>
      <c r="D1000">
        <v>1</v>
      </c>
      <c r="E1000">
        <v>1844.9384615384615</v>
      </c>
      <c r="F1000">
        <f t="shared" si="15"/>
        <v>1844.9384615384615</v>
      </c>
    </row>
    <row r="1001" spans="1:6" x14ac:dyDescent="0.2">
      <c r="A1001">
        <v>827</v>
      </c>
      <c r="B1001" t="s">
        <v>389</v>
      </c>
      <c r="C1001" t="s">
        <v>390</v>
      </c>
      <c r="D1001">
        <v>1</v>
      </c>
      <c r="E1001">
        <v>4906</v>
      </c>
      <c r="F1001">
        <f t="shared" si="15"/>
        <v>4906</v>
      </c>
    </row>
    <row r="1002" spans="1:6" x14ac:dyDescent="0.2">
      <c r="A1002">
        <v>828</v>
      </c>
      <c r="B1002" t="s">
        <v>62</v>
      </c>
      <c r="C1002" t="s">
        <v>63</v>
      </c>
      <c r="D1002">
        <v>5</v>
      </c>
      <c r="E1002">
        <v>0.34860000000000002</v>
      </c>
      <c r="F1002">
        <f t="shared" si="15"/>
        <v>1.7430000000000001</v>
      </c>
    </row>
    <row r="1003" spans="1:6" x14ac:dyDescent="0.2">
      <c r="A1003">
        <v>828</v>
      </c>
      <c r="B1003" t="s">
        <v>64</v>
      </c>
      <c r="C1003" t="s">
        <v>65</v>
      </c>
      <c r="D1003">
        <v>5</v>
      </c>
      <c r="E1003">
        <v>803.07692307692309</v>
      </c>
      <c r="F1003">
        <f t="shared" si="15"/>
        <v>4015.3846153846152</v>
      </c>
    </row>
    <row r="1004" spans="1:6" x14ac:dyDescent="0.2">
      <c r="A1004">
        <v>828</v>
      </c>
      <c r="B1004" t="s">
        <v>67</v>
      </c>
      <c r="C1004" t="s">
        <v>68</v>
      </c>
      <c r="D1004">
        <v>1</v>
      </c>
      <c r="E1004">
        <v>49.678567679999993</v>
      </c>
      <c r="F1004">
        <f t="shared" si="15"/>
        <v>49.678567679999993</v>
      </c>
    </row>
    <row r="1005" spans="1:6" x14ac:dyDescent="0.2">
      <c r="A1005">
        <v>828</v>
      </c>
      <c r="B1005" t="s">
        <v>70</v>
      </c>
      <c r="C1005" t="s">
        <v>71</v>
      </c>
      <c r="D1005">
        <v>1</v>
      </c>
      <c r="E1005">
        <v>407.98649999999998</v>
      </c>
      <c r="F1005">
        <f t="shared" si="15"/>
        <v>407.98649999999998</v>
      </c>
    </row>
    <row r="1006" spans="1:6" x14ac:dyDescent="0.2">
      <c r="A1006">
        <v>828</v>
      </c>
      <c r="B1006" t="s">
        <v>73</v>
      </c>
      <c r="C1006" t="s">
        <v>74</v>
      </c>
      <c r="D1006">
        <v>4</v>
      </c>
      <c r="E1006">
        <v>0.57783935999999991</v>
      </c>
      <c r="F1006">
        <f t="shared" si="15"/>
        <v>2.3113574399999997</v>
      </c>
    </row>
    <row r="1007" spans="1:6" x14ac:dyDescent="0.2">
      <c r="A1007">
        <v>828</v>
      </c>
      <c r="B1007" t="s">
        <v>75</v>
      </c>
      <c r="C1007" t="s">
        <v>76</v>
      </c>
      <c r="D1007">
        <v>3</v>
      </c>
      <c r="E1007">
        <v>0.1153846153846154</v>
      </c>
      <c r="F1007">
        <f t="shared" si="15"/>
        <v>0.3461538461538462</v>
      </c>
    </row>
    <row r="1008" spans="1:6" x14ac:dyDescent="0.2">
      <c r="A1008">
        <v>828</v>
      </c>
      <c r="B1008" t="s">
        <v>77</v>
      </c>
      <c r="C1008" t="s">
        <v>74</v>
      </c>
      <c r="D1008">
        <v>1</v>
      </c>
      <c r="E1008">
        <v>1.3943999999999999</v>
      </c>
      <c r="F1008">
        <f t="shared" si="15"/>
        <v>1.3943999999999999</v>
      </c>
    </row>
    <row r="1009" spans="1:6" x14ac:dyDescent="0.2">
      <c r="A1009">
        <v>828</v>
      </c>
      <c r="B1009" t="s">
        <v>78</v>
      </c>
      <c r="C1009" t="s">
        <v>76</v>
      </c>
      <c r="D1009">
        <v>3</v>
      </c>
      <c r="E1009">
        <v>0.71839487999999996</v>
      </c>
      <c r="F1009">
        <f t="shared" si="15"/>
        <v>2.1551846399999999</v>
      </c>
    </row>
    <row r="1010" spans="1:6" x14ac:dyDescent="0.2">
      <c r="A1010">
        <v>828</v>
      </c>
      <c r="B1010" t="s">
        <v>79</v>
      </c>
      <c r="C1010" t="s">
        <v>74</v>
      </c>
      <c r="D1010">
        <v>2</v>
      </c>
      <c r="E1010">
        <v>1.9307692307692308</v>
      </c>
      <c r="F1010">
        <f t="shared" si="15"/>
        <v>3.8615384615384616</v>
      </c>
    </row>
    <row r="1011" spans="1:6" x14ac:dyDescent="0.2">
      <c r="A1011">
        <v>828</v>
      </c>
      <c r="B1011" t="s">
        <v>80</v>
      </c>
      <c r="C1011" t="s">
        <v>74</v>
      </c>
      <c r="D1011">
        <v>4</v>
      </c>
      <c r="E1011">
        <v>0.9544999999999999</v>
      </c>
      <c r="F1011">
        <f t="shared" si="15"/>
        <v>3.8179999999999996</v>
      </c>
    </row>
    <row r="1012" spans="1:6" x14ac:dyDescent="0.2">
      <c r="A1012">
        <v>828</v>
      </c>
      <c r="B1012" t="s">
        <v>81</v>
      </c>
      <c r="C1012" t="s">
        <v>74</v>
      </c>
      <c r="D1012">
        <v>1</v>
      </c>
      <c r="E1012">
        <v>0.76359999999999995</v>
      </c>
      <c r="F1012">
        <f t="shared" si="15"/>
        <v>0.76359999999999995</v>
      </c>
    </row>
    <row r="1013" spans="1:6" x14ac:dyDescent="0.2">
      <c r="A1013">
        <v>828</v>
      </c>
      <c r="B1013" t="s">
        <v>82</v>
      </c>
      <c r="C1013" t="s">
        <v>83</v>
      </c>
      <c r="D1013">
        <v>118</v>
      </c>
      <c r="E1013">
        <v>20.351599999999998</v>
      </c>
      <c r="F1013">
        <f t="shared" si="15"/>
        <v>2401.4887999999996</v>
      </c>
    </row>
    <row r="1014" spans="1:6" x14ac:dyDescent="0.2">
      <c r="A1014">
        <v>828</v>
      </c>
      <c r="B1014" t="s">
        <v>84</v>
      </c>
      <c r="C1014" t="s">
        <v>85</v>
      </c>
      <c r="D1014">
        <v>1</v>
      </c>
      <c r="E1014">
        <v>102.33222719999999</v>
      </c>
      <c r="F1014">
        <f t="shared" si="15"/>
        <v>102.33222719999999</v>
      </c>
    </row>
    <row r="1015" spans="1:6" x14ac:dyDescent="0.2">
      <c r="A1015">
        <v>828</v>
      </c>
      <c r="B1015" t="s">
        <v>86</v>
      </c>
      <c r="C1015" t="s">
        <v>85</v>
      </c>
      <c r="D1015">
        <v>1</v>
      </c>
      <c r="E1015">
        <v>144.26462399999997</v>
      </c>
      <c r="F1015">
        <f t="shared" si="15"/>
        <v>144.26462399999997</v>
      </c>
    </row>
    <row r="1016" spans="1:6" x14ac:dyDescent="0.2">
      <c r="A1016">
        <v>828</v>
      </c>
      <c r="B1016" t="s">
        <v>87</v>
      </c>
      <c r="C1016" t="s">
        <v>88</v>
      </c>
      <c r="D1016">
        <v>3</v>
      </c>
      <c r="E1016">
        <v>162.02147135999999</v>
      </c>
      <c r="F1016">
        <f t="shared" si="15"/>
        <v>486.06441408000001</v>
      </c>
    </row>
    <row r="1017" spans="1:6" x14ac:dyDescent="0.2">
      <c r="A1017">
        <v>828</v>
      </c>
      <c r="B1017" t="s">
        <v>89</v>
      </c>
      <c r="C1017" t="s">
        <v>85</v>
      </c>
      <c r="D1017">
        <v>1</v>
      </c>
      <c r="E1017">
        <v>211.01287872</v>
      </c>
      <c r="F1017">
        <f t="shared" si="15"/>
        <v>211.01287872</v>
      </c>
    </row>
    <row r="1018" spans="1:6" x14ac:dyDescent="0.2">
      <c r="A1018">
        <v>828</v>
      </c>
      <c r="B1018" t="s">
        <v>90</v>
      </c>
      <c r="C1018" t="s">
        <v>88</v>
      </c>
      <c r="D1018">
        <v>2</v>
      </c>
      <c r="E1018">
        <v>238.16351999999995</v>
      </c>
      <c r="F1018">
        <f t="shared" si="15"/>
        <v>476.3270399999999</v>
      </c>
    </row>
    <row r="1019" spans="1:6" x14ac:dyDescent="0.2">
      <c r="A1019">
        <v>828</v>
      </c>
      <c r="B1019" t="s">
        <v>92</v>
      </c>
      <c r="C1019" t="s">
        <v>93</v>
      </c>
      <c r="D1019">
        <v>3</v>
      </c>
      <c r="E1019">
        <v>19.297499999999999</v>
      </c>
      <c r="F1019">
        <f t="shared" si="15"/>
        <v>57.892499999999998</v>
      </c>
    </row>
    <row r="1020" spans="1:6" x14ac:dyDescent="0.2">
      <c r="A1020">
        <v>828</v>
      </c>
      <c r="B1020" t="s">
        <v>94</v>
      </c>
      <c r="C1020" t="s">
        <v>95</v>
      </c>
      <c r="D1020">
        <v>6</v>
      </c>
      <c r="E1020">
        <v>644.46267648000003</v>
      </c>
      <c r="F1020">
        <f t="shared" si="15"/>
        <v>3866.7760588800002</v>
      </c>
    </row>
    <row r="1021" spans="1:6" x14ac:dyDescent="0.2">
      <c r="A1021">
        <v>828</v>
      </c>
      <c r="B1021" t="s">
        <v>236</v>
      </c>
      <c r="C1021" t="s">
        <v>237</v>
      </c>
      <c r="D1021">
        <v>6</v>
      </c>
      <c r="E1021">
        <v>132.79999999999998</v>
      </c>
      <c r="F1021">
        <f t="shared" si="15"/>
        <v>796.8</v>
      </c>
    </row>
    <row r="1022" spans="1:6" x14ac:dyDescent="0.2">
      <c r="A1022">
        <v>828</v>
      </c>
      <c r="B1022" t="s">
        <v>238</v>
      </c>
      <c r="C1022" t="s">
        <v>239</v>
      </c>
      <c r="D1022">
        <v>1</v>
      </c>
      <c r="E1022">
        <v>340.93846153846152</v>
      </c>
      <c r="F1022">
        <f t="shared" si="15"/>
        <v>340.93846153846152</v>
      </c>
    </row>
    <row r="1023" spans="1:6" x14ac:dyDescent="0.2">
      <c r="A1023">
        <v>828</v>
      </c>
      <c r="B1023" t="s">
        <v>240</v>
      </c>
      <c r="C1023" t="s">
        <v>241</v>
      </c>
      <c r="D1023">
        <v>3</v>
      </c>
      <c r="E1023">
        <v>309.01538461538462</v>
      </c>
      <c r="F1023">
        <f t="shared" si="15"/>
        <v>927.04615384615386</v>
      </c>
    </row>
    <row r="1024" spans="1:6" x14ac:dyDescent="0.2">
      <c r="A1024">
        <v>828</v>
      </c>
      <c r="B1024" t="s">
        <v>242</v>
      </c>
      <c r="C1024" t="s">
        <v>243</v>
      </c>
      <c r="D1024">
        <v>1</v>
      </c>
      <c r="E1024">
        <v>427.76923076923072</v>
      </c>
      <c r="F1024">
        <f t="shared" si="15"/>
        <v>427.76923076923072</v>
      </c>
    </row>
    <row r="1025" spans="1:6" x14ac:dyDescent="0.2">
      <c r="A1025">
        <v>828</v>
      </c>
      <c r="B1025" t="s">
        <v>244</v>
      </c>
      <c r="C1025" t="s">
        <v>184</v>
      </c>
      <c r="D1025">
        <v>1</v>
      </c>
      <c r="E1025">
        <v>18.643076923076922</v>
      </c>
      <c r="F1025">
        <f t="shared" si="15"/>
        <v>18.643076923076922</v>
      </c>
    </row>
    <row r="1026" spans="1:6" x14ac:dyDescent="0.2">
      <c r="A1026">
        <v>828</v>
      </c>
      <c r="B1026" t="s">
        <v>245</v>
      </c>
      <c r="C1026" t="s">
        <v>246</v>
      </c>
      <c r="D1026">
        <v>3</v>
      </c>
      <c r="E1026">
        <v>0.44819999999999999</v>
      </c>
      <c r="F1026">
        <f t="shared" si="15"/>
        <v>1.3446</v>
      </c>
    </row>
    <row r="1027" spans="1:6" x14ac:dyDescent="0.2">
      <c r="A1027">
        <v>828</v>
      </c>
      <c r="B1027" t="s">
        <v>75</v>
      </c>
      <c r="C1027" t="s">
        <v>247</v>
      </c>
      <c r="D1027">
        <v>2</v>
      </c>
      <c r="E1027">
        <v>0.1153846153846154</v>
      </c>
      <c r="F1027">
        <f t="shared" ref="F1027:F1090" si="16">D1027*E1027</f>
        <v>0.23076923076923081</v>
      </c>
    </row>
    <row r="1028" spans="1:6" x14ac:dyDescent="0.2">
      <c r="A1028">
        <v>828</v>
      </c>
      <c r="B1028" t="s">
        <v>197</v>
      </c>
      <c r="C1028" t="s">
        <v>117</v>
      </c>
      <c r="D1028">
        <v>1</v>
      </c>
      <c r="E1028">
        <v>7.4699999999999989E-2</v>
      </c>
      <c r="F1028">
        <f t="shared" si="16"/>
        <v>7.4699999999999989E-2</v>
      </c>
    </row>
    <row r="1029" spans="1:6" x14ac:dyDescent="0.2">
      <c r="A1029">
        <v>828</v>
      </c>
      <c r="B1029" t="s">
        <v>248</v>
      </c>
      <c r="C1029" t="s">
        <v>249</v>
      </c>
      <c r="D1029">
        <v>5</v>
      </c>
      <c r="E1029">
        <v>31064.984615384612</v>
      </c>
      <c r="F1029">
        <f t="shared" si="16"/>
        <v>155324.92307692306</v>
      </c>
    </row>
    <row r="1030" spans="1:6" x14ac:dyDescent="0.2">
      <c r="A1030">
        <v>828</v>
      </c>
      <c r="B1030" t="s">
        <v>250</v>
      </c>
      <c r="C1030" t="s">
        <v>251</v>
      </c>
      <c r="D1030">
        <v>1</v>
      </c>
      <c r="E1030">
        <v>564.54124607999995</v>
      </c>
      <c r="F1030">
        <f t="shared" si="16"/>
        <v>564.54124607999995</v>
      </c>
    </row>
    <row r="1031" spans="1:6" x14ac:dyDescent="0.2">
      <c r="A1031">
        <v>828</v>
      </c>
      <c r="B1031" t="s">
        <v>146</v>
      </c>
      <c r="C1031" t="s">
        <v>147</v>
      </c>
      <c r="D1031">
        <v>1</v>
      </c>
      <c r="E1031">
        <v>8021.5764999999992</v>
      </c>
      <c r="F1031">
        <f t="shared" si="16"/>
        <v>8021.5764999999992</v>
      </c>
    </row>
    <row r="1032" spans="1:6" x14ac:dyDescent="0.2">
      <c r="A1032">
        <v>828</v>
      </c>
      <c r="B1032" t="s">
        <v>215</v>
      </c>
      <c r="C1032" t="s">
        <v>208</v>
      </c>
      <c r="D1032">
        <v>1</v>
      </c>
      <c r="E1032">
        <v>1.42898112</v>
      </c>
      <c r="F1032">
        <f t="shared" si="16"/>
        <v>1.42898112</v>
      </c>
    </row>
    <row r="1033" spans="1:6" x14ac:dyDescent="0.2">
      <c r="A1033">
        <v>828</v>
      </c>
      <c r="B1033" t="s">
        <v>200</v>
      </c>
      <c r="C1033" t="s">
        <v>199</v>
      </c>
      <c r="D1033">
        <v>5</v>
      </c>
      <c r="E1033">
        <v>0.66373439999999995</v>
      </c>
      <c r="F1033">
        <f t="shared" si="16"/>
        <v>3.3186719999999998</v>
      </c>
    </row>
    <row r="1034" spans="1:6" x14ac:dyDescent="0.2">
      <c r="A1034">
        <v>828</v>
      </c>
      <c r="B1034" t="s">
        <v>216</v>
      </c>
      <c r="C1034" t="s">
        <v>199</v>
      </c>
      <c r="D1034">
        <v>5</v>
      </c>
      <c r="E1034">
        <v>0.66400000000000003</v>
      </c>
      <c r="F1034">
        <f t="shared" si="16"/>
        <v>3.3200000000000003</v>
      </c>
    </row>
    <row r="1035" spans="1:6" x14ac:dyDescent="0.2">
      <c r="A1035">
        <v>828</v>
      </c>
      <c r="B1035" t="s">
        <v>217</v>
      </c>
      <c r="C1035" t="s">
        <v>199</v>
      </c>
      <c r="D1035">
        <v>1</v>
      </c>
      <c r="E1035">
        <v>4.2164000000000001</v>
      </c>
      <c r="F1035">
        <f t="shared" si="16"/>
        <v>4.2164000000000001</v>
      </c>
    </row>
    <row r="1036" spans="1:6" x14ac:dyDescent="0.2">
      <c r="A1036">
        <v>828</v>
      </c>
      <c r="B1036" t="s">
        <v>218</v>
      </c>
      <c r="C1036" t="s">
        <v>208</v>
      </c>
      <c r="D1036">
        <v>1</v>
      </c>
      <c r="E1036">
        <v>7.3454999999999995</v>
      </c>
      <c r="F1036">
        <f t="shared" si="16"/>
        <v>7.3454999999999995</v>
      </c>
    </row>
    <row r="1037" spans="1:6" x14ac:dyDescent="0.2">
      <c r="A1037">
        <v>828</v>
      </c>
      <c r="B1037" t="s">
        <v>219</v>
      </c>
      <c r="C1037" t="s">
        <v>199</v>
      </c>
      <c r="D1037">
        <v>4</v>
      </c>
      <c r="E1037">
        <v>1.4774</v>
      </c>
      <c r="F1037">
        <f t="shared" si="16"/>
        <v>5.9096000000000002</v>
      </c>
    </row>
    <row r="1038" spans="1:6" x14ac:dyDescent="0.2">
      <c r="A1038">
        <v>828</v>
      </c>
      <c r="B1038" t="s">
        <v>220</v>
      </c>
      <c r="C1038" t="s">
        <v>208</v>
      </c>
      <c r="D1038">
        <v>3</v>
      </c>
      <c r="E1038">
        <v>3.7267000000000001</v>
      </c>
      <c r="F1038">
        <f t="shared" si="16"/>
        <v>11.180099999999999</v>
      </c>
    </row>
    <row r="1039" spans="1:6" x14ac:dyDescent="0.2">
      <c r="A1039">
        <v>828</v>
      </c>
      <c r="B1039" t="s">
        <v>221</v>
      </c>
      <c r="C1039" t="s">
        <v>199</v>
      </c>
      <c r="D1039">
        <v>1</v>
      </c>
      <c r="E1039">
        <v>0.97939999999999994</v>
      </c>
      <c r="F1039">
        <f t="shared" si="16"/>
        <v>0.97939999999999994</v>
      </c>
    </row>
    <row r="1040" spans="1:6" x14ac:dyDescent="0.2">
      <c r="A1040">
        <v>828</v>
      </c>
      <c r="B1040" t="s">
        <v>222</v>
      </c>
      <c r="C1040" t="s">
        <v>208</v>
      </c>
      <c r="D1040">
        <v>3</v>
      </c>
      <c r="E1040">
        <v>6.0672999999999995</v>
      </c>
      <c r="F1040">
        <f t="shared" si="16"/>
        <v>18.201899999999998</v>
      </c>
    </row>
    <row r="1041" spans="1:6" x14ac:dyDescent="0.2">
      <c r="A1041">
        <v>828</v>
      </c>
      <c r="B1041" t="s">
        <v>223</v>
      </c>
      <c r="C1041" t="s">
        <v>224</v>
      </c>
      <c r="D1041">
        <v>2</v>
      </c>
      <c r="E1041">
        <v>19.4635</v>
      </c>
      <c r="F1041">
        <f t="shared" si="16"/>
        <v>38.927</v>
      </c>
    </row>
    <row r="1042" spans="1:6" x14ac:dyDescent="0.2">
      <c r="A1042">
        <v>828</v>
      </c>
      <c r="B1042" t="s">
        <v>225</v>
      </c>
      <c r="C1042" t="s">
        <v>226</v>
      </c>
      <c r="D1042">
        <v>4</v>
      </c>
      <c r="E1042">
        <v>10.221509759999998</v>
      </c>
      <c r="F1042">
        <f t="shared" si="16"/>
        <v>40.886039039999993</v>
      </c>
    </row>
    <row r="1043" spans="1:6" x14ac:dyDescent="0.2">
      <c r="A1043">
        <v>828</v>
      </c>
      <c r="B1043" t="s">
        <v>227</v>
      </c>
      <c r="C1043" t="s">
        <v>208</v>
      </c>
      <c r="D1043">
        <v>1</v>
      </c>
      <c r="E1043">
        <v>3.6307692307692312</v>
      </c>
      <c r="F1043">
        <f t="shared" si="16"/>
        <v>3.6307692307692312</v>
      </c>
    </row>
    <row r="1044" spans="1:6" x14ac:dyDescent="0.2">
      <c r="A1044">
        <v>828</v>
      </c>
      <c r="B1044" t="s">
        <v>228</v>
      </c>
      <c r="C1044" t="s">
        <v>229</v>
      </c>
      <c r="D1044">
        <v>118</v>
      </c>
      <c r="E1044">
        <v>306.94982975999994</v>
      </c>
      <c r="F1044">
        <f t="shared" si="16"/>
        <v>36220.07991167999</v>
      </c>
    </row>
    <row r="1045" spans="1:6" x14ac:dyDescent="0.2">
      <c r="A1045">
        <v>828</v>
      </c>
      <c r="B1045" t="s">
        <v>116</v>
      </c>
      <c r="C1045" t="s">
        <v>117</v>
      </c>
      <c r="D1045">
        <v>1</v>
      </c>
      <c r="E1045">
        <v>0.25729999999999997</v>
      </c>
      <c r="F1045">
        <f t="shared" si="16"/>
        <v>0.25729999999999997</v>
      </c>
    </row>
    <row r="1046" spans="1:6" x14ac:dyDescent="0.2">
      <c r="A1046">
        <v>828</v>
      </c>
      <c r="B1046" t="s">
        <v>78</v>
      </c>
      <c r="C1046" t="s">
        <v>76</v>
      </c>
      <c r="D1046">
        <v>1</v>
      </c>
      <c r="E1046">
        <v>0.71839487999999996</v>
      </c>
      <c r="F1046">
        <f t="shared" si="16"/>
        <v>0.71839487999999996</v>
      </c>
    </row>
    <row r="1047" spans="1:6" x14ac:dyDescent="0.2">
      <c r="A1047">
        <v>828</v>
      </c>
      <c r="B1047" t="s">
        <v>231</v>
      </c>
      <c r="C1047" t="s">
        <v>208</v>
      </c>
      <c r="D1047">
        <v>3</v>
      </c>
      <c r="E1047">
        <v>2.0832999999999999</v>
      </c>
      <c r="F1047">
        <f t="shared" si="16"/>
        <v>6.2499000000000002</v>
      </c>
    </row>
    <row r="1048" spans="1:6" x14ac:dyDescent="0.2">
      <c r="A1048">
        <v>828</v>
      </c>
      <c r="B1048" t="s">
        <v>232</v>
      </c>
      <c r="C1048" t="s">
        <v>119</v>
      </c>
      <c r="D1048">
        <v>1</v>
      </c>
      <c r="E1048">
        <v>1.5935999999999999</v>
      </c>
      <c r="F1048">
        <f t="shared" si="16"/>
        <v>1.5935999999999999</v>
      </c>
    </row>
    <row r="1049" spans="1:6" x14ac:dyDescent="0.2">
      <c r="A1049">
        <v>828</v>
      </c>
      <c r="B1049" t="s">
        <v>233</v>
      </c>
      <c r="C1049" t="s">
        <v>234</v>
      </c>
      <c r="D1049">
        <v>2</v>
      </c>
      <c r="E1049">
        <v>3989.2954</v>
      </c>
      <c r="F1049">
        <f t="shared" si="16"/>
        <v>7978.5907999999999</v>
      </c>
    </row>
    <row r="1050" spans="1:6" x14ac:dyDescent="0.2">
      <c r="A1050">
        <v>828</v>
      </c>
      <c r="B1050" t="s">
        <v>142</v>
      </c>
      <c r="C1050" t="s">
        <v>143</v>
      </c>
      <c r="D1050">
        <v>3</v>
      </c>
      <c r="E1050">
        <v>18141.642</v>
      </c>
      <c r="F1050">
        <f t="shared" si="16"/>
        <v>54424.925999999999</v>
      </c>
    </row>
    <row r="1051" spans="1:6" x14ac:dyDescent="0.2">
      <c r="A1051">
        <v>828</v>
      </c>
      <c r="B1051" t="s">
        <v>144</v>
      </c>
      <c r="C1051" t="s">
        <v>145</v>
      </c>
      <c r="D1051">
        <v>6</v>
      </c>
      <c r="E1051">
        <v>7346.6769230769241</v>
      </c>
      <c r="F1051">
        <f t="shared" si="16"/>
        <v>44080.061538461545</v>
      </c>
    </row>
    <row r="1052" spans="1:6" x14ac:dyDescent="0.2">
      <c r="A1052">
        <v>828</v>
      </c>
      <c r="B1052" t="s">
        <v>197</v>
      </c>
      <c r="C1052" t="s">
        <v>117</v>
      </c>
      <c r="D1052">
        <v>6</v>
      </c>
      <c r="E1052">
        <v>7.4699999999999989E-2</v>
      </c>
      <c r="F1052">
        <f t="shared" si="16"/>
        <v>0.44819999999999993</v>
      </c>
    </row>
    <row r="1053" spans="1:6" x14ac:dyDescent="0.2">
      <c r="A1053">
        <v>828</v>
      </c>
      <c r="B1053" t="s">
        <v>198</v>
      </c>
      <c r="C1053" t="s">
        <v>199</v>
      </c>
      <c r="D1053">
        <v>1</v>
      </c>
      <c r="E1053">
        <v>0.66373439999999995</v>
      </c>
      <c r="F1053">
        <f t="shared" si="16"/>
        <v>0.66373439999999995</v>
      </c>
    </row>
    <row r="1054" spans="1:6" x14ac:dyDescent="0.2">
      <c r="A1054">
        <v>828</v>
      </c>
      <c r="B1054" t="s">
        <v>200</v>
      </c>
      <c r="C1054" t="s">
        <v>199</v>
      </c>
      <c r="D1054">
        <v>3</v>
      </c>
      <c r="E1054">
        <v>0.66373439999999995</v>
      </c>
      <c r="F1054">
        <f t="shared" si="16"/>
        <v>1.9912031999999997</v>
      </c>
    </row>
    <row r="1055" spans="1:6" x14ac:dyDescent="0.2">
      <c r="A1055">
        <v>828</v>
      </c>
      <c r="B1055" t="s">
        <v>201</v>
      </c>
      <c r="C1055" t="s">
        <v>76</v>
      </c>
      <c r="D1055">
        <v>1</v>
      </c>
      <c r="E1055">
        <v>0.22645055999999994</v>
      </c>
      <c r="F1055">
        <f t="shared" si="16"/>
        <v>0.22645055999999994</v>
      </c>
    </row>
    <row r="1056" spans="1:6" x14ac:dyDescent="0.2">
      <c r="A1056">
        <v>828</v>
      </c>
      <c r="B1056" t="s">
        <v>202</v>
      </c>
      <c r="C1056" t="s">
        <v>203</v>
      </c>
      <c r="D1056">
        <v>1</v>
      </c>
      <c r="E1056">
        <v>12.45</v>
      </c>
      <c r="F1056">
        <f t="shared" si="16"/>
        <v>12.45</v>
      </c>
    </row>
    <row r="1057" spans="1:6" x14ac:dyDescent="0.2">
      <c r="A1057">
        <v>828</v>
      </c>
      <c r="B1057" t="s">
        <v>204</v>
      </c>
      <c r="C1057" t="s">
        <v>205</v>
      </c>
      <c r="D1057">
        <v>3</v>
      </c>
      <c r="E1057">
        <v>103.72216512</v>
      </c>
      <c r="F1057">
        <f t="shared" si="16"/>
        <v>311.16649536</v>
      </c>
    </row>
    <row r="1058" spans="1:6" x14ac:dyDescent="0.2">
      <c r="A1058">
        <v>828</v>
      </c>
      <c r="B1058" t="s">
        <v>116</v>
      </c>
      <c r="C1058" t="s">
        <v>117</v>
      </c>
      <c r="D1058">
        <v>2</v>
      </c>
      <c r="E1058">
        <v>0.25729999999999997</v>
      </c>
      <c r="F1058">
        <f t="shared" si="16"/>
        <v>0.51459999999999995</v>
      </c>
    </row>
    <row r="1059" spans="1:6" x14ac:dyDescent="0.2">
      <c r="A1059">
        <v>828</v>
      </c>
      <c r="B1059" t="s">
        <v>78</v>
      </c>
      <c r="C1059" t="s">
        <v>76</v>
      </c>
      <c r="D1059">
        <v>1</v>
      </c>
      <c r="E1059">
        <v>0.71839487999999996</v>
      </c>
      <c r="F1059">
        <f t="shared" si="16"/>
        <v>0.71839487999999996</v>
      </c>
    </row>
    <row r="1060" spans="1:6" x14ac:dyDescent="0.2">
      <c r="A1060">
        <v>828</v>
      </c>
      <c r="B1060" t="s">
        <v>207</v>
      </c>
      <c r="C1060" t="s">
        <v>208</v>
      </c>
      <c r="D1060">
        <v>5</v>
      </c>
      <c r="E1060">
        <v>4.6314000000000002</v>
      </c>
      <c r="F1060">
        <f t="shared" si="16"/>
        <v>23.157</v>
      </c>
    </row>
    <row r="1061" spans="1:6" x14ac:dyDescent="0.2">
      <c r="A1061">
        <v>828</v>
      </c>
      <c r="B1061" t="s">
        <v>209</v>
      </c>
      <c r="C1061" t="s">
        <v>210</v>
      </c>
      <c r="D1061">
        <v>1</v>
      </c>
      <c r="E1061">
        <v>39.550761599999994</v>
      </c>
      <c r="F1061">
        <f t="shared" si="16"/>
        <v>39.550761599999994</v>
      </c>
    </row>
    <row r="1062" spans="1:6" x14ac:dyDescent="0.2">
      <c r="A1062">
        <v>828</v>
      </c>
      <c r="B1062" t="s">
        <v>211</v>
      </c>
      <c r="C1062" t="s">
        <v>203</v>
      </c>
      <c r="D1062">
        <v>1</v>
      </c>
      <c r="E1062">
        <v>25.754899999999999</v>
      </c>
      <c r="F1062">
        <f t="shared" si="16"/>
        <v>25.754899999999999</v>
      </c>
    </row>
    <row r="1063" spans="1:6" x14ac:dyDescent="0.2">
      <c r="A1063">
        <v>828</v>
      </c>
      <c r="B1063" t="s">
        <v>212</v>
      </c>
      <c r="C1063" t="s">
        <v>213</v>
      </c>
      <c r="D1063">
        <v>1</v>
      </c>
      <c r="E1063">
        <v>272.92059999999998</v>
      </c>
      <c r="F1063">
        <f t="shared" si="16"/>
        <v>272.92059999999998</v>
      </c>
    </row>
    <row r="1064" spans="1:6" x14ac:dyDescent="0.2">
      <c r="A1064">
        <v>828</v>
      </c>
      <c r="B1064" t="s">
        <v>149</v>
      </c>
      <c r="C1064" t="s">
        <v>150</v>
      </c>
      <c r="D1064">
        <v>5</v>
      </c>
      <c r="E1064">
        <v>0.7054999999999999</v>
      </c>
      <c r="F1064">
        <f t="shared" si="16"/>
        <v>3.5274999999999994</v>
      </c>
    </row>
    <row r="1065" spans="1:6" x14ac:dyDescent="0.2">
      <c r="A1065">
        <v>828</v>
      </c>
      <c r="B1065" t="s">
        <v>151</v>
      </c>
      <c r="C1065" t="s">
        <v>152</v>
      </c>
      <c r="D1065">
        <v>5</v>
      </c>
      <c r="E1065">
        <v>5.6190999999999995</v>
      </c>
      <c r="F1065">
        <f t="shared" si="16"/>
        <v>28.095499999999998</v>
      </c>
    </row>
    <row r="1066" spans="1:6" x14ac:dyDescent="0.2">
      <c r="A1066">
        <v>828</v>
      </c>
      <c r="B1066" t="s">
        <v>153</v>
      </c>
      <c r="C1066" t="s">
        <v>119</v>
      </c>
      <c r="D1066">
        <v>1</v>
      </c>
      <c r="E1066">
        <v>1.11663552</v>
      </c>
      <c r="F1066">
        <f t="shared" si="16"/>
        <v>1.11663552</v>
      </c>
    </row>
    <row r="1067" spans="1:6" x14ac:dyDescent="0.2">
      <c r="A1067">
        <v>828</v>
      </c>
      <c r="B1067" t="s">
        <v>154</v>
      </c>
      <c r="C1067" t="s">
        <v>117</v>
      </c>
      <c r="D1067">
        <v>1</v>
      </c>
      <c r="E1067">
        <v>4.3657999999999992</v>
      </c>
      <c r="F1067">
        <f t="shared" si="16"/>
        <v>4.3657999999999992</v>
      </c>
    </row>
    <row r="1068" spans="1:6" x14ac:dyDescent="0.2">
      <c r="A1068">
        <v>828</v>
      </c>
      <c r="B1068" t="s">
        <v>155</v>
      </c>
      <c r="C1068" t="s">
        <v>156</v>
      </c>
      <c r="D1068">
        <v>4</v>
      </c>
      <c r="E1068">
        <v>28.551999999999996</v>
      </c>
      <c r="F1068">
        <f t="shared" si="16"/>
        <v>114.20799999999998</v>
      </c>
    </row>
    <row r="1069" spans="1:6" x14ac:dyDescent="0.2">
      <c r="A1069">
        <v>828</v>
      </c>
      <c r="B1069" t="s">
        <v>157</v>
      </c>
      <c r="C1069" t="s">
        <v>158</v>
      </c>
      <c r="D1069">
        <v>3</v>
      </c>
      <c r="E1069">
        <v>29.456700000000001</v>
      </c>
      <c r="F1069">
        <f t="shared" si="16"/>
        <v>88.370100000000008</v>
      </c>
    </row>
    <row r="1070" spans="1:6" x14ac:dyDescent="0.2">
      <c r="A1070">
        <v>828</v>
      </c>
      <c r="B1070" t="s">
        <v>159</v>
      </c>
      <c r="C1070" t="s">
        <v>117</v>
      </c>
      <c r="D1070">
        <v>1</v>
      </c>
      <c r="E1070">
        <v>11.976899999999999</v>
      </c>
      <c r="F1070">
        <f t="shared" si="16"/>
        <v>11.976899999999999</v>
      </c>
    </row>
    <row r="1071" spans="1:6" x14ac:dyDescent="0.2">
      <c r="A1071">
        <v>828</v>
      </c>
      <c r="B1071" t="s">
        <v>116</v>
      </c>
      <c r="C1071" t="s">
        <v>117</v>
      </c>
      <c r="D1071">
        <v>3</v>
      </c>
      <c r="E1071">
        <v>0.25729999999999997</v>
      </c>
      <c r="F1071">
        <f t="shared" si="16"/>
        <v>0.77189999999999992</v>
      </c>
    </row>
    <row r="1072" spans="1:6" x14ac:dyDescent="0.2">
      <c r="A1072">
        <v>828</v>
      </c>
      <c r="B1072" t="s">
        <v>160</v>
      </c>
      <c r="C1072" t="s">
        <v>161</v>
      </c>
      <c r="D1072">
        <v>2</v>
      </c>
      <c r="E1072">
        <v>15.9194</v>
      </c>
      <c r="F1072">
        <f t="shared" si="16"/>
        <v>31.838799999999999</v>
      </c>
    </row>
    <row r="1073" spans="1:6" x14ac:dyDescent="0.2">
      <c r="A1073">
        <v>828</v>
      </c>
      <c r="B1073" t="s">
        <v>162</v>
      </c>
      <c r="C1073" t="s">
        <v>163</v>
      </c>
      <c r="D1073">
        <v>4</v>
      </c>
      <c r="E1073">
        <v>62.822699999999998</v>
      </c>
      <c r="F1073">
        <f t="shared" si="16"/>
        <v>251.29079999999999</v>
      </c>
    </row>
    <row r="1074" spans="1:6" x14ac:dyDescent="0.2">
      <c r="A1074">
        <v>828</v>
      </c>
      <c r="B1074" t="s">
        <v>164</v>
      </c>
      <c r="C1074" t="s">
        <v>165</v>
      </c>
      <c r="D1074">
        <v>1</v>
      </c>
      <c r="E1074">
        <v>29.381999999999998</v>
      </c>
      <c r="F1074">
        <f t="shared" si="16"/>
        <v>29.381999999999998</v>
      </c>
    </row>
    <row r="1075" spans="1:6" x14ac:dyDescent="0.2">
      <c r="A1075">
        <v>828</v>
      </c>
      <c r="B1075" t="s">
        <v>166</v>
      </c>
      <c r="C1075" t="s">
        <v>76</v>
      </c>
      <c r="D1075">
        <v>118</v>
      </c>
      <c r="E1075">
        <v>0.97109999999999985</v>
      </c>
      <c r="F1075">
        <f t="shared" si="16"/>
        <v>114.58979999999998</v>
      </c>
    </row>
    <row r="1076" spans="1:6" x14ac:dyDescent="0.2">
      <c r="A1076">
        <v>828</v>
      </c>
      <c r="B1076" t="s">
        <v>167</v>
      </c>
      <c r="C1076" t="s">
        <v>168</v>
      </c>
      <c r="D1076">
        <v>1</v>
      </c>
      <c r="E1076">
        <v>68.201099999999997</v>
      </c>
      <c r="F1076">
        <f t="shared" si="16"/>
        <v>68.201099999999997</v>
      </c>
    </row>
    <row r="1077" spans="1:6" x14ac:dyDescent="0.2">
      <c r="A1077">
        <v>828</v>
      </c>
      <c r="B1077" t="s">
        <v>169</v>
      </c>
      <c r="C1077" t="s">
        <v>119</v>
      </c>
      <c r="D1077">
        <v>1</v>
      </c>
      <c r="E1077">
        <v>26.078600000000002</v>
      </c>
      <c r="F1077">
        <f t="shared" si="16"/>
        <v>26.078600000000002</v>
      </c>
    </row>
    <row r="1078" spans="1:6" x14ac:dyDescent="0.2">
      <c r="A1078">
        <v>828</v>
      </c>
      <c r="B1078" t="s">
        <v>170</v>
      </c>
      <c r="C1078" t="s">
        <v>171</v>
      </c>
      <c r="D1078">
        <v>3</v>
      </c>
      <c r="E1078">
        <v>15.438000000000001</v>
      </c>
      <c r="F1078">
        <f t="shared" si="16"/>
        <v>46.314</v>
      </c>
    </row>
    <row r="1079" spans="1:6" x14ac:dyDescent="0.2">
      <c r="A1079">
        <v>828</v>
      </c>
      <c r="B1079" t="s">
        <v>172</v>
      </c>
      <c r="C1079" t="s">
        <v>173</v>
      </c>
      <c r="D1079">
        <v>1</v>
      </c>
      <c r="E1079">
        <v>158.41380000000001</v>
      </c>
      <c r="F1079">
        <f t="shared" si="16"/>
        <v>158.41380000000001</v>
      </c>
    </row>
    <row r="1080" spans="1:6" x14ac:dyDescent="0.2">
      <c r="A1080">
        <v>828</v>
      </c>
      <c r="B1080" t="s">
        <v>174</v>
      </c>
      <c r="C1080" t="s">
        <v>119</v>
      </c>
      <c r="D1080">
        <v>2</v>
      </c>
      <c r="E1080">
        <v>1.2616000000000001</v>
      </c>
      <c r="F1080">
        <f t="shared" si="16"/>
        <v>2.5232000000000001</v>
      </c>
    </row>
    <row r="1081" spans="1:6" x14ac:dyDescent="0.2">
      <c r="A1081">
        <v>828</v>
      </c>
      <c r="B1081" t="s">
        <v>175</v>
      </c>
      <c r="C1081" t="s">
        <v>176</v>
      </c>
      <c r="D1081">
        <v>3</v>
      </c>
      <c r="E1081">
        <v>194.7595</v>
      </c>
      <c r="F1081">
        <f t="shared" si="16"/>
        <v>584.27850000000001</v>
      </c>
    </row>
    <row r="1082" spans="1:6" x14ac:dyDescent="0.2">
      <c r="A1082">
        <v>828</v>
      </c>
      <c r="B1082" t="s">
        <v>177</v>
      </c>
      <c r="C1082" t="s">
        <v>178</v>
      </c>
      <c r="D1082">
        <v>6</v>
      </c>
      <c r="E1082">
        <v>1660.6244256000002</v>
      </c>
      <c r="F1082">
        <f t="shared" si="16"/>
        <v>9963.7465536000018</v>
      </c>
    </row>
    <row r="1083" spans="1:6" x14ac:dyDescent="0.2">
      <c r="A1083">
        <v>828</v>
      </c>
      <c r="B1083" t="s">
        <v>179</v>
      </c>
      <c r="C1083" t="s">
        <v>119</v>
      </c>
      <c r="D1083">
        <v>6</v>
      </c>
      <c r="E1083">
        <v>32.444700000000005</v>
      </c>
      <c r="F1083">
        <f t="shared" si="16"/>
        <v>194.66820000000001</v>
      </c>
    </row>
    <row r="1084" spans="1:6" x14ac:dyDescent="0.2">
      <c r="A1084">
        <v>828</v>
      </c>
      <c r="B1084" t="s">
        <v>180</v>
      </c>
      <c r="C1084" t="s">
        <v>181</v>
      </c>
      <c r="D1084">
        <v>1</v>
      </c>
      <c r="E1084">
        <v>64.117499999999993</v>
      </c>
      <c r="F1084">
        <f t="shared" si="16"/>
        <v>64.117499999999993</v>
      </c>
    </row>
    <row r="1085" spans="1:6" x14ac:dyDescent="0.2">
      <c r="A1085">
        <v>828</v>
      </c>
      <c r="B1085" t="s">
        <v>182</v>
      </c>
      <c r="C1085" t="s">
        <v>158</v>
      </c>
      <c r="D1085">
        <v>3</v>
      </c>
      <c r="E1085">
        <v>80.788189439999996</v>
      </c>
      <c r="F1085">
        <f t="shared" si="16"/>
        <v>242.36456831999999</v>
      </c>
    </row>
    <row r="1086" spans="1:6" x14ac:dyDescent="0.2">
      <c r="A1086">
        <v>828</v>
      </c>
      <c r="B1086" t="s">
        <v>183</v>
      </c>
      <c r="C1086" t="s">
        <v>184</v>
      </c>
      <c r="D1086">
        <v>1</v>
      </c>
      <c r="E1086">
        <v>548.61538461538476</v>
      </c>
      <c r="F1086">
        <f t="shared" si="16"/>
        <v>548.61538461538476</v>
      </c>
    </row>
    <row r="1087" spans="1:6" x14ac:dyDescent="0.2">
      <c r="A1087">
        <v>828</v>
      </c>
      <c r="B1087" t="s">
        <v>185</v>
      </c>
      <c r="C1087" t="s">
        <v>186</v>
      </c>
      <c r="D1087">
        <v>1</v>
      </c>
      <c r="E1087">
        <v>278.05</v>
      </c>
      <c r="F1087">
        <f t="shared" si="16"/>
        <v>278.05</v>
      </c>
    </row>
    <row r="1088" spans="1:6" x14ac:dyDescent="0.2">
      <c r="A1088">
        <v>828</v>
      </c>
      <c r="B1088" t="s">
        <v>187</v>
      </c>
      <c r="C1088" t="s">
        <v>188</v>
      </c>
      <c r="D1088">
        <v>3</v>
      </c>
      <c r="E1088">
        <v>105.03649999999999</v>
      </c>
      <c r="F1088">
        <f t="shared" si="16"/>
        <v>315.10949999999997</v>
      </c>
    </row>
    <row r="1089" spans="1:6" x14ac:dyDescent="0.2">
      <c r="A1089">
        <v>828</v>
      </c>
      <c r="B1089" t="s">
        <v>189</v>
      </c>
      <c r="C1089" t="s">
        <v>163</v>
      </c>
      <c r="D1089">
        <v>2</v>
      </c>
      <c r="E1089">
        <v>154.25968320000001</v>
      </c>
      <c r="F1089">
        <f t="shared" si="16"/>
        <v>308.51936640000002</v>
      </c>
    </row>
    <row r="1090" spans="1:6" x14ac:dyDescent="0.2">
      <c r="A1090">
        <v>828</v>
      </c>
      <c r="B1090" t="s">
        <v>190</v>
      </c>
      <c r="C1090" t="s">
        <v>191</v>
      </c>
      <c r="D1090">
        <v>1</v>
      </c>
      <c r="E1090">
        <v>1397.886</v>
      </c>
      <c r="F1090">
        <f t="shared" si="16"/>
        <v>1397.886</v>
      </c>
    </row>
    <row r="1091" spans="1:6" x14ac:dyDescent="0.2">
      <c r="A1091">
        <v>828</v>
      </c>
      <c r="B1091" t="s">
        <v>192</v>
      </c>
      <c r="C1091" t="s">
        <v>193</v>
      </c>
      <c r="D1091">
        <v>5</v>
      </c>
      <c r="E1091">
        <v>843.03639167999984</v>
      </c>
      <c r="F1091">
        <f t="shared" ref="F1091:F1154" si="17">D1091*E1091</f>
        <v>4215.1819583999995</v>
      </c>
    </row>
    <row r="1092" spans="1:6" x14ac:dyDescent="0.2">
      <c r="A1092">
        <v>828</v>
      </c>
      <c r="B1092" t="s">
        <v>194</v>
      </c>
      <c r="C1092" t="s">
        <v>193</v>
      </c>
      <c r="D1092">
        <v>1</v>
      </c>
      <c r="E1092">
        <v>868.20489999999995</v>
      </c>
      <c r="F1092">
        <f t="shared" si="17"/>
        <v>868.20489999999995</v>
      </c>
    </row>
    <row r="1093" spans="1:6" x14ac:dyDescent="0.2">
      <c r="A1093">
        <v>828</v>
      </c>
      <c r="B1093" t="s">
        <v>195</v>
      </c>
      <c r="C1093" t="s">
        <v>117</v>
      </c>
      <c r="D1093">
        <v>1</v>
      </c>
      <c r="E1093">
        <v>1.0374999999999999</v>
      </c>
      <c r="F1093">
        <f t="shared" si="17"/>
        <v>1.0374999999999999</v>
      </c>
    </row>
    <row r="1094" spans="1:6" x14ac:dyDescent="0.2">
      <c r="A1094">
        <v>828</v>
      </c>
      <c r="B1094" t="s">
        <v>135</v>
      </c>
      <c r="C1094" t="s">
        <v>136</v>
      </c>
      <c r="D1094">
        <v>1</v>
      </c>
      <c r="E1094">
        <v>395.04690624</v>
      </c>
      <c r="F1094">
        <f t="shared" si="17"/>
        <v>395.04690624</v>
      </c>
    </row>
    <row r="1095" spans="1:6" x14ac:dyDescent="0.2">
      <c r="A1095">
        <v>828</v>
      </c>
      <c r="B1095" t="s">
        <v>137</v>
      </c>
      <c r="C1095" t="s">
        <v>138</v>
      </c>
      <c r="D1095">
        <v>5</v>
      </c>
      <c r="E1095">
        <v>252.98431871999998</v>
      </c>
      <c r="F1095">
        <f t="shared" si="17"/>
        <v>1264.9215935999998</v>
      </c>
    </row>
    <row r="1096" spans="1:6" x14ac:dyDescent="0.2">
      <c r="A1096">
        <v>828</v>
      </c>
      <c r="B1096" t="s">
        <v>139</v>
      </c>
      <c r="C1096" t="s">
        <v>140</v>
      </c>
      <c r="D1096">
        <v>5</v>
      </c>
      <c r="E1096">
        <v>2054.4575</v>
      </c>
      <c r="F1096">
        <f t="shared" si="17"/>
        <v>10272.2875</v>
      </c>
    </row>
    <row r="1097" spans="1:6" x14ac:dyDescent="0.2">
      <c r="A1097">
        <v>828</v>
      </c>
      <c r="B1097" t="s">
        <v>116</v>
      </c>
      <c r="C1097" t="s">
        <v>117</v>
      </c>
      <c r="D1097">
        <v>1</v>
      </c>
      <c r="E1097">
        <v>0.25729999999999997</v>
      </c>
      <c r="F1097">
        <f t="shared" si="17"/>
        <v>0.25729999999999997</v>
      </c>
    </row>
    <row r="1098" spans="1:6" x14ac:dyDescent="0.2">
      <c r="A1098">
        <v>828</v>
      </c>
      <c r="B1098" t="s">
        <v>118</v>
      </c>
      <c r="C1098" t="s">
        <v>119</v>
      </c>
      <c r="D1098">
        <v>1</v>
      </c>
      <c r="E1098">
        <v>0.83</v>
      </c>
      <c r="F1098">
        <f t="shared" si="17"/>
        <v>0.83</v>
      </c>
    </row>
    <row r="1099" spans="1:6" x14ac:dyDescent="0.2">
      <c r="A1099">
        <v>828</v>
      </c>
      <c r="B1099" t="s">
        <v>120</v>
      </c>
      <c r="C1099" t="s">
        <v>117</v>
      </c>
      <c r="D1099">
        <v>4</v>
      </c>
      <c r="E1099">
        <v>1.5603999999999998</v>
      </c>
      <c r="F1099">
        <f t="shared" si="17"/>
        <v>6.2415999999999991</v>
      </c>
    </row>
    <row r="1100" spans="1:6" x14ac:dyDescent="0.2">
      <c r="A1100">
        <v>828</v>
      </c>
      <c r="B1100" t="s">
        <v>121</v>
      </c>
      <c r="C1100" t="s">
        <v>117</v>
      </c>
      <c r="D1100">
        <v>3</v>
      </c>
      <c r="E1100">
        <v>270.83729999999997</v>
      </c>
      <c r="F1100">
        <f t="shared" si="17"/>
        <v>812.51189999999997</v>
      </c>
    </row>
    <row r="1101" spans="1:6" x14ac:dyDescent="0.2">
      <c r="A1101">
        <v>828</v>
      </c>
      <c r="B1101" t="s">
        <v>122</v>
      </c>
      <c r="C1101" t="s">
        <v>76</v>
      </c>
      <c r="D1101">
        <v>1</v>
      </c>
      <c r="E1101">
        <v>14.915099999999999</v>
      </c>
      <c r="F1101">
        <f t="shared" si="17"/>
        <v>14.915099999999999</v>
      </c>
    </row>
    <row r="1102" spans="1:6" x14ac:dyDescent="0.2">
      <c r="A1102">
        <v>828</v>
      </c>
      <c r="B1102" t="s">
        <v>123</v>
      </c>
      <c r="C1102" t="s">
        <v>119</v>
      </c>
      <c r="D1102">
        <v>3</v>
      </c>
      <c r="E1102">
        <v>122.52459999999999</v>
      </c>
      <c r="F1102">
        <f t="shared" si="17"/>
        <v>367.57380000000001</v>
      </c>
    </row>
    <row r="1103" spans="1:6" x14ac:dyDescent="0.2">
      <c r="A1103">
        <v>828</v>
      </c>
      <c r="B1103" t="s">
        <v>124</v>
      </c>
      <c r="C1103" t="s">
        <v>119</v>
      </c>
      <c r="D1103">
        <v>2</v>
      </c>
      <c r="E1103">
        <v>65.877099999999999</v>
      </c>
      <c r="F1103">
        <f t="shared" si="17"/>
        <v>131.7542</v>
      </c>
    </row>
    <row r="1104" spans="1:6" x14ac:dyDescent="0.2">
      <c r="A1104">
        <v>828</v>
      </c>
      <c r="B1104" t="s">
        <v>125</v>
      </c>
      <c r="C1104" t="s">
        <v>117</v>
      </c>
      <c r="D1104">
        <v>4</v>
      </c>
      <c r="E1104">
        <v>45.957099999999997</v>
      </c>
      <c r="F1104">
        <f t="shared" si="17"/>
        <v>183.82839999999999</v>
      </c>
    </row>
    <row r="1105" spans="1:6" x14ac:dyDescent="0.2">
      <c r="A1105">
        <v>828</v>
      </c>
      <c r="B1105" t="s">
        <v>126</v>
      </c>
      <c r="C1105" t="s">
        <v>127</v>
      </c>
      <c r="D1105">
        <v>1</v>
      </c>
      <c r="E1105">
        <v>411.49739999999997</v>
      </c>
      <c r="F1105">
        <f t="shared" si="17"/>
        <v>411.49739999999997</v>
      </c>
    </row>
    <row r="1106" spans="1:6" x14ac:dyDescent="0.2">
      <c r="A1106">
        <v>828</v>
      </c>
      <c r="B1106" t="s">
        <v>129</v>
      </c>
      <c r="C1106" t="s">
        <v>130</v>
      </c>
      <c r="D1106">
        <v>118</v>
      </c>
      <c r="E1106">
        <v>6724.2781999999997</v>
      </c>
      <c r="F1106">
        <f t="shared" si="17"/>
        <v>793464.82759999996</v>
      </c>
    </row>
    <row r="1107" spans="1:6" x14ac:dyDescent="0.2">
      <c r="A1107">
        <v>828</v>
      </c>
      <c r="B1107" t="s">
        <v>132</v>
      </c>
      <c r="C1107" t="s">
        <v>133</v>
      </c>
      <c r="D1107">
        <v>1</v>
      </c>
      <c r="E1107">
        <v>1168.0257999999999</v>
      </c>
      <c r="F1107">
        <f t="shared" si="17"/>
        <v>1168.0257999999999</v>
      </c>
    </row>
    <row r="1108" spans="1:6" x14ac:dyDescent="0.2">
      <c r="A1108">
        <v>828</v>
      </c>
      <c r="B1108" t="s">
        <v>110</v>
      </c>
      <c r="C1108" t="s">
        <v>111</v>
      </c>
      <c r="D1108">
        <v>1</v>
      </c>
      <c r="E1108">
        <v>119.83539999999999</v>
      </c>
      <c r="F1108">
        <f t="shared" si="17"/>
        <v>119.83539999999999</v>
      </c>
    </row>
    <row r="1109" spans="1:6" x14ac:dyDescent="0.2">
      <c r="A1109">
        <v>828</v>
      </c>
      <c r="B1109" t="s">
        <v>112</v>
      </c>
      <c r="C1109" t="s">
        <v>113</v>
      </c>
      <c r="D1109">
        <v>3</v>
      </c>
      <c r="E1109">
        <v>97.646153846153851</v>
      </c>
      <c r="F1109">
        <f t="shared" si="17"/>
        <v>292.93846153846152</v>
      </c>
    </row>
    <row r="1110" spans="1:6" x14ac:dyDescent="0.2">
      <c r="A1110">
        <v>828</v>
      </c>
      <c r="B1110" t="s">
        <v>110</v>
      </c>
      <c r="C1110" t="s">
        <v>111</v>
      </c>
      <c r="D1110">
        <v>1</v>
      </c>
      <c r="E1110">
        <v>119.83539999999999</v>
      </c>
      <c r="F1110">
        <f t="shared" si="17"/>
        <v>119.83539999999999</v>
      </c>
    </row>
    <row r="1111" spans="1:6" x14ac:dyDescent="0.2">
      <c r="A1111">
        <v>828</v>
      </c>
      <c r="B1111" t="s">
        <v>112</v>
      </c>
      <c r="C1111" t="s">
        <v>113</v>
      </c>
      <c r="D1111">
        <v>2</v>
      </c>
      <c r="E1111">
        <v>97.646153846153851</v>
      </c>
      <c r="F1111">
        <f t="shared" si="17"/>
        <v>195.2923076923077</v>
      </c>
    </row>
    <row r="1112" spans="1:6" x14ac:dyDescent="0.2">
      <c r="A1112">
        <v>828</v>
      </c>
      <c r="B1112" t="s">
        <v>97</v>
      </c>
      <c r="C1112" t="s">
        <v>98</v>
      </c>
      <c r="D1112">
        <v>3</v>
      </c>
      <c r="E1112">
        <v>189.87909999999999</v>
      </c>
      <c r="F1112">
        <f t="shared" si="17"/>
        <v>569.63729999999998</v>
      </c>
    </row>
    <row r="1113" spans="1:6" x14ac:dyDescent="0.2">
      <c r="A1113">
        <v>828</v>
      </c>
      <c r="B1113" t="s">
        <v>99</v>
      </c>
      <c r="C1113" t="s">
        <v>100</v>
      </c>
      <c r="D1113">
        <v>6</v>
      </c>
      <c r="E1113">
        <v>1287.1384615384613</v>
      </c>
      <c r="F1113">
        <f t="shared" si="17"/>
        <v>7722.8307692307681</v>
      </c>
    </row>
    <row r="1114" spans="1:6" x14ac:dyDescent="0.2">
      <c r="A1114">
        <v>828</v>
      </c>
      <c r="B1114" t="s">
        <v>101</v>
      </c>
      <c r="C1114" t="s">
        <v>102</v>
      </c>
      <c r="D1114">
        <v>6</v>
      </c>
      <c r="E1114">
        <v>1363.0371551999999</v>
      </c>
      <c r="F1114">
        <f t="shared" si="17"/>
        <v>8178.2229311999999</v>
      </c>
    </row>
    <row r="1115" spans="1:6" x14ac:dyDescent="0.2">
      <c r="A1115">
        <v>828</v>
      </c>
      <c r="B1115" t="s">
        <v>103</v>
      </c>
      <c r="C1115" t="s">
        <v>104</v>
      </c>
      <c r="D1115">
        <v>1</v>
      </c>
      <c r="E1115">
        <v>423.58219999999994</v>
      </c>
      <c r="F1115">
        <f t="shared" si="17"/>
        <v>423.58219999999994</v>
      </c>
    </row>
    <row r="1116" spans="1:6" x14ac:dyDescent="0.2">
      <c r="A1116">
        <v>828</v>
      </c>
      <c r="B1116" t="s">
        <v>105</v>
      </c>
      <c r="C1116" t="s">
        <v>106</v>
      </c>
      <c r="D1116">
        <v>3</v>
      </c>
      <c r="E1116">
        <v>36.470199999999998</v>
      </c>
      <c r="F1116">
        <f t="shared" si="17"/>
        <v>109.41059999999999</v>
      </c>
    </row>
    <row r="1117" spans="1:6" x14ac:dyDescent="0.2">
      <c r="A1117">
        <v>828</v>
      </c>
      <c r="B1117" t="s">
        <v>107</v>
      </c>
      <c r="C1117" t="s">
        <v>108</v>
      </c>
      <c r="D1117">
        <v>1</v>
      </c>
      <c r="E1117">
        <v>61.492307692307698</v>
      </c>
      <c r="F1117">
        <f t="shared" si="17"/>
        <v>61.492307692307698</v>
      </c>
    </row>
    <row r="1118" spans="1:6" x14ac:dyDescent="0.2">
      <c r="A1118">
        <v>828</v>
      </c>
      <c r="B1118" t="s">
        <v>62</v>
      </c>
      <c r="C1118" t="s">
        <v>323</v>
      </c>
      <c r="D1118">
        <v>1</v>
      </c>
      <c r="E1118">
        <v>0.34859999999999997</v>
      </c>
      <c r="F1118">
        <f t="shared" si="17"/>
        <v>0.34859999999999997</v>
      </c>
    </row>
    <row r="1119" spans="1:6" x14ac:dyDescent="0.2">
      <c r="A1119">
        <v>828</v>
      </c>
      <c r="B1119" t="s">
        <v>324</v>
      </c>
      <c r="C1119" t="s">
        <v>273</v>
      </c>
      <c r="D1119">
        <v>3</v>
      </c>
      <c r="E1119">
        <v>0.9544999999999999</v>
      </c>
      <c r="F1119">
        <f t="shared" si="17"/>
        <v>2.8634999999999997</v>
      </c>
    </row>
    <row r="1120" spans="1:6" x14ac:dyDescent="0.2">
      <c r="A1120">
        <v>828</v>
      </c>
      <c r="B1120" t="s">
        <v>325</v>
      </c>
      <c r="C1120" t="s">
        <v>273</v>
      </c>
      <c r="D1120">
        <v>2</v>
      </c>
      <c r="E1120">
        <v>3.3692307692307697</v>
      </c>
      <c r="F1120">
        <f t="shared" si="17"/>
        <v>6.7384615384615394</v>
      </c>
    </row>
    <row r="1121" spans="1:6" x14ac:dyDescent="0.2">
      <c r="A1121">
        <v>828</v>
      </c>
      <c r="B1121" t="s">
        <v>154</v>
      </c>
      <c r="C1121" t="s">
        <v>278</v>
      </c>
      <c r="D1121">
        <v>1</v>
      </c>
      <c r="E1121">
        <v>4.3657999999999992</v>
      </c>
      <c r="F1121">
        <f t="shared" si="17"/>
        <v>4.3657999999999992</v>
      </c>
    </row>
    <row r="1122" spans="1:6" x14ac:dyDescent="0.2">
      <c r="A1122">
        <v>828</v>
      </c>
      <c r="B1122" t="s">
        <v>290</v>
      </c>
      <c r="C1122" t="s">
        <v>278</v>
      </c>
      <c r="D1122">
        <v>5</v>
      </c>
      <c r="E1122">
        <v>43.751809919999999</v>
      </c>
      <c r="F1122">
        <f t="shared" si="17"/>
        <v>218.7590496</v>
      </c>
    </row>
    <row r="1123" spans="1:6" x14ac:dyDescent="0.2">
      <c r="A1123">
        <v>828</v>
      </c>
      <c r="B1123" t="s">
        <v>288</v>
      </c>
      <c r="C1123" t="s">
        <v>289</v>
      </c>
      <c r="D1123">
        <v>1</v>
      </c>
      <c r="E1123">
        <v>7.3401215999999998</v>
      </c>
      <c r="F1123">
        <f t="shared" si="17"/>
        <v>7.3401215999999998</v>
      </c>
    </row>
    <row r="1124" spans="1:6" x14ac:dyDescent="0.2">
      <c r="A1124">
        <v>828</v>
      </c>
      <c r="B1124" t="s">
        <v>287</v>
      </c>
      <c r="C1124" t="s">
        <v>273</v>
      </c>
      <c r="D1124">
        <v>1</v>
      </c>
      <c r="E1124">
        <v>100.66898687999999</v>
      </c>
      <c r="F1124">
        <f t="shared" si="17"/>
        <v>100.66898687999999</v>
      </c>
    </row>
    <row r="1125" spans="1:6" x14ac:dyDescent="0.2">
      <c r="A1125">
        <v>828</v>
      </c>
      <c r="B1125" t="s">
        <v>285</v>
      </c>
      <c r="C1125" t="s">
        <v>286</v>
      </c>
      <c r="D1125">
        <v>1</v>
      </c>
      <c r="E1125">
        <v>58.189985279999981</v>
      </c>
      <c r="F1125">
        <f t="shared" si="17"/>
        <v>58.189985279999981</v>
      </c>
    </row>
    <row r="1126" spans="1:6" x14ac:dyDescent="0.2">
      <c r="A1126">
        <v>828</v>
      </c>
      <c r="B1126" t="s">
        <v>291</v>
      </c>
      <c r="C1126" t="s">
        <v>278</v>
      </c>
      <c r="D1126">
        <v>5</v>
      </c>
      <c r="E1126">
        <v>24.136399999999998</v>
      </c>
      <c r="F1126">
        <f t="shared" si="17"/>
        <v>120.68199999999999</v>
      </c>
    </row>
    <row r="1127" spans="1:6" x14ac:dyDescent="0.2">
      <c r="A1127">
        <v>828</v>
      </c>
      <c r="B1127" t="s">
        <v>277</v>
      </c>
      <c r="C1127" t="s">
        <v>278</v>
      </c>
      <c r="D1127">
        <v>5</v>
      </c>
      <c r="E1127">
        <v>41.026594559999999</v>
      </c>
      <c r="F1127">
        <f t="shared" si="17"/>
        <v>205.1329728</v>
      </c>
    </row>
    <row r="1128" spans="1:6" x14ac:dyDescent="0.2">
      <c r="A1128">
        <v>828</v>
      </c>
      <c r="B1128" t="s">
        <v>326</v>
      </c>
      <c r="C1128" t="s">
        <v>278</v>
      </c>
      <c r="D1128">
        <v>1</v>
      </c>
      <c r="E1128">
        <v>3.97459776</v>
      </c>
      <c r="F1128">
        <f t="shared" si="17"/>
        <v>3.97459776</v>
      </c>
    </row>
    <row r="1129" spans="1:6" x14ac:dyDescent="0.2">
      <c r="A1129">
        <v>828</v>
      </c>
      <c r="B1129" t="s">
        <v>274</v>
      </c>
      <c r="C1129" t="s">
        <v>273</v>
      </c>
      <c r="D1129">
        <v>1</v>
      </c>
      <c r="E1129">
        <v>149.23091903999997</v>
      </c>
      <c r="F1129">
        <f t="shared" si="17"/>
        <v>149.23091903999997</v>
      </c>
    </row>
    <row r="1130" spans="1:6" x14ac:dyDescent="0.2">
      <c r="A1130">
        <v>828</v>
      </c>
      <c r="B1130" t="s">
        <v>327</v>
      </c>
      <c r="C1130" t="s">
        <v>309</v>
      </c>
      <c r="D1130">
        <v>4</v>
      </c>
      <c r="E1130">
        <v>1532.5236863999999</v>
      </c>
      <c r="F1130">
        <f t="shared" si="17"/>
        <v>6130.0947455999994</v>
      </c>
    </row>
    <row r="1131" spans="1:6" x14ac:dyDescent="0.2">
      <c r="A1131">
        <v>828</v>
      </c>
      <c r="B1131" t="s">
        <v>328</v>
      </c>
      <c r="C1131" t="s">
        <v>329</v>
      </c>
      <c r="D1131">
        <v>3</v>
      </c>
      <c r="E1131">
        <v>155.62307692307695</v>
      </c>
      <c r="F1131">
        <f t="shared" si="17"/>
        <v>466.86923076923085</v>
      </c>
    </row>
    <row r="1132" spans="1:6" x14ac:dyDescent="0.2">
      <c r="A1132">
        <v>828</v>
      </c>
      <c r="B1132" t="s">
        <v>330</v>
      </c>
      <c r="C1132" t="s">
        <v>331</v>
      </c>
      <c r="D1132">
        <v>1</v>
      </c>
      <c r="E1132">
        <v>710.44615384615395</v>
      </c>
      <c r="F1132">
        <f t="shared" si="17"/>
        <v>710.44615384615395</v>
      </c>
    </row>
    <row r="1133" spans="1:6" x14ac:dyDescent="0.2">
      <c r="A1133">
        <v>828</v>
      </c>
      <c r="B1133" t="s">
        <v>332</v>
      </c>
      <c r="C1133" t="s">
        <v>333</v>
      </c>
      <c r="D1133">
        <v>3</v>
      </c>
      <c r="E1133">
        <v>167.55384615384617</v>
      </c>
      <c r="F1133">
        <f t="shared" si="17"/>
        <v>502.6615384615385</v>
      </c>
    </row>
    <row r="1134" spans="1:6" x14ac:dyDescent="0.2">
      <c r="A1134">
        <v>828</v>
      </c>
      <c r="B1134" t="s">
        <v>272</v>
      </c>
      <c r="C1134" t="s">
        <v>273</v>
      </c>
      <c r="D1134">
        <v>2</v>
      </c>
      <c r="E1134">
        <v>170.11122239999997</v>
      </c>
      <c r="F1134">
        <f t="shared" si="17"/>
        <v>340.22244479999995</v>
      </c>
    </row>
    <row r="1135" spans="1:6" x14ac:dyDescent="0.2">
      <c r="A1135">
        <v>828</v>
      </c>
      <c r="B1135" t="s">
        <v>275</v>
      </c>
      <c r="C1135" t="s">
        <v>276</v>
      </c>
      <c r="D1135">
        <v>4</v>
      </c>
      <c r="E1135">
        <v>9.0814483199999998</v>
      </c>
      <c r="F1135">
        <f t="shared" si="17"/>
        <v>36.325793279999999</v>
      </c>
    </row>
    <row r="1136" spans="1:6" x14ac:dyDescent="0.2">
      <c r="A1136">
        <v>828</v>
      </c>
      <c r="B1136" t="s">
        <v>334</v>
      </c>
      <c r="C1136" t="s">
        <v>329</v>
      </c>
      <c r="D1136">
        <v>1</v>
      </c>
      <c r="E1136">
        <v>149.03076923076924</v>
      </c>
      <c r="F1136">
        <f t="shared" si="17"/>
        <v>149.03076923076924</v>
      </c>
    </row>
    <row r="1137" spans="1:6" x14ac:dyDescent="0.2">
      <c r="A1137">
        <v>828</v>
      </c>
      <c r="B1137" t="s">
        <v>335</v>
      </c>
      <c r="C1137" t="s">
        <v>331</v>
      </c>
      <c r="D1137">
        <v>118</v>
      </c>
      <c r="E1137">
        <v>703.1</v>
      </c>
      <c r="F1137">
        <f t="shared" si="17"/>
        <v>82965.8</v>
      </c>
    </row>
    <row r="1138" spans="1:6" x14ac:dyDescent="0.2">
      <c r="A1138">
        <v>828</v>
      </c>
      <c r="B1138" t="s">
        <v>336</v>
      </c>
      <c r="C1138" t="s">
        <v>333</v>
      </c>
      <c r="D1138">
        <v>1</v>
      </c>
      <c r="E1138">
        <v>288.42307692307691</v>
      </c>
      <c r="F1138">
        <f t="shared" si="17"/>
        <v>288.42307692307691</v>
      </c>
    </row>
    <row r="1139" spans="1:6" x14ac:dyDescent="0.2">
      <c r="A1139">
        <v>828</v>
      </c>
      <c r="B1139" t="s">
        <v>337</v>
      </c>
      <c r="C1139" t="s">
        <v>297</v>
      </c>
      <c r="D1139">
        <v>1</v>
      </c>
      <c r="E1139">
        <v>11.761099999999999</v>
      </c>
      <c r="F1139">
        <f t="shared" si="17"/>
        <v>11.761099999999999</v>
      </c>
    </row>
    <row r="1140" spans="1:6" x14ac:dyDescent="0.2">
      <c r="A1140">
        <v>828</v>
      </c>
      <c r="B1140" t="s">
        <v>338</v>
      </c>
      <c r="C1140" t="s">
        <v>297</v>
      </c>
      <c r="D1140">
        <v>3</v>
      </c>
      <c r="E1140">
        <v>11.712959999999999</v>
      </c>
      <c r="F1140">
        <f t="shared" si="17"/>
        <v>35.13888</v>
      </c>
    </row>
    <row r="1141" spans="1:6" x14ac:dyDescent="0.2">
      <c r="A1141">
        <v>828</v>
      </c>
      <c r="B1141" t="s">
        <v>339</v>
      </c>
      <c r="C1141" t="s">
        <v>297</v>
      </c>
      <c r="D1141">
        <v>1</v>
      </c>
      <c r="E1141">
        <v>20.279038079999996</v>
      </c>
      <c r="F1141">
        <f t="shared" si="17"/>
        <v>20.279038079999996</v>
      </c>
    </row>
    <row r="1142" spans="1:6" x14ac:dyDescent="0.2">
      <c r="A1142">
        <v>828</v>
      </c>
      <c r="B1142" t="s">
        <v>340</v>
      </c>
      <c r="C1142" t="s">
        <v>309</v>
      </c>
      <c r="D1142">
        <v>2</v>
      </c>
      <c r="E1142">
        <v>1536.3343027199999</v>
      </c>
      <c r="F1142">
        <f t="shared" si="17"/>
        <v>3072.6686054399997</v>
      </c>
    </row>
    <row r="1143" spans="1:6" x14ac:dyDescent="0.2">
      <c r="A1143">
        <v>828</v>
      </c>
      <c r="B1143" t="s">
        <v>341</v>
      </c>
      <c r="C1143" t="s">
        <v>342</v>
      </c>
      <c r="D1143">
        <v>3</v>
      </c>
      <c r="E1143">
        <v>307.22449999999998</v>
      </c>
      <c r="F1143">
        <f t="shared" si="17"/>
        <v>921.67349999999988</v>
      </c>
    </row>
    <row r="1144" spans="1:6" x14ac:dyDescent="0.2">
      <c r="A1144">
        <v>828</v>
      </c>
      <c r="B1144" t="s">
        <v>284</v>
      </c>
      <c r="C1144" t="s">
        <v>273</v>
      </c>
      <c r="D1144">
        <v>6</v>
      </c>
      <c r="E1144">
        <v>15.547002240000001</v>
      </c>
      <c r="F1144">
        <f t="shared" si="17"/>
        <v>93.282013440000014</v>
      </c>
    </row>
    <row r="1145" spans="1:6" x14ac:dyDescent="0.2">
      <c r="A1145">
        <v>828</v>
      </c>
      <c r="B1145" t="s">
        <v>283</v>
      </c>
      <c r="C1145" t="s">
        <v>278</v>
      </c>
      <c r="D1145">
        <v>6</v>
      </c>
      <c r="E1145">
        <v>101.76219647999997</v>
      </c>
      <c r="F1145">
        <f t="shared" si="17"/>
        <v>610.57317887999989</v>
      </c>
    </row>
    <row r="1146" spans="1:6" x14ac:dyDescent="0.2">
      <c r="A1146">
        <v>828</v>
      </c>
      <c r="B1146" t="s">
        <v>281</v>
      </c>
      <c r="C1146" t="s">
        <v>282</v>
      </c>
      <c r="D1146">
        <v>1</v>
      </c>
      <c r="E1146">
        <v>43.369186559999996</v>
      </c>
      <c r="F1146">
        <f t="shared" si="17"/>
        <v>43.369186559999996</v>
      </c>
    </row>
    <row r="1147" spans="1:6" x14ac:dyDescent="0.2">
      <c r="A1147">
        <v>828</v>
      </c>
      <c r="B1147" t="s">
        <v>279</v>
      </c>
      <c r="C1147" t="s">
        <v>280</v>
      </c>
      <c r="D1147">
        <v>3</v>
      </c>
      <c r="E1147">
        <v>36.786503039999999</v>
      </c>
      <c r="F1147">
        <f t="shared" si="17"/>
        <v>110.35950912</v>
      </c>
    </row>
    <row r="1148" spans="1:6" x14ac:dyDescent="0.2">
      <c r="A1148">
        <v>828</v>
      </c>
      <c r="B1148" t="s">
        <v>343</v>
      </c>
      <c r="C1148" t="s">
        <v>282</v>
      </c>
      <c r="D1148">
        <v>1</v>
      </c>
      <c r="E1148">
        <v>16.807499999999997</v>
      </c>
      <c r="F1148">
        <f t="shared" si="17"/>
        <v>16.807499999999997</v>
      </c>
    </row>
    <row r="1149" spans="1:6" x14ac:dyDescent="0.2">
      <c r="A1149">
        <v>828</v>
      </c>
      <c r="B1149" t="s">
        <v>344</v>
      </c>
      <c r="C1149" t="s">
        <v>282</v>
      </c>
      <c r="D1149">
        <v>1</v>
      </c>
      <c r="E1149">
        <v>12.767126399999999</v>
      </c>
      <c r="F1149">
        <f t="shared" si="17"/>
        <v>12.767126399999999</v>
      </c>
    </row>
    <row r="1150" spans="1:6" x14ac:dyDescent="0.2">
      <c r="A1150">
        <v>828</v>
      </c>
      <c r="B1150" t="s">
        <v>270</v>
      </c>
      <c r="C1150" t="s">
        <v>271</v>
      </c>
      <c r="D1150">
        <v>3</v>
      </c>
      <c r="E1150">
        <v>3027.0973823999993</v>
      </c>
      <c r="F1150">
        <f t="shared" si="17"/>
        <v>9081.292147199998</v>
      </c>
    </row>
    <row r="1151" spans="1:6" x14ac:dyDescent="0.2">
      <c r="A1151">
        <v>828</v>
      </c>
      <c r="B1151" t="s">
        <v>272</v>
      </c>
      <c r="C1151" t="s">
        <v>273</v>
      </c>
      <c r="D1151">
        <v>2</v>
      </c>
      <c r="E1151">
        <v>170.11122239999997</v>
      </c>
      <c r="F1151">
        <f t="shared" si="17"/>
        <v>340.22244479999995</v>
      </c>
    </row>
    <row r="1152" spans="1:6" x14ac:dyDescent="0.2">
      <c r="A1152">
        <v>828</v>
      </c>
      <c r="B1152" t="s">
        <v>274</v>
      </c>
      <c r="C1152" t="s">
        <v>273</v>
      </c>
      <c r="D1152">
        <v>1</v>
      </c>
      <c r="E1152">
        <v>149.23091903999997</v>
      </c>
      <c r="F1152">
        <f t="shared" si="17"/>
        <v>149.23091903999997</v>
      </c>
    </row>
    <row r="1153" spans="1:6" x14ac:dyDescent="0.2">
      <c r="A1153">
        <v>828</v>
      </c>
      <c r="B1153" t="s">
        <v>275</v>
      </c>
      <c r="C1153" t="s">
        <v>276</v>
      </c>
      <c r="D1153">
        <v>5</v>
      </c>
      <c r="E1153">
        <v>9.0814483199999998</v>
      </c>
      <c r="F1153">
        <f t="shared" si="17"/>
        <v>45.407241599999999</v>
      </c>
    </row>
    <row r="1154" spans="1:6" x14ac:dyDescent="0.2">
      <c r="A1154">
        <v>828</v>
      </c>
      <c r="B1154" t="s">
        <v>277</v>
      </c>
      <c r="C1154" t="s">
        <v>278</v>
      </c>
      <c r="D1154">
        <v>1</v>
      </c>
      <c r="E1154">
        <v>41.026594559999999</v>
      </c>
      <c r="F1154">
        <f t="shared" si="17"/>
        <v>41.026594559999999</v>
      </c>
    </row>
    <row r="1155" spans="1:6" x14ac:dyDescent="0.2">
      <c r="A1155">
        <v>828</v>
      </c>
      <c r="B1155" t="s">
        <v>279</v>
      </c>
      <c r="C1155" t="s">
        <v>280</v>
      </c>
      <c r="D1155">
        <v>1</v>
      </c>
      <c r="E1155">
        <v>36.786503039999999</v>
      </c>
      <c r="F1155">
        <f t="shared" ref="F1155:F1218" si="18">D1155*E1155</f>
        <v>36.786503039999999</v>
      </c>
    </row>
    <row r="1156" spans="1:6" x14ac:dyDescent="0.2">
      <c r="A1156">
        <v>828</v>
      </c>
      <c r="B1156" t="s">
        <v>281</v>
      </c>
      <c r="C1156" t="s">
        <v>282</v>
      </c>
      <c r="D1156">
        <v>1</v>
      </c>
      <c r="E1156">
        <v>43.369186559999996</v>
      </c>
      <c r="F1156">
        <f t="shared" si="18"/>
        <v>43.369186559999996</v>
      </c>
    </row>
    <row r="1157" spans="1:6" x14ac:dyDescent="0.2">
      <c r="A1157">
        <v>828</v>
      </c>
      <c r="B1157" t="s">
        <v>283</v>
      </c>
      <c r="C1157" t="s">
        <v>278</v>
      </c>
      <c r="D1157">
        <v>5</v>
      </c>
      <c r="E1157">
        <v>101.76219647999997</v>
      </c>
      <c r="F1157">
        <f t="shared" si="18"/>
        <v>508.81098239999983</v>
      </c>
    </row>
    <row r="1158" spans="1:6" x14ac:dyDescent="0.2">
      <c r="A1158">
        <v>828</v>
      </c>
      <c r="B1158" t="s">
        <v>284</v>
      </c>
      <c r="C1158" t="s">
        <v>273</v>
      </c>
      <c r="D1158">
        <v>5</v>
      </c>
      <c r="E1158">
        <v>15.547002240000001</v>
      </c>
      <c r="F1158">
        <f t="shared" si="18"/>
        <v>77.735011200000002</v>
      </c>
    </row>
    <row r="1159" spans="1:6" x14ac:dyDescent="0.2">
      <c r="A1159">
        <v>828</v>
      </c>
      <c r="B1159" t="s">
        <v>285</v>
      </c>
      <c r="C1159" t="s">
        <v>286</v>
      </c>
      <c r="D1159">
        <v>1</v>
      </c>
      <c r="E1159">
        <v>58.189985279999981</v>
      </c>
      <c r="F1159">
        <f t="shared" si="18"/>
        <v>58.189985279999981</v>
      </c>
    </row>
    <row r="1160" spans="1:6" x14ac:dyDescent="0.2">
      <c r="A1160">
        <v>828</v>
      </c>
      <c r="B1160" t="s">
        <v>287</v>
      </c>
      <c r="C1160" t="s">
        <v>273</v>
      </c>
      <c r="D1160">
        <v>1</v>
      </c>
      <c r="E1160">
        <v>100.66898687999999</v>
      </c>
      <c r="F1160">
        <f t="shared" si="18"/>
        <v>100.66898687999999</v>
      </c>
    </row>
    <row r="1161" spans="1:6" x14ac:dyDescent="0.2">
      <c r="A1161">
        <v>828</v>
      </c>
      <c r="B1161" t="s">
        <v>288</v>
      </c>
      <c r="C1161" t="s">
        <v>289</v>
      </c>
      <c r="D1161">
        <v>4</v>
      </c>
      <c r="E1161">
        <v>7.3401215999999998</v>
      </c>
      <c r="F1161">
        <f t="shared" si="18"/>
        <v>29.360486399999999</v>
      </c>
    </row>
    <row r="1162" spans="1:6" x14ac:dyDescent="0.2">
      <c r="A1162">
        <v>828</v>
      </c>
      <c r="B1162" t="s">
        <v>290</v>
      </c>
      <c r="C1162" t="s">
        <v>278</v>
      </c>
      <c r="D1162">
        <v>3</v>
      </c>
      <c r="E1162">
        <v>43.751809919999999</v>
      </c>
      <c r="F1162">
        <f t="shared" si="18"/>
        <v>131.25542976</v>
      </c>
    </row>
    <row r="1163" spans="1:6" x14ac:dyDescent="0.2">
      <c r="A1163">
        <v>828</v>
      </c>
      <c r="B1163" t="s">
        <v>277</v>
      </c>
      <c r="C1163" t="s">
        <v>278</v>
      </c>
      <c r="D1163">
        <v>1</v>
      </c>
      <c r="E1163">
        <v>41.026594559999999</v>
      </c>
      <c r="F1163">
        <f t="shared" si="18"/>
        <v>41.026594559999999</v>
      </c>
    </row>
    <row r="1164" spans="1:6" x14ac:dyDescent="0.2">
      <c r="A1164">
        <v>828</v>
      </c>
      <c r="B1164" t="s">
        <v>291</v>
      </c>
      <c r="C1164" t="s">
        <v>278</v>
      </c>
      <c r="D1164">
        <v>3</v>
      </c>
      <c r="E1164">
        <v>24.136399999999998</v>
      </c>
      <c r="F1164">
        <f t="shared" si="18"/>
        <v>72.409199999999998</v>
      </c>
    </row>
    <row r="1165" spans="1:6" x14ac:dyDescent="0.2">
      <c r="A1165">
        <v>828</v>
      </c>
      <c r="B1165" t="s">
        <v>292</v>
      </c>
      <c r="C1165" t="s">
        <v>293</v>
      </c>
      <c r="D1165">
        <v>2</v>
      </c>
      <c r="E1165">
        <v>96.852699999999999</v>
      </c>
      <c r="F1165">
        <f t="shared" si="18"/>
        <v>193.7054</v>
      </c>
    </row>
    <row r="1166" spans="1:6" x14ac:dyDescent="0.2">
      <c r="A1166">
        <v>828</v>
      </c>
      <c r="B1166" t="s">
        <v>294</v>
      </c>
      <c r="C1166" t="s">
        <v>278</v>
      </c>
      <c r="D1166">
        <v>4</v>
      </c>
      <c r="E1166">
        <v>26.221413119999998</v>
      </c>
      <c r="F1166">
        <f t="shared" si="18"/>
        <v>104.88565247999999</v>
      </c>
    </row>
    <row r="1167" spans="1:6" x14ac:dyDescent="0.2">
      <c r="A1167">
        <v>828</v>
      </c>
      <c r="B1167" t="s">
        <v>295</v>
      </c>
      <c r="C1167" t="s">
        <v>273</v>
      </c>
      <c r="D1167">
        <v>1</v>
      </c>
      <c r="E1167">
        <v>54.886930560000003</v>
      </c>
      <c r="F1167">
        <f t="shared" si="18"/>
        <v>54.886930560000003</v>
      </c>
    </row>
    <row r="1168" spans="1:6" x14ac:dyDescent="0.2">
      <c r="A1168">
        <v>828</v>
      </c>
      <c r="B1168" t="s">
        <v>296</v>
      </c>
      <c r="C1168" t="s">
        <v>297</v>
      </c>
      <c r="D1168">
        <v>118</v>
      </c>
      <c r="E1168">
        <v>5.5028999999999995</v>
      </c>
      <c r="F1168">
        <f t="shared" si="18"/>
        <v>649.34219999999993</v>
      </c>
    </row>
    <row r="1169" spans="1:6" x14ac:dyDescent="0.2">
      <c r="A1169">
        <v>828</v>
      </c>
      <c r="B1169" t="s">
        <v>298</v>
      </c>
      <c r="C1169" t="s">
        <v>297</v>
      </c>
      <c r="D1169">
        <v>1</v>
      </c>
      <c r="E1169">
        <v>5.9344999999999999</v>
      </c>
      <c r="F1169">
        <f t="shared" si="18"/>
        <v>5.9344999999999999</v>
      </c>
    </row>
    <row r="1170" spans="1:6" x14ac:dyDescent="0.2">
      <c r="A1170">
        <v>828</v>
      </c>
      <c r="B1170" t="s">
        <v>299</v>
      </c>
      <c r="C1170" t="s">
        <v>297</v>
      </c>
      <c r="D1170">
        <v>1</v>
      </c>
      <c r="E1170">
        <v>4.3574999999999999</v>
      </c>
      <c r="F1170">
        <f t="shared" si="18"/>
        <v>4.3574999999999999</v>
      </c>
    </row>
    <row r="1171" spans="1:6" x14ac:dyDescent="0.2">
      <c r="A1171">
        <v>828</v>
      </c>
      <c r="B1171" t="s">
        <v>122</v>
      </c>
      <c r="C1171" t="s">
        <v>276</v>
      </c>
      <c r="D1171">
        <v>3</v>
      </c>
      <c r="E1171">
        <v>14.915099999999999</v>
      </c>
      <c r="F1171">
        <f t="shared" si="18"/>
        <v>44.7453</v>
      </c>
    </row>
    <row r="1172" spans="1:6" x14ac:dyDescent="0.2">
      <c r="A1172">
        <v>828</v>
      </c>
      <c r="B1172" t="s">
        <v>120</v>
      </c>
      <c r="C1172" t="s">
        <v>278</v>
      </c>
      <c r="D1172">
        <v>1</v>
      </c>
      <c r="E1172">
        <v>1.5603999999999998</v>
      </c>
      <c r="F1172">
        <f t="shared" si="18"/>
        <v>1.5603999999999998</v>
      </c>
    </row>
    <row r="1173" spans="1:6" x14ac:dyDescent="0.2">
      <c r="A1173">
        <v>828</v>
      </c>
      <c r="B1173" t="s">
        <v>300</v>
      </c>
      <c r="C1173" t="s">
        <v>273</v>
      </c>
      <c r="D1173">
        <v>2</v>
      </c>
      <c r="E1173">
        <v>60.589999999999996</v>
      </c>
      <c r="F1173">
        <f t="shared" si="18"/>
        <v>121.17999999999999</v>
      </c>
    </row>
    <row r="1174" spans="1:6" x14ac:dyDescent="0.2">
      <c r="A1174">
        <v>828</v>
      </c>
      <c r="B1174" t="s">
        <v>301</v>
      </c>
      <c r="C1174" t="s">
        <v>302</v>
      </c>
      <c r="D1174">
        <v>3</v>
      </c>
      <c r="E1174">
        <v>104.88565247999999</v>
      </c>
      <c r="F1174">
        <f t="shared" si="18"/>
        <v>314.65695743999999</v>
      </c>
    </row>
    <row r="1175" spans="1:6" x14ac:dyDescent="0.2">
      <c r="A1175">
        <v>828</v>
      </c>
      <c r="B1175" t="s">
        <v>303</v>
      </c>
      <c r="C1175" t="s">
        <v>304</v>
      </c>
      <c r="D1175">
        <v>6</v>
      </c>
      <c r="E1175">
        <v>683.94489999999996</v>
      </c>
      <c r="F1175">
        <f t="shared" si="18"/>
        <v>4103.6693999999998</v>
      </c>
    </row>
    <row r="1176" spans="1:6" x14ac:dyDescent="0.2">
      <c r="A1176">
        <v>828</v>
      </c>
      <c r="B1176" t="s">
        <v>305</v>
      </c>
      <c r="C1176" t="s">
        <v>273</v>
      </c>
      <c r="D1176">
        <v>6</v>
      </c>
      <c r="E1176">
        <v>71.189099999999996</v>
      </c>
      <c r="F1176">
        <f t="shared" si="18"/>
        <v>427.13459999999998</v>
      </c>
    </row>
    <row r="1177" spans="1:6" x14ac:dyDescent="0.2">
      <c r="A1177">
        <v>828</v>
      </c>
      <c r="B1177" t="s">
        <v>294</v>
      </c>
      <c r="C1177" t="s">
        <v>278</v>
      </c>
      <c r="D1177">
        <v>1</v>
      </c>
      <c r="E1177">
        <v>26.221413119999998</v>
      </c>
      <c r="F1177">
        <f t="shared" si="18"/>
        <v>26.221413119999998</v>
      </c>
    </row>
    <row r="1178" spans="1:6" x14ac:dyDescent="0.2">
      <c r="A1178">
        <v>828</v>
      </c>
      <c r="B1178" t="s">
        <v>306</v>
      </c>
      <c r="C1178" t="s">
        <v>273</v>
      </c>
      <c r="D1178">
        <v>3</v>
      </c>
      <c r="E1178">
        <v>99.575777279999997</v>
      </c>
      <c r="F1178">
        <f t="shared" si="18"/>
        <v>298.72733183999998</v>
      </c>
    </row>
    <row r="1179" spans="1:6" x14ac:dyDescent="0.2">
      <c r="A1179">
        <v>828</v>
      </c>
      <c r="B1179" t="s">
        <v>294</v>
      </c>
      <c r="C1179" t="s">
        <v>278</v>
      </c>
      <c r="D1179">
        <v>1</v>
      </c>
      <c r="E1179">
        <v>26.221413119999998</v>
      </c>
      <c r="F1179">
        <f t="shared" si="18"/>
        <v>26.221413119999998</v>
      </c>
    </row>
    <row r="1180" spans="1:6" x14ac:dyDescent="0.2">
      <c r="A1180">
        <v>828</v>
      </c>
      <c r="B1180" t="s">
        <v>306</v>
      </c>
      <c r="C1180" t="s">
        <v>273</v>
      </c>
      <c r="D1180">
        <v>1</v>
      </c>
      <c r="E1180">
        <v>99.575777279999997</v>
      </c>
      <c r="F1180">
        <f t="shared" si="18"/>
        <v>99.575777279999997</v>
      </c>
    </row>
    <row r="1181" spans="1:6" x14ac:dyDescent="0.2">
      <c r="A1181">
        <v>828</v>
      </c>
      <c r="B1181" t="s">
        <v>308</v>
      </c>
      <c r="C1181" t="s">
        <v>309</v>
      </c>
      <c r="D1181">
        <v>3</v>
      </c>
      <c r="E1181">
        <v>167.62307692307692</v>
      </c>
      <c r="F1181">
        <f t="shared" si="18"/>
        <v>502.86923076923074</v>
      </c>
    </row>
    <row r="1182" spans="1:6" x14ac:dyDescent="0.2">
      <c r="A1182">
        <v>828</v>
      </c>
      <c r="B1182" t="s">
        <v>310</v>
      </c>
      <c r="C1182" t="s">
        <v>273</v>
      </c>
      <c r="D1182">
        <v>2</v>
      </c>
      <c r="E1182">
        <v>0.33200000000000002</v>
      </c>
      <c r="F1182">
        <f t="shared" si="18"/>
        <v>0.66400000000000003</v>
      </c>
    </row>
    <row r="1183" spans="1:6" x14ac:dyDescent="0.2">
      <c r="A1183">
        <v>828</v>
      </c>
      <c r="B1183" t="s">
        <v>197</v>
      </c>
      <c r="C1183" t="s">
        <v>278</v>
      </c>
      <c r="D1183">
        <v>1</v>
      </c>
      <c r="E1183">
        <v>7.4699999999999989E-2</v>
      </c>
      <c r="F1183">
        <f t="shared" si="18"/>
        <v>7.4699999999999989E-2</v>
      </c>
    </row>
    <row r="1184" spans="1:6" x14ac:dyDescent="0.2">
      <c r="A1184">
        <v>828</v>
      </c>
      <c r="B1184" t="s">
        <v>311</v>
      </c>
      <c r="C1184" t="s">
        <v>273</v>
      </c>
      <c r="D1184">
        <v>5</v>
      </c>
      <c r="E1184">
        <v>1.5935999999999999</v>
      </c>
      <c r="F1184">
        <f t="shared" si="18"/>
        <v>7.968</v>
      </c>
    </row>
    <row r="1185" spans="1:6" x14ac:dyDescent="0.2">
      <c r="A1185">
        <v>828</v>
      </c>
      <c r="B1185" t="s">
        <v>312</v>
      </c>
      <c r="C1185" t="s">
        <v>278</v>
      </c>
      <c r="D1185">
        <v>1</v>
      </c>
      <c r="E1185">
        <v>21.040500000000002</v>
      </c>
      <c r="F1185">
        <f t="shared" si="18"/>
        <v>21.040500000000002</v>
      </c>
    </row>
    <row r="1186" spans="1:6" x14ac:dyDescent="0.2">
      <c r="A1186">
        <v>828</v>
      </c>
      <c r="B1186" t="s">
        <v>75</v>
      </c>
      <c r="C1186" t="s">
        <v>313</v>
      </c>
      <c r="D1186">
        <v>3</v>
      </c>
      <c r="E1186">
        <v>0.1153846153846154</v>
      </c>
      <c r="F1186">
        <f t="shared" si="18"/>
        <v>0.3461538461538462</v>
      </c>
    </row>
    <row r="1187" spans="1:6" x14ac:dyDescent="0.2">
      <c r="A1187">
        <v>828</v>
      </c>
      <c r="B1187" t="s">
        <v>314</v>
      </c>
      <c r="C1187" t="s">
        <v>273</v>
      </c>
      <c r="D1187">
        <v>6</v>
      </c>
      <c r="E1187">
        <v>0.45650000000000002</v>
      </c>
      <c r="F1187">
        <f t="shared" si="18"/>
        <v>2.7389999999999999</v>
      </c>
    </row>
    <row r="1188" spans="1:6" x14ac:dyDescent="0.2">
      <c r="A1188">
        <v>828</v>
      </c>
      <c r="B1188" t="s">
        <v>314</v>
      </c>
      <c r="C1188" t="s">
        <v>315</v>
      </c>
      <c r="D1188">
        <v>6</v>
      </c>
      <c r="E1188">
        <v>0.45650000000000002</v>
      </c>
      <c r="F1188">
        <f t="shared" si="18"/>
        <v>2.7389999999999999</v>
      </c>
    </row>
    <row r="1189" spans="1:6" x14ac:dyDescent="0.2">
      <c r="A1189">
        <v>828</v>
      </c>
      <c r="B1189" t="s">
        <v>316</v>
      </c>
      <c r="C1189" t="s">
        <v>317</v>
      </c>
      <c r="D1189">
        <v>1</v>
      </c>
      <c r="E1189">
        <v>92.206615384615375</v>
      </c>
      <c r="F1189">
        <f t="shared" si="18"/>
        <v>92.206615384615375</v>
      </c>
    </row>
    <row r="1190" spans="1:6" x14ac:dyDescent="0.2">
      <c r="A1190">
        <v>828</v>
      </c>
      <c r="B1190" t="s">
        <v>318</v>
      </c>
      <c r="C1190" t="s">
        <v>319</v>
      </c>
      <c r="D1190">
        <v>3</v>
      </c>
      <c r="E1190">
        <v>85.453846153846172</v>
      </c>
      <c r="F1190">
        <f t="shared" si="18"/>
        <v>256.36153846153854</v>
      </c>
    </row>
    <row r="1191" spans="1:6" x14ac:dyDescent="0.2">
      <c r="A1191">
        <v>828</v>
      </c>
      <c r="B1191" t="s">
        <v>320</v>
      </c>
      <c r="C1191" t="s">
        <v>321</v>
      </c>
      <c r="D1191">
        <v>1</v>
      </c>
      <c r="E1191">
        <v>92.206615384615375</v>
      </c>
      <c r="F1191">
        <f t="shared" si="18"/>
        <v>92.206615384615375</v>
      </c>
    </row>
    <row r="1192" spans="1:6" x14ac:dyDescent="0.2">
      <c r="A1192">
        <v>828</v>
      </c>
      <c r="B1192" t="s">
        <v>267</v>
      </c>
      <c r="C1192" t="s">
        <v>268</v>
      </c>
      <c r="D1192">
        <v>1</v>
      </c>
      <c r="E1192">
        <v>84863.132923076919</v>
      </c>
      <c r="F1192">
        <f t="shared" si="18"/>
        <v>84863.132923076919</v>
      </c>
    </row>
    <row r="1193" spans="1:6" x14ac:dyDescent="0.2">
      <c r="A1193">
        <v>828</v>
      </c>
      <c r="B1193" t="s">
        <v>260</v>
      </c>
      <c r="C1193" t="s">
        <v>261</v>
      </c>
      <c r="D1193">
        <v>3</v>
      </c>
      <c r="E1193">
        <v>2908.2944615384613</v>
      </c>
      <c r="F1193">
        <f t="shared" si="18"/>
        <v>8724.883384615383</v>
      </c>
    </row>
    <row r="1194" spans="1:6" x14ac:dyDescent="0.2">
      <c r="A1194">
        <v>828</v>
      </c>
      <c r="B1194" t="s">
        <v>262</v>
      </c>
      <c r="C1194" t="s">
        <v>263</v>
      </c>
      <c r="D1194">
        <v>2</v>
      </c>
      <c r="E1194">
        <v>3207.1966153846147</v>
      </c>
      <c r="F1194">
        <f t="shared" si="18"/>
        <v>6414.3932307692294</v>
      </c>
    </row>
    <row r="1195" spans="1:6" x14ac:dyDescent="0.2">
      <c r="A1195">
        <v>828</v>
      </c>
      <c r="B1195" t="s">
        <v>264</v>
      </c>
      <c r="C1195" t="s">
        <v>265</v>
      </c>
      <c r="D1195">
        <v>1</v>
      </c>
      <c r="E1195">
        <v>3466.73123076923</v>
      </c>
      <c r="F1195">
        <f t="shared" si="18"/>
        <v>3466.73123076923</v>
      </c>
    </row>
    <row r="1196" spans="1:6" x14ac:dyDescent="0.2">
      <c r="A1196">
        <v>828</v>
      </c>
      <c r="B1196" t="s">
        <v>259</v>
      </c>
      <c r="C1196" t="s">
        <v>258</v>
      </c>
      <c r="D1196">
        <v>5</v>
      </c>
      <c r="E1196">
        <v>3325.9759999999997</v>
      </c>
      <c r="F1196">
        <f t="shared" si="18"/>
        <v>16629.879999999997</v>
      </c>
    </row>
    <row r="1197" spans="1:6" x14ac:dyDescent="0.2">
      <c r="A1197">
        <v>828</v>
      </c>
      <c r="B1197" t="s">
        <v>257</v>
      </c>
      <c r="C1197" t="s">
        <v>258</v>
      </c>
      <c r="D1197">
        <v>1</v>
      </c>
      <c r="E1197">
        <v>3325.9759999999997</v>
      </c>
      <c r="F1197">
        <f t="shared" si="18"/>
        <v>3325.9759999999997</v>
      </c>
    </row>
    <row r="1198" spans="1:6" x14ac:dyDescent="0.2">
      <c r="A1198">
        <v>828</v>
      </c>
      <c r="B1198" t="s">
        <v>255</v>
      </c>
      <c r="C1198" t="s">
        <v>256</v>
      </c>
      <c r="D1198">
        <v>1</v>
      </c>
      <c r="E1198">
        <v>18546.094615384613</v>
      </c>
      <c r="F1198">
        <f t="shared" si="18"/>
        <v>18546.094615384613</v>
      </c>
    </row>
    <row r="1199" spans="1:6" x14ac:dyDescent="0.2">
      <c r="A1199">
        <v>828</v>
      </c>
      <c r="B1199" t="s">
        <v>253</v>
      </c>
      <c r="C1199" t="s">
        <v>254</v>
      </c>
      <c r="D1199">
        <v>1</v>
      </c>
      <c r="E1199">
        <v>21043.67953846154</v>
      </c>
      <c r="F1199">
        <f t="shared" si="18"/>
        <v>21043.67953846154</v>
      </c>
    </row>
    <row r="1200" spans="1:6" x14ac:dyDescent="0.2">
      <c r="A1200">
        <v>828</v>
      </c>
      <c r="B1200" t="s">
        <v>359</v>
      </c>
      <c r="C1200" t="s">
        <v>360</v>
      </c>
      <c r="D1200">
        <v>5</v>
      </c>
      <c r="E1200">
        <v>1844.9384615384615</v>
      </c>
      <c r="F1200">
        <f t="shared" si="18"/>
        <v>9224.6923076923085</v>
      </c>
    </row>
    <row r="1201" spans="1:6" x14ac:dyDescent="0.2">
      <c r="A1201">
        <v>828</v>
      </c>
      <c r="B1201" t="s">
        <v>389</v>
      </c>
      <c r="C1201" t="s">
        <v>390</v>
      </c>
      <c r="D1201">
        <v>1</v>
      </c>
      <c r="E1201">
        <v>4906</v>
      </c>
      <c r="F1201">
        <f t="shared" si="18"/>
        <v>4906</v>
      </c>
    </row>
    <row r="1202" spans="1:6" x14ac:dyDescent="0.2">
      <c r="A1202">
        <v>829</v>
      </c>
      <c r="B1202" t="s">
        <v>62</v>
      </c>
      <c r="C1202" t="s">
        <v>63</v>
      </c>
      <c r="D1202">
        <v>1</v>
      </c>
      <c r="E1202">
        <v>0.34860000000000002</v>
      </c>
      <c r="F1202">
        <f t="shared" si="18"/>
        <v>0.34860000000000002</v>
      </c>
    </row>
    <row r="1203" spans="1:6" x14ac:dyDescent="0.2">
      <c r="A1203">
        <v>829</v>
      </c>
      <c r="B1203" t="s">
        <v>64</v>
      </c>
      <c r="C1203" t="s">
        <v>65</v>
      </c>
      <c r="D1203">
        <v>1</v>
      </c>
      <c r="E1203">
        <v>803.07692307692309</v>
      </c>
      <c r="F1203">
        <f t="shared" si="18"/>
        <v>803.07692307692309</v>
      </c>
    </row>
    <row r="1204" spans="1:6" x14ac:dyDescent="0.2">
      <c r="A1204">
        <v>829</v>
      </c>
      <c r="B1204" t="s">
        <v>67</v>
      </c>
      <c r="C1204" t="s">
        <v>68</v>
      </c>
      <c r="D1204">
        <v>4</v>
      </c>
      <c r="E1204">
        <v>49.678567679999993</v>
      </c>
      <c r="F1204">
        <f t="shared" si="18"/>
        <v>198.71427071999997</v>
      </c>
    </row>
    <row r="1205" spans="1:6" x14ac:dyDescent="0.2">
      <c r="A1205">
        <v>829</v>
      </c>
      <c r="B1205" t="s">
        <v>70</v>
      </c>
      <c r="C1205" t="s">
        <v>71</v>
      </c>
      <c r="D1205">
        <v>3</v>
      </c>
      <c r="E1205">
        <v>407.98649999999998</v>
      </c>
      <c r="F1205">
        <f t="shared" si="18"/>
        <v>1223.9594999999999</v>
      </c>
    </row>
    <row r="1206" spans="1:6" x14ac:dyDescent="0.2">
      <c r="A1206">
        <v>829</v>
      </c>
      <c r="B1206" t="s">
        <v>73</v>
      </c>
      <c r="C1206" t="s">
        <v>74</v>
      </c>
      <c r="D1206">
        <v>1</v>
      </c>
      <c r="E1206">
        <v>0.57783935999999991</v>
      </c>
      <c r="F1206">
        <f t="shared" si="18"/>
        <v>0.57783935999999991</v>
      </c>
    </row>
    <row r="1207" spans="1:6" x14ac:dyDescent="0.2">
      <c r="A1207">
        <v>829</v>
      </c>
      <c r="B1207" t="s">
        <v>75</v>
      </c>
      <c r="C1207" t="s">
        <v>76</v>
      </c>
      <c r="D1207">
        <v>3</v>
      </c>
      <c r="E1207">
        <v>0.1153846153846154</v>
      </c>
      <c r="F1207">
        <f t="shared" si="18"/>
        <v>0.3461538461538462</v>
      </c>
    </row>
    <row r="1208" spans="1:6" x14ac:dyDescent="0.2">
      <c r="A1208">
        <v>829</v>
      </c>
      <c r="B1208" t="s">
        <v>77</v>
      </c>
      <c r="C1208" t="s">
        <v>74</v>
      </c>
      <c r="D1208">
        <v>2</v>
      </c>
      <c r="E1208">
        <v>1.3943999999999999</v>
      </c>
      <c r="F1208">
        <f t="shared" si="18"/>
        <v>2.7887999999999997</v>
      </c>
    </row>
    <row r="1209" spans="1:6" x14ac:dyDescent="0.2">
      <c r="A1209">
        <v>829</v>
      </c>
      <c r="B1209" t="s">
        <v>78</v>
      </c>
      <c r="C1209" t="s">
        <v>76</v>
      </c>
      <c r="D1209">
        <v>4</v>
      </c>
      <c r="E1209">
        <v>0.71839487999999996</v>
      </c>
      <c r="F1209">
        <f t="shared" si="18"/>
        <v>2.8735795199999998</v>
      </c>
    </row>
    <row r="1210" spans="1:6" x14ac:dyDescent="0.2">
      <c r="A1210">
        <v>829</v>
      </c>
      <c r="B1210" t="s">
        <v>79</v>
      </c>
      <c r="C1210" t="s">
        <v>74</v>
      </c>
      <c r="D1210">
        <v>1</v>
      </c>
      <c r="E1210">
        <v>1.9307692307692308</v>
      </c>
      <c r="F1210">
        <f t="shared" si="18"/>
        <v>1.9307692307692308</v>
      </c>
    </row>
    <row r="1211" spans="1:6" x14ac:dyDescent="0.2">
      <c r="A1211">
        <v>829</v>
      </c>
      <c r="B1211" t="s">
        <v>80</v>
      </c>
      <c r="C1211" t="s">
        <v>74</v>
      </c>
      <c r="D1211">
        <v>118</v>
      </c>
      <c r="E1211">
        <v>0.9544999999999999</v>
      </c>
      <c r="F1211">
        <f t="shared" si="18"/>
        <v>112.63099999999999</v>
      </c>
    </row>
    <row r="1212" spans="1:6" x14ac:dyDescent="0.2">
      <c r="A1212">
        <v>829</v>
      </c>
      <c r="B1212" t="s">
        <v>81</v>
      </c>
      <c r="C1212" t="s">
        <v>74</v>
      </c>
      <c r="D1212">
        <v>1</v>
      </c>
      <c r="E1212">
        <v>0.76359999999999995</v>
      </c>
      <c r="F1212">
        <f t="shared" si="18"/>
        <v>0.76359999999999995</v>
      </c>
    </row>
    <row r="1213" spans="1:6" x14ac:dyDescent="0.2">
      <c r="A1213">
        <v>829</v>
      </c>
      <c r="B1213" t="s">
        <v>82</v>
      </c>
      <c r="C1213" t="s">
        <v>83</v>
      </c>
      <c r="D1213">
        <v>1</v>
      </c>
      <c r="E1213">
        <v>20.351599999999998</v>
      </c>
      <c r="F1213">
        <f t="shared" si="18"/>
        <v>20.351599999999998</v>
      </c>
    </row>
    <row r="1214" spans="1:6" x14ac:dyDescent="0.2">
      <c r="A1214">
        <v>829</v>
      </c>
      <c r="B1214" t="s">
        <v>84</v>
      </c>
      <c r="C1214" t="s">
        <v>85</v>
      </c>
      <c r="D1214">
        <v>3</v>
      </c>
      <c r="E1214">
        <v>102.33222719999999</v>
      </c>
      <c r="F1214">
        <f t="shared" si="18"/>
        <v>306.99668159999999</v>
      </c>
    </row>
    <row r="1215" spans="1:6" x14ac:dyDescent="0.2">
      <c r="A1215">
        <v>829</v>
      </c>
      <c r="B1215" t="s">
        <v>86</v>
      </c>
      <c r="C1215" t="s">
        <v>85</v>
      </c>
      <c r="D1215">
        <v>1</v>
      </c>
      <c r="E1215">
        <v>144.26462399999997</v>
      </c>
      <c r="F1215">
        <f t="shared" si="18"/>
        <v>144.26462399999997</v>
      </c>
    </row>
    <row r="1216" spans="1:6" x14ac:dyDescent="0.2">
      <c r="A1216">
        <v>829</v>
      </c>
      <c r="B1216" t="s">
        <v>87</v>
      </c>
      <c r="C1216" t="s">
        <v>88</v>
      </c>
      <c r="D1216">
        <v>2</v>
      </c>
      <c r="E1216">
        <v>162.02147135999999</v>
      </c>
      <c r="F1216">
        <f t="shared" si="18"/>
        <v>324.04294271999999</v>
      </c>
    </row>
    <row r="1217" spans="1:6" x14ac:dyDescent="0.2">
      <c r="A1217">
        <v>829</v>
      </c>
      <c r="B1217" t="s">
        <v>89</v>
      </c>
      <c r="C1217" t="s">
        <v>85</v>
      </c>
      <c r="D1217">
        <v>3</v>
      </c>
      <c r="E1217">
        <v>211.01287872</v>
      </c>
      <c r="F1217">
        <f t="shared" si="18"/>
        <v>633.03863616000001</v>
      </c>
    </row>
    <row r="1218" spans="1:6" x14ac:dyDescent="0.2">
      <c r="A1218">
        <v>829</v>
      </c>
      <c r="B1218" t="s">
        <v>90</v>
      </c>
      <c r="C1218" t="s">
        <v>88</v>
      </c>
      <c r="D1218">
        <v>6</v>
      </c>
      <c r="E1218">
        <v>238.16351999999995</v>
      </c>
      <c r="F1218">
        <f t="shared" si="18"/>
        <v>1428.9811199999997</v>
      </c>
    </row>
    <row r="1219" spans="1:6" x14ac:dyDescent="0.2">
      <c r="A1219">
        <v>829</v>
      </c>
      <c r="B1219" t="s">
        <v>92</v>
      </c>
      <c r="C1219" t="s">
        <v>93</v>
      </c>
      <c r="D1219">
        <v>6</v>
      </c>
      <c r="E1219">
        <v>19.297499999999999</v>
      </c>
      <c r="F1219">
        <f t="shared" ref="F1219:F1282" si="19">D1219*E1219</f>
        <v>115.785</v>
      </c>
    </row>
    <row r="1220" spans="1:6" x14ac:dyDescent="0.2">
      <c r="A1220">
        <v>829</v>
      </c>
      <c r="B1220" t="s">
        <v>94</v>
      </c>
      <c r="C1220" t="s">
        <v>95</v>
      </c>
      <c r="D1220">
        <v>1</v>
      </c>
      <c r="E1220">
        <v>644.46267648000003</v>
      </c>
      <c r="F1220">
        <f t="shared" si="19"/>
        <v>644.46267648000003</v>
      </c>
    </row>
    <row r="1221" spans="1:6" x14ac:dyDescent="0.2">
      <c r="A1221">
        <v>829</v>
      </c>
      <c r="B1221" t="s">
        <v>236</v>
      </c>
      <c r="C1221" t="s">
        <v>237</v>
      </c>
      <c r="D1221">
        <v>3</v>
      </c>
      <c r="E1221">
        <v>132.79999999999998</v>
      </c>
      <c r="F1221">
        <f t="shared" si="19"/>
        <v>398.4</v>
      </c>
    </row>
    <row r="1222" spans="1:6" x14ac:dyDescent="0.2">
      <c r="A1222">
        <v>829</v>
      </c>
      <c r="B1222" t="s">
        <v>238</v>
      </c>
      <c r="C1222" t="s">
        <v>239</v>
      </c>
      <c r="D1222">
        <v>1</v>
      </c>
      <c r="E1222">
        <v>340.93846153846152</v>
      </c>
      <c r="F1222">
        <f t="shared" si="19"/>
        <v>340.93846153846152</v>
      </c>
    </row>
    <row r="1223" spans="1:6" x14ac:dyDescent="0.2">
      <c r="A1223">
        <v>829</v>
      </c>
      <c r="B1223" t="s">
        <v>240</v>
      </c>
      <c r="C1223" t="s">
        <v>241</v>
      </c>
      <c r="D1223">
        <v>1</v>
      </c>
      <c r="E1223">
        <v>309.01538461538462</v>
      </c>
      <c r="F1223">
        <f t="shared" si="19"/>
        <v>309.01538461538462</v>
      </c>
    </row>
    <row r="1224" spans="1:6" x14ac:dyDescent="0.2">
      <c r="A1224">
        <v>829</v>
      </c>
      <c r="B1224" t="s">
        <v>242</v>
      </c>
      <c r="C1224" t="s">
        <v>243</v>
      </c>
      <c r="D1224">
        <v>3</v>
      </c>
      <c r="E1224">
        <v>427.76923076923072</v>
      </c>
      <c r="F1224">
        <f t="shared" si="19"/>
        <v>1283.3076923076922</v>
      </c>
    </row>
    <row r="1225" spans="1:6" x14ac:dyDescent="0.2">
      <c r="A1225">
        <v>829</v>
      </c>
      <c r="B1225" t="s">
        <v>244</v>
      </c>
      <c r="C1225" t="s">
        <v>184</v>
      </c>
      <c r="D1225">
        <v>2</v>
      </c>
      <c r="E1225">
        <v>18.643076923076922</v>
      </c>
      <c r="F1225">
        <f t="shared" si="19"/>
        <v>37.286153846153844</v>
      </c>
    </row>
    <row r="1226" spans="1:6" x14ac:dyDescent="0.2">
      <c r="A1226">
        <v>829</v>
      </c>
      <c r="B1226" t="s">
        <v>245</v>
      </c>
      <c r="C1226" t="s">
        <v>246</v>
      </c>
      <c r="D1226">
        <v>1</v>
      </c>
      <c r="E1226">
        <v>0.44819999999999999</v>
      </c>
      <c r="F1226">
        <f t="shared" si="19"/>
        <v>0.44819999999999999</v>
      </c>
    </row>
    <row r="1227" spans="1:6" x14ac:dyDescent="0.2">
      <c r="A1227">
        <v>829</v>
      </c>
      <c r="B1227" t="s">
        <v>75</v>
      </c>
      <c r="C1227" t="s">
        <v>247</v>
      </c>
      <c r="D1227">
        <v>5</v>
      </c>
      <c r="E1227">
        <v>0.1153846153846154</v>
      </c>
      <c r="F1227">
        <f t="shared" si="19"/>
        <v>0.57692307692307698</v>
      </c>
    </row>
    <row r="1228" spans="1:6" x14ac:dyDescent="0.2">
      <c r="A1228">
        <v>829</v>
      </c>
      <c r="B1228" t="s">
        <v>197</v>
      </c>
      <c r="C1228" t="s">
        <v>117</v>
      </c>
      <c r="D1228">
        <v>1</v>
      </c>
      <c r="E1228">
        <v>7.4699999999999989E-2</v>
      </c>
      <c r="F1228">
        <f t="shared" si="19"/>
        <v>7.4699999999999989E-2</v>
      </c>
    </row>
    <row r="1229" spans="1:6" x14ac:dyDescent="0.2">
      <c r="A1229">
        <v>829</v>
      </c>
      <c r="B1229" t="s">
        <v>248</v>
      </c>
      <c r="C1229" t="s">
        <v>249</v>
      </c>
      <c r="D1229">
        <v>1</v>
      </c>
      <c r="E1229">
        <v>31064.984615384612</v>
      </c>
      <c r="F1229">
        <f t="shared" si="19"/>
        <v>31064.984615384612</v>
      </c>
    </row>
    <row r="1230" spans="1:6" x14ac:dyDescent="0.2">
      <c r="A1230">
        <v>829</v>
      </c>
      <c r="B1230" t="s">
        <v>250</v>
      </c>
      <c r="C1230" t="s">
        <v>251</v>
      </c>
      <c r="D1230">
        <v>1</v>
      </c>
      <c r="E1230">
        <v>564.54124607999995</v>
      </c>
      <c r="F1230">
        <f t="shared" si="19"/>
        <v>564.54124607999995</v>
      </c>
    </row>
    <row r="1231" spans="1:6" x14ac:dyDescent="0.2">
      <c r="A1231">
        <v>829</v>
      </c>
      <c r="B1231" t="s">
        <v>146</v>
      </c>
      <c r="C1231" t="s">
        <v>147</v>
      </c>
      <c r="D1231">
        <v>5</v>
      </c>
      <c r="E1231">
        <v>8021.5764999999992</v>
      </c>
      <c r="F1231">
        <f t="shared" si="19"/>
        <v>40107.882499999992</v>
      </c>
    </row>
    <row r="1232" spans="1:6" x14ac:dyDescent="0.2">
      <c r="A1232">
        <v>829</v>
      </c>
      <c r="B1232" t="s">
        <v>215</v>
      </c>
      <c r="C1232" t="s">
        <v>208</v>
      </c>
      <c r="D1232">
        <v>5</v>
      </c>
      <c r="E1232">
        <v>1.42898112</v>
      </c>
      <c r="F1232">
        <f t="shared" si="19"/>
        <v>7.1449055999999995</v>
      </c>
    </row>
    <row r="1233" spans="1:6" x14ac:dyDescent="0.2">
      <c r="A1233">
        <v>829</v>
      </c>
      <c r="B1233" t="s">
        <v>200</v>
      </c>
      <c r="C1233" t="s">
        <v>199</v>
      </c>
      <c r="D1233">
        <v>1</v>
      </c>
      <c r="E1233">
        <v>0.66373439999999995</v>
      </c>
      <c r="F1233">
        <f t="shared" si="19"/>
        <v>0.66373439999999995</v>
      </c>
    </row>
    <row r="1234" spans="1:6" x14ac:dyDescent="0.2">
      <c r="A1234">
        <v>829</v>
      </c>
      <c r="B1234" t="s">
        <v>216</v>
      </c>
      <c r="C1234" t="s">
        <v>199</v>
      </c>
      <c r="D1234">
        <v>1</v>
      </c>
      <c r="E1234">
        <v>0.66400000000000003</v>
      </c>
      <c r="F1234">
        <f t="shared" si="19"/>
        <v>0.66400000000000003</v>
      </c>
    </row>
    <row r="1235" spans="1:6" x14ac:dyDescent="0.2">
      <c r="A1235">
        <v>829</v>
      </c>
      <c r="B1235" t="s">
        <v>217</v>
      </c>
      <c r="C1235" t="s">
        <v>199</v>
      </c>
      <c r="D1235">
        <v>4</v>
      </c>
      <c r="E1235">
        <v>4.2164000000000001</v>
      </c>
      <c r="F1235">
        <f t="shared" si="19"/>
        <v>16.865600000000001</v>
      </c>
    </row>
    <row r="1236" spans="1:6" x14ac:dyDescent="0.2">
      <c r="A1236">
        <v>829</v>
      </c>
      <c r="B1236" t="s">
        <v>218</v>
      </c>
      <c r="C1236" t="s">
        <v>208</v>
      </c>
      <c r="D1236">
        <v>3</v>
      </c>
      <c r="E1236">
        <v>7.3454999999999995</v>
      </c>
      <c r="F1236">
        <f t="shared" si="19"/>
        <v>22.036499999999997</v>
      </c>
    </row>
    <row r="1237" spans="1:6" x14ac:dyDescent="0.2">
      <c r="A1237">
        <v>829</v>
      </c>
      <c r="B1237" t="s">
        <v>219</v>
      </c>
      <c r="C1237" t="s">
        <v>199</v>
      </c>
      <c r="D1237">
        <v>1</v>
      </c>
      <c r="E1237">
        <v>1.4774</v>
      </c>
      <c r="F1237">
        <f t="shared" si="19"/>
        <v>1.4774</v>
      </c>
    </row>
    <row r="1238" spans="1:6" x14ac:dyDescent="0.2">
      <c r="A1238">
        <v>829</v>
      </c>
      <c r="B1238" t="s">
        <v>220</v>
      </c>
      <c r="C1238" t="s">
        <v>208</v>
      </c>
      <c r="D1238">
        <v>3</v>
      </c>
      <c r="E1238">
        <v>3.7267000000000001</v>
      </c>
      <c r="F1238">
        <f t="shared" si="19"/>
        <v>11.180099999999999</v>
      </c>
    </row>
    <row r="1239" spans="1:6" x14ac:dyDescent="0.2">
      <c r="A1239">
        <v>829</v>
      </c>
      <c r="B1239" t="s">
        <v>221</v>
      </c>
      <c r="C1239" t="s">
        <v>199</v>
      </c>
      <c r="D1239">
        <v>2</v>
      </c>
      <c r="E1239">
        <v>0.97939999999999994</v>
      </c>
      <c r="F1239">
        <f t="shared" si="19"/>
        <v>1.9587999999999999</v>
      </c>
    </row>
    <row r="1240" spans="1:6" x14ac:dyDescent="0.2">
      <c r="A1240">
        <v>829</v>
      </c>
      <c r="B1240" t="s">
        <v>222</v>
      </c>
      <c r="C1240" t="s">
        <v>208</v>
      </c>
      <c r="D1240">
        <v>4</v>
      </c>
      <c r="E1240">
        <v>6.0672999999999995</v>
      </c>
      <c r="F1240">
        <f t="shared" si="19"/>
        <v>24.269199999999998</v>
      </c>
    </row>
    <row r="1241" spans="1:6" x14ac:dyDescent="0.2">
      <c r="A1241">
        <v>829</v>
      </c>
      <c r="B1241" t="s">
        <v>223</v>
      </c>
      <c r="C1241" t="s">
        <v>224</v>
      </c>
      <c r="D1241">
        <v>1</v>
      </c>
      <c r="E1241">
        <v>19.4635</v>
      </c>
      <c r="F1241">
        <f t="shared" si="19"/>
        <v>19.4635</v>
      </c>
    </row>
    <row r="1242" spans="1:6" x14ac:dyDescent="0.2">
      <c r="A1242">
        <v>829</v>
      </c>
      <c r="B1242" t="s">
        <v>225</v>
      </c>
      <c r="C1242" t="s">
        <v>226</v>
      </c>
      <c r="D1242">
        <v>118</v>
      </c>
      <c r="E1242">
        <v>10.221509759999998</v>
      </c>
      <c r="F1242">
        <f t="shared" si="19"/>
        <v>1206.1381516799997</v>
      </c>
    </row>
    <row r="1243" spans="1:6" x14ac:dyDescent="0.2">
      <c r="A1243">
        <v>829</v>
      </c>
      <c r="B1243" t="s">
        <v>227</v>
      </c>
      <c r="C1243" t="s">
        <v>208</v>
      </c>
      <c r="D1243">
        <v>1</v>
      </c>
      <c r="E1243">
        <v>3.6307692307692312</v>
      </c>
      <c r="F1243">
        <f t="shared" si="19"/>
        <v>3.6307692307692312</v>
      </c>
    </row>
    <row r="1244" spans="1:6" x14ac:dyDescent="0.2">
      <c r="A1244">
        <v>829</v>
      </c>
      <c r="B1244" t="s">
        <v>228</v>
      </c>
      <c r="C1244" t="s">
        <v>229</v>
      </c>
      <c r="D1244">
        <v>1</v>
      </c>
      <c r="E1244">
        <v>306.94982975999994</v>
      </c>
      <c r="F1244">
        <f t="shared" si="19"/>
        <v>306.94982975999994</v>
      </c>
    </row>
    <row r="1245" spans="1:6" x14ac:dyDescent="0.2">
      <c r="A1245">
        <v>829</v>
      </c>
      <c r="B1245" t="s">
        <v>116</v>
      </c>
      <c r="C1245" t="s">
        <v>117</v>
      </c>
      <c r="D1245">
        <v>3</v>
      </c>
      <c r="E1245">
        <v>0.25729999999999997</v>
      </c>
      <c r="F1245">
        <f t="shared" si="19"/>
        <v>0.77189999999999992</v>
      </c>
    </row>
    <row r="1246" spans="1:6" x14ac:dyDescent="0.2">
      <c r="A1246">
        <v>829</v>
      </c>
      <c r="B1246" t="s">
        <v>78</v>
      </c>
      <c r="C1246" t="s">
        <v>76</v>
      </c>
      <c r="D1246">
        <v>1</v>
      </c>
      <c r="E1246">
        <v>0.71839487999999996</v>
      </c>
      <c r="F1246">
        <f t="shared" si="19"/>
        <v>0.71839487999999996</v>
      </c>
    </row>
    <row r="1247" spans="1:6" x14ac:dyDescent="0.2">
      <c r="A1247">
        <v>829</v>
      </c>
      <c r="B1247" t="s">
        <v>231</v>
      </c>
      <c r="C1247" t="s">
        <v>208</v>
      </c>
      <c r="D1247">
        <v>2</v>
      </c>
      <c r="E1247">
        <v>2.0832999999999999</v>
      </c>
      <c r="F1247">
        <f t="shared" si="19"/>
        <v>4.1665999999999999</v>
      </c>
    </row>
    <row r="1248" spans="1:6" x14ac:dyDescent="0.2">
      <c r="A1248">
        <v>829</v>
      </c>
      <c r="B1248" t="s">
        <v>232</v>
      </c>
      <c r="C1248" t="s">
        <v>119</v>
      </c>
      <c r="D1248">
        <v>3</v>
      </c>
      <c r="E1248">
        <v>1.5935999999999999</v>
      </c>
      <c r="F1248">
        <f t="shared" si="19"/>
        <v>4.7807999999999993</v>
      </c>
    </row>
    <row r="1249" spans="1:6" x14ac:dyDescent="0.2">
      <c r="A1249">
        <v>829</v>
      </c>
      <c r="B1249" t="s">
        <v>233</v>
      </c>
      <c r="C1249" t="s">
        <v>234</v>
      </c>
      <c r="D1249">
        <v>6</v>
      </c>
      <c r="E1249">
        <v>3989.2954</v>
      </c>
      <c r="F1249">
        <f t="shared" si="19"/>
        <v>23935.772400000002</v>
      </c>
    </row>
    <row r="1250" spans="1:6" x14ac:dyDescent="0.2">
      <c r="A1250">
        <v>829</v>
      </c>
      <c r="B1250" t="s">
        <v>142</v>
      </c>
      <c r="C1250" t="s">
        <v>143</v>
      </c>
      <c r="D1250">
        <v>6</v>
      </c>
      <c r="E1250">
        <v>18141.642</v>
      </c>
      <c r="F1250">
        <f t="shared" si="19"/>
        <v>108849.852</v>
      </c>
    </row>
    <row r="1251" spans="1:6" x14ac:dyDescent="0.2">
      <c r="A1251">
        <v>829</v>
      </c>
      <c r="B1251" t="s">
        <v>144</v>
      </c>
      <c r="C1251" t="s">
        <v>145</v>
      </c>
      <c r="D1251">
        <v>1</v>
      </c>
      <c r="E1251">
        <v>7346.6769230769241</v>
      </c>
      <c r="F1251">
        <f t="shared" si="19"/>
        <v>7346.6769230769241</v>
      </c>
    </row>
    <row r="1252" spans="1:6" x14ac:dyDescent="0.2">
      <c r="A1252">
        <v>829</v>
      </c>
      <c r="B1252" t="s">
        <v>197</v>
      </c>
      <c r="C1252" t="s">
        <v>117</v>
      </c>
      <c r="D1252">
        <v>3</v>
      </c>
      <c r="E1252">
        <v>7.4699999999999989E-2</v>
      </c>
      <c r="F1252">
        <f t="shared" si="19"/>
        <v>0.22409999999999997</v>
      </c>
    </row>
    <row r="1253" spans="1:6" x14ac:dyDescent="0.2">
      <c r="A1253">
        <v>829</v>
      </c>
      <c r="B1253" t="s">
        <v>198</v>
      </c>
      <c r="C1253" t="s">
        <v>199</v>
      </c>
      <c r="D1253">
        <v>1</v>
      </c>
      <c r="E1253">
        <v>0.66373439999999995</v>
      </c>
      <c r="F1253">
        <f t="shared" si="19"/>
        <v>0.66373439999999995</v>
      </c>
    </row>
    <row r="1254" spans="1:6" x14ac:dyDescent="0.2">
      <c r="A1254">
        <v>829</v>
      </c>
      <c r="B1254" t="s">
        <v>200</v>
      </c>
      <c r="C1254" t="s">
        <v>199</v>
      </c>
      <c r="D1254">
        <v>1</v>
      </c>
      <c r="E1254">
        <v>0.66373439999999995</v>
      </c>
      <c r="F1254">
        <f t="shared" si="19"/>
        <v>0.66373439999999995</v>
      </c>
    </row>
    <row r="1255" spans="1:6" x14ac:dyDescent="0.2">
      <c r="A1255">
        <v>829</v>
      </c>
      <c r="B1255" t="s">
        <v>201</v>
      </c>
      <c r="C1255" t="s">
        <v>76</v>
      </c>
      <c r="D1255">
        <v>3</v>
      </c>
      <c r="E1255">
        <v>0.22645055999999994</v>
      </c>
      <c r="F1255">
        <f t="shared" si="19"/>
        <v>0.67935167999999979</v>
      </c>
    </row>
    <row r="1256" spans="1:6" x14ac:dyDescent="0.2">
      <c r="A1256">
        <v>829</v>
      </c>
      <c r="B1256" t="s">
        <v>202</v>
      </c>
      <c r="C1256" t="s">
        <v>203</v>
      </c>
      <c r="D1256">
        <v>2</v>
      </c>
      <c r="E1256">
        <v>12.45</v>
      </c>
      <c r="F1256">
        <f t="shared" si="19"/>
        <v>24.9</v>
      </c>
    </row>
    <row r="1257" spans="1:6" x14ac:dyDescent="0.2">
      <c r="A1257">
        <v>829</v>
      </c>
      <c r="B1257" t="s">
        <v>204</v>
      </c>
      <c r="C1257" t="s">
        <v>205</v>
      </c>
      <c r="D1257">
        <v>1</v>
      </c>
      <c r="E1257">
        <v>103.72216512</v>
      </c>
      <c r="F1257">
        <f t="shared" si="19"/>
        <v>103.72216512</v>
      </c>
    </row>
    <row r="1258" spans="1:6" x14ac:dyDescent="0.2">
      <c r="A1258">
        <v>829</v>
      </c>
      <c r="B1258" t="s">
        <v>116</v>
      </c>
      <c r="C1258" t="s">
        <v>117</v>
      </c>
      <c r="D1258">
        <v>5</v>
      </c>
      <c r="E1258">
        <v>0.25729999999999997</v>
      </c>
      <c r="F1258">
        <f t="shared" si="19"/>
        <v>1.2864999999999998</v>
      </c>
    </row>
    <row r="1259" spans="1:6" x14ac:dyDescent="0.2">
      <c r="A1259">
        <v>829</v>
      </c>
      <c r="B1259" t="s">
        <v>78</v>
      </c>
      <c r="C1259" t="s">
        <v>76</v>
      </c>
      <c r="D1259">
        <v>1</v>
      </c>
      <c r="E1259">
        <v>0.71839487999999996</v>
      </c>
      <c r="F1259">
        <f t="shared" si="19"/>
        <v>0.71839487999999996</v>
      </c>
    </row>
    <row r="1260" spans="1:6" x14ac:dyDescent="0.2">
      <c r="A1260">
        <v>829</v>
      </c>
      <c r="B1260" t="s">
        <v>207</v>
      </c>
      <c r="C1260" t="s">
        <v>208</v>
      </c>
      <c r="D1260">
        <v>3</v>
      </c>
      <c r="E1260">
        <v>4.6314000000000002</v>
      </c>
      <c r="F1260">
        <f t="shared" si="19"/>
        <v>13.894200000000001</v>
      </c>
    </row>
    <row r="1261" spans="1:6" x14ac:dyDescent="0.2">
      <c r="A1261">
        <v>829</v>
      </c>
      <c r="B1261" t="s">
        <v>209</v>
      </c>
      <c r="C1261" t="s">
        <v>210</v>
      </c>
      <c r="D1261">
        <v>6</v>
      </c>
      <c r="E1261">
        <v>39.550761599999994</v>
      </c>
      <c r="F1261">
        <f t="shared" si="19"/>
        <v>237.30456959999998</v>
      </c>
    </row>
    <row r="1262" spans="1:6" x14ac:dyDescent="0.2">
      <c r="A1262">
        <v>829</v>
      </c>
      <c r="B1262" t="s">
        <v>211</v>
      </c>
      <c r="C1262" t="s">
        <v>203</v>
      </c>
      <c r="D1262">
        <v>6</v>
      </c>
      <c r="E1262">
        <v>25.754899999999999</v>
      </c>
      <c r="F1262">
        <f t="shared" si="19"/>
        <v>154.52940000000001</v>
      </c>
    </row>
    <row r="1263" spans="1:6" x14ac:dyDescent="0.2">
      <c r="A1263">
        <v>829</v>
      </c>
      <c r="B1263" t="s">
        <v>212</v>
      </c>
      <c r="C1263" t="s">
        <v>213</v>
      </c>
      <c r="D1263">
        <v>1</v>
      </c>
      <c r="E1263">
        <v>272.92059999999998</v>
      </c>
      <c r="F1263">
        <f t="shared" si="19"/>
        <v>272.92059999999998</v>
      </c>
    </row>
    <row r="1264" spans="1:6" x14ac:dyDescent="0.2">
      <c r="A1264">
        <v>829</v>
      </c>
      <c r="B1264" t="s">
        <v>149</v>
      </c>
      <c r="C1264" t="s">
        <v>150</v>
      </c>
      <c r="D1264">
        <v>3</v>
      </c>
      <c r="E1264">
        <v>0.7054999999999999</v>
      </c>
      <c r="F1264">
        <f t="shared" si="19"/>
        <v>2.1164999999999998</v>
      </c>
    </row>
    <row r="1265" spans="1:6" x14ac:dyDescent="0.2">
      <c r="A1265">
        <v>829</v>
      </c>
      <c r="B1265" t="s">
        <v>151</v>
      </c>
      <c r="C1265" t="s">
        <v>152</v>
      </c>
      <c r="D1265">
        <v>1</v>
      </c>
      <c r="E1265">
        <v>5.6190999999999995</v>
      </c>
      <c r="F1265">
        <f t="shared" si="19"/>
        <v>5.6190999999999995</v>
      </c>
    </row>
    <row r="1266" spans="1:6" x14ac:dyDescent="0.2">
      <c r="A1266">
        <v>829</v>
      </c>
      <c r="B1266" t="s">
        <v>153</v>
      </c>
      <c r="C1266" t="s">
        <v>119</v>
      </c>
      <c r="D1266">
        <v>1</v>
      </c>
      <c r="E1266">
        <v>1.11663552</v>
      </c>
      <c r="F1266">
        <f t="shared" si="19"/>
        <v>1.11663552</v>
      </c>
    </row>
    <row r="1267" spans="1:6" x14ac:dyDescent="0.2">
      <c r="A1267">
        <v>829</v>
      </c>
      <c r="B1267" t="s">
        <v>154</v>
      </c>
      <c r="C1267" t="s">
        <v>117</v>
      </c>
      <c r="D1267">
        <v>3</v>
      </c>
      <c r="E1267">
        <v>4.3657999999999992</v>
      </c>
      <c r="F1267">
        <f t="shared" si="19"/>
        <v>13.097399999999997</v>
      </c>
    </row>
    <row r="1268" spans="1:6" x14ac:dyDescent="0.2">
      <c r="A1268">
        <v>829</v>
      </c>
      <c r="B1268" t="s">
        <v>155</v>
      </c>
      <c r="C1268" t="s">
        <v>156</v>
      </c>
      <c r="D1268">
        <v>2</v>
      </c>
      <c r="E1268">
        <v>28.551999999999996</v>
      </c>
      <c r="F1268">
        <f t="shared" si="19"/>
        <v>57.103999999999992</v>
      </c>
    </row>
    <row r="1269" spans="1:6" x14ac:dyDescent="0.2">
      <c r="A1269">
        <v>829</v>
      </c>
      <c r="B1269" t="s">
        <v>157</v>
      </c>
      <c r="C1269" t="s">
        <v>158</v>
      </c>
      <c r="D1269">
        <v>1</v>
      </c>
      <c r="E1269">
        <v>29.456700000000001</v>
      </c>
      <c r="F1269">
        <f t="shared" si="19"/>
        <v>29.456700000000001</v>
      </c>
    </row>
    <row r="1270" spans="1:6" x14ac:dyDescent="0.2">
      <c r="A1270">
        <v>829</v>
      </c>
      <c r="B1270" t="s">
        <v>159</v>
      </c>
      <c r="C1270" t="s">
        <v>117</v>
      </c>
      <c r="D1270">
        <v>5</v>
      </c>
      <c r="E1270">
        <v>11.976899999999999</v>
      </c>
      <c r="F1270">
        <f t="shared" si="19"/>
        <v>59.884499999999996</v>
      </c>
    </row>
    <row r="1271" spans="1:6" x14ac:dyDescent="0.2">
      <c r="A1271">
        <v>829</v>
      </c>
      <c r="B1271" t="s">
        <v>116</v>
      </c>
      <c r="C1271" t="s">
        <v>117</v>
      </c>
      <c r="D1271">
        <v>1</v>
      </c>
      <c r="E1271">
        <v>0.25729999999999997</v>
      </c>
      <c r="F1271">
        <f t="shared" si="19"/>
        <v>0.25729999999999997</v>
      </c>
    </row>
    <row r="1272" spans="1:6" x14ac:dyDescent="0.2">
      <c r="A1272">
        <v>829</v>
      </c>
      <c r="B1272" t="s">
        <v>160</v>
      </c>
      <c r="C1272" t="s">
        <v>161</v>
      </c>
      <c r="D1272">
        <v>1</v>
      </c>
      <c r="E1272">
        <v>15.9194</v>
      </c>
      <c r="F1272">
        <f t="shared" si="19"/>
        <v>15.9194</v>
      </c>
    </row>
    <row r="1273" spans="1:6" x14ac:dyDescent="0.2">
      <c r="A1273">
        <v>829</v>
      </c>
      <c r="B1273" t="s">
        <v>162</v>
      </c>
      <c r="C1273" t="s">
        <v>163</v>
      </c>
      <c r="D1273">
        <v>1</v>
      </c>
      <c r="E1273">
        <v>62.822699999999998</v>
      </c>
      <c r="F1273">
        <f t="shared" si="19"/>
        <v>62.822699999999998</v>
      </c>
    </row>
    <row r="1274" spans="1:6" x14ac:dyDescent="0.2">
      <c r="A1274">
        <v>829</v>
      </c>
      <c r="B1274" t="s">
        <v>164</v>
      </c>
      <c r="C1274" t="s">
        <v>165</v>
      </c>
      <c r="D1274">
        <v>5</v>
      </c>
      <c r="E1274">
        <v>29.381999999999998</v>
      </c>
      <c r="F1274">
        <f t="shared" si="19"/>
        <v>146.91</v>
      </c>
    </row>
    <row r="1275" spans="1:6" x14ac:dyDescent="0.2">
      <c r="A1275">
        <v>829</v>
      </c>
      <c r="B1275" t="s">
        <v>166</v>
      </c>
      <c r="C1275" t="s">
        <v>76</v>
      </c>
      <c r="D1275">
        <v>5</v>
      </c>
      <c r="E1275">
        <v>0.97109999999999985</v>
      </c>
      <c r="F1275">
        <f t="shared" si="19"/>
        <v>4.8554999999999993</v>
      </c>
    </row>
    <row r="1276" spans="1:6" x14ac:dyDescent="0.2">
      <c r="A1276">
        <v>829</v>
      </c>
      <c r="B1276" t="s">
        <v>167</v>
      </c>
      <c r="C1276" t="s">
        <v>168</v>
      </c>
      <c r="D1276">
        <v>1</v>
      </c>
      <c r="E1276">
        <v>68.201099999999997</v>
      </c>
      <c r="F1276">
        <f t="shared" si="19"/>
        <v>68.201099999999997</v>
      </c>
    </row>
    <row r="1277" spans="1:6" x14ac:dyDescent="0.2">
      <c r="A1277">
        <v>829</v>
      </c>
      <c r="B1277" t="s">
        <v>169</v>
      </c>
      <c r="C1277" t="s">
        <v>119</v>
      </c>
      <c r="D1277">
        <v>1</v>
      </c>
      <c r="E1277">
        <v>26.078600000000002</v>
      </c>
      <c r="F1277">
        <f t="shared" si="19"/>
        <v>26.078600000000002</v>
      </c>
    </row>
    <row r="1278" spans="1:6" x14ac:dyDescent="0.2">
      <c r="A1278">
        <v>829</v>
      </c>
      <c r="B1278" t="s">
        <v>170</v>
      </c>
      <c r="C1278" t="s">
        <v>171</v>
      </c>
      <c r="D1278">
        <v>4</v>
      </c>
      <c r="E1278">
        <v>15.438000000000001</v>
      </c>
      <c r="F1278">
        <f t="shared" si="19"/>
        <v>61.752000000000002</v>
      </c>
    </row>
    <row r="1279" spans="1:6" x14ac:dyDescent="0.2">
      <c r="A1279">
        <v>829</v>
      </c>
      <c r="B1279" t="s">
        <v>172</v>
      </c>
      <c r="C1279" t="s">
        <v>173</v>
      </c>
      <c r="D1279">
        <v>3</v>
      </c>
      <c r="E1279">
        <v>158.41380000000001</v>
      </c>
      <c r="F1279">
        <f t="shared" si="19"/>
        <v>475.2414</v>
      </c>
    </row>
    <row r="1280" spans="1:6" x14ac:dyDescent="0.2">
      <c r="A1280">
        <v>829</v>
      </c>
      <c r="B1280" t="s">
        <v>174</v>
      </c>
      <c r="C1280" t="s">
        <v>119</v>
      </c>
      <c r="D1280">
        <v>1</v>
      </c>
      <c r="E1280">
        <v>1.2616000000000001</v>
      </c>
      <c r="F1280">
        <f t="shared" si="19"/>
        <v>1.2616000000000001</v>
      </c>
    </row>
    <row r="1281" spans="1:6" x14ac:dyDescent="0.2">
      <c r="A1281">
        <v>829</v>
      </c>
      <c r="B1281" t="s">
        <v>175</v>
      </c>
      <c r="C1281" t="s">
        <v>176</v>
      </c>
      <c r="D1281">
        <v>3</v>
      </c>
      <c r="E1281">
        <v>194.7595</v>
      </c>
      <c r="F1281">
        <f t="shared" si="19"/>
        <v>584.27850000000001</v>
      </c>
    </row>
    <row r="1282" spans="1:6" x14ac:dyDescent="0.2">
      <c r="A1282">
        <v>829</v>
      </c>
      <c r="B1282" t="s">
        <v>177</v>
      </c>
      <c r="C1282" t="s">
        <v>178</v>
      </c>
      <c r="D1282">
        <v>2</v>
      </c>
      <c r="E1282">
        <v>1660.6244256000002</v>
      </c>
      <c r="F1282">
        <f t="shared" si="19"/>
        <v>3321.2488512000004</v>
      </c>
    </row>
    <row r="1283" spans="1:6" x14ac:dyDescent="0.2">
      <c r="A1283">
        <v>829</v>
      </c>
      <c r="B1283" t="s">
        <v>179</v>
      </c>
      <c r="C1283" t="s">
        <v>119</v>
      </c>
      <c r="D1283">
        <v>4</v>
      </c>
      <c r="E1283">
        <v>32.444700000000005</v>
      </c>
      <c r="F1283">
        <f t="shared" ref="F1283:F1346" si="20">D1283*E1283</f>
        <v>129.77880000000002</v>
      </c>
    </row>
    <row r="1284" spans="1:6" x14ac:dyDescent="0.2">
      <c r="A1284">
        <v>829</v>
      </c>
      <c r="B1284" t="s">
        <v>180</v>
      </c>
      <c r="C1284" t="s">
        <v>181</v>
      </c>
      <c r="D1284">
        <v>1</v>
      </c>
      <c r="E1284">
        <v>64.117499999999993</v>
      </c>
      <c r="F1284">
        <f t="shared" si="20"/>
        <v>64.117499999999993</v>
      </c>
    </row>
    <row r="1285" spans="1:6" x14ac:dyDescent="0.2">
      <c r="A1285">
        <v>829</v>
      </c>
      <c r="B1285" t="s">
        <v>182</v>
      </c>
      <c r="C1285" t="s">
        <v>158</v>
      </c>
      <c r="D1285">
        <v>118</v>
      </c>
      <c r="E1285">
        <v>80.788189439999996</v>
      </c>
      <c r="F1285">
        <f t="shared" si="20"/>
        <v>9533.00635392</v>
      </c>
    </row>
    <row r="1286" spans="1:6" x14ac:dyDescent="0.2">
      <c r="A1286">
        <v>829</v>
      </c>
      <c r="B1286" t="s">
        <v>183</v>
      </c>
      <c r="C1286" t="s">
        <v>184</v>
      </c>
      <c r="D1286">
        <v>1</v>
      </c>
      <c r="E1286">
        <v>548.61538461538476</v>
      </c>
      <c r="F1286">
        <f t="shared" si="20"/>
        <v>548.61538461538476</v>
      </c>
    </row>
    <row r="1287" spans="1:6" x14ac:dyDescent="0.2">
      <c r="A1287">
        <v>829</v>
      </c>
      <c r="B1287" t="s">
        <v>185</v>
      </c>
      <c r="C1287" t="s">
        <v>186</v>
      </c>
      <c r="D1287">
        <v>1</v>
      </c>
      <c r="E1287">
        <v>278.05</v>
      </c>
      <c r="F1287">
        <f t="shared" si="20"/>
        <v>278.05</v>
      </c>
    </row>
    <row r="1288" spans="1:6" x14ac:dyDescent="0.2">
      <c r="A1288">
        <v>829</v>
      </c>
      <c r="B1288" t="s">
        <v>187</v>
      </c>
      <c r="C1288" t="s">
        <v>188</v>
      </c>
      <c r="D1288">
        <v>3</v>
      </c>
      <c r="E1288">
        <v>105.03649999999999</v>
      </c>
      <c r="F1288">
        <f t="shared" si="20"/>
        <v>315.10949999999997</v>
      </c>
    </row>
    <row r="1289" spans="1:6" x14ac:dyDescent="0.2">
      <c r="A1289">
        <v>829</v>
      </c>
      <c r="B1289" t="s">
        <v>189</v>
      </c>
      <c r="C1289" t="s">
        <v>163</v>
      </c>
      <c r="D1289">
        <v>1</v>
      </c>
      <c r="E1289">
        <v>154.25968320000001</v>
      </c>
      <c r="F1289">
        <f t="shared" si="20"/>
        <v>154.25968320000001</v>
      </c>
    </row>
    <row r="1290" spans="1:6" x14ac:dyDescent="0.2">
      <c r="A1290">
        <v>829</v>
      </c>
      <c r="B1290" t="s">
        <v>190</v>
      </c>
      <c r="C1290" t="s">
        <v>191</v>
      </c>
      <c r="D1290">
        <v>2</v>
      </c>
      <c r="E1290">
        <v>1397.886</v>
      </c>
      <c r="F1290">
        <f t="shared" si="20"/>
        <v>2795.7719999999999</v>
      </c>
    </row>
    <row r="1291" spans="1:6" x14ac:dyDescent="0.2">
      <c r="A1291">
        <v>829</v>
      </c>
      <c r="B1291" t="s">
        <v>192</v>
      </c>
      <c r="C1291" t="s">
        <v>193</v>
      </c>
      <c r="D1291">
        <v>3</v>
      </c>
      <c r="E1291">
        <v>843.03639167999984</v>
      </c>
      <c r="F1291">
        <f t="shared" si="20"/>
        <v>2529.1091750399996</v>
      </c>
    </row>
    <row r="1292" spans="1:6" x14ac:dyDescent="0.2">
      <c r="A1292">
        <v>829</v>
      </c>
      <c r="B1292" t="s">
        <v>194</v>
      </c>
      <c r="C1292" t="s">
        <v>193</v>
      </c>
      <c r="D1292">
        <v>6</v>
      </c>
      <c r="E1292">
        <v>868.20489999999995</v>
      </c>
      <c r="F1292">
        <f t="shared" si="20"/>
        <v>5209.2294000000002</v>
      </c>
    </row>
    <row r="1293" spans="1:6" x14ac:dyDescent="0.2">
      <c r="A1293">
        <v>829</v>
      </c>
      <c r="B1293" t="s">
        <v>195</v>
      </c>
      <c r="C1293" t="s">
        <v>117</v>
      </c>
      <c r="D1293">
        <v>6</v>
      </c>
      <c r="E1293">
        <v>1.0374999999999999</v>
      </c>
      <c r="F1293">
        <f t="shared" si="20"/>
        <v>6.2249999999999996</v>
      </c>
    </row>
    <row r="1294" spans="1:6" x14ac:dyDescent="0.2">
      <c r="A1294">
        <v>829</v>
      </c>
      <c r="B1294" t="s">
        <v>135</v>
      </c>
      <c r="C1294" t="s">
        <v>136</v>
      </c>
      <c r="D1294">
        <v>1</v>
      </c>
      <c r="E1294">
        <v>395.04690624</v>
      </c>
      <c r="F1294">
        <f t="shared" si="20"/>
        <v>395.04690624</v>
      </c>
    </row>
    <row r="1295" spans="1:6" x14ac:dyDescent="0.2">
      <c r="A1295">
        <v>829</v>
      </c>
      <c r="B1295" t="s">
        <v>137</v>
      </c>
      <c r="C1295" t="s">
        <v>138</v>
      </c>
      <c r="D1295">
        <v>3</v>
      </c>
      <c r="E1295">
        <v>252.98431871999998</v>
      </c>
      <c r="F1295">
        <f t="shared" si="20"/>
        <v>758.95295615999999</v>
      </c>
    </row>
    <row r="1296" spans="1:6" x14ac:dyDescent="0.2">
      <c r="A1296">
        <v>829</v>
      </c>
      <c r="B1296" t="s">
        <v>139</v>
      </c>
      <c r="C1296" t="s">
        <v>140</v>
      </c>
      <c r="D1296">
        <v>1</v>
      </c>
      <c r="E1296">
        <v>2054.4575</v>
      </c>
      <c r="F1296">
        <f t="shared" si="20"/>
        <v>2054.4575</v>
      </c>
    </row>
    <row r="1297" spans="1:6" x14ac:dyDescent="0.2">
      <c r="A1297">
        <v>829</v>
      </c>
      <c r="B1297" t="s">
        <v>116</v>
      </c>
      <c r="C1297" t="s">
        <v>117</v>
      </c>
      <c r="D1297">
        <v>1</v>
      </c>
      <c r="E1297">
        <v>0.25729999999999997</v>
      </c>
      <c r="F1297">
        <f t="shared" si="20"/>
        <v>0.25729999999999997</v>
      </c>
    </row>
    <row r="1298" spans="1:6" x14ac:dyDescent="0.2">
      <c r="A1298">
        <v>829</v>
      </c>
      <c r="B1298" t="s">
        <v>118</v>
      </c>
      <c r="C1298" t="s">
        <v>119</v>
      </c>
      <c r="D1298">
        <v>3</v>
      </c>
      <c r="E1298">
        <v>0.83</v>
      </c>
      <c r="F1298">
        <f t="shared" si="20"/>
        <v>2.4899999999999998</v>
      </c>
    </row>
    <row r="1299" spans="1:6" x14ac:dyDescent="0.2">
      <c r="A1299">
        <v>829</v>
      </c>
      <c r="B1299" t="s">
        <v>120</v>
      </c>
      <c r="C1299" t="s">
        <v>117</v>
      </c>
      <c r="D1299">
        <v>2</v>
      </c>
      <c r="E1299">
        <v>1.5603999999999998</v>
      </c>
      <c r="F1299">
        <f t="shared" si="20"/>
        <v>3.1207999999999996</v>
      </c>
    </row>
    <row r="1300" spans="1:6" x14ac:dyDescent="0.2">
      <c r="A1300">
        <v>829</v>
      </c>
      <c r="B1300" t="s">
        <v>121</v>
      </c>
      <c r="C1300" t="s">
        <v>117</v>
      </c>
      <c r="D1300">
        <v>1</v>
      </c>
      <c r="E1300">
        <v>270.83729999999997</v>
      </c>
      <c r="F1300">
        <f t="shared" si="20"/>
        <v>270.83729999999997</v>
      </c>
    </row>
    <row r="1301" spans="1:6" x14ac:dyDescent="0.2">
      <c r="A1301">
        <v>829</v>
      </c>
      <c r="B1301" t="s">
        <v>122</v>
      </c>
      <c r="C1301" t="s">
        <v>76</v>
      </c>
      <c r="D1301">
        <v>5</v>
      </c>
      <c r="E1301">
        <v>14.915099999999999</v>
      </c>
      <c r="F1301">
        <f t="shared" si="20"/>
        <v>74.575499999999991</v>
      </c>
    </row>
    <row r="1302" spans="1:6" x14ac:dyDescent="0.2">
      <c r="A1302">
        <v>829</v>
      </c>
      <c r="B1302" t="s">
        <v>123</v>
      </c>
      <c r="C1302" t="s">
        <v>119</v>
      </c>
      <c r="D1302">
        <v>1</v>
      </c>
      <c r="E1302">
        <v>122.52459999999999</v>
      </c>
      <c r="F1302">
        <f t="shared" si="20"/>
        <v>122.52459999999999</v>
      </c>
    </row>
    <row r="1303" spans="1:6" x14ac:dyDescent="0.2">
      <c r="A1303">
        <v>829</v>
      </c>
      <c r="B1303" t="s">
        <v>124</v>
      </c>
      <c r="C1303" t="s">
        <v>119</v>
      </c>
      <c r="D1303">
        <v>1</v>
      </c>
      <c r="E1303">
        <v>65.877099999999999</v>
      </c>
      <c r="F1303">
        <f t="shared" si="20"/>
        <v>65.877099999999999</v>
      </c>
    </row>
    <row r="1304" spans="1:6" x14ac:dyDescent="0.2">
      <c r="A1304">
        <v>829</v>
      </c>
      <c r="B1304" t="s">
        <v>125</v>
      </c>
      <c r="C1304" t="s">
        <v>117</v>
      </c>
      <c r="D1304">
        <v>1</v>
      </c>
      <c r="E1304">
        <v>45.957099999999997</v>
      </c>
      <c r="F1304">
        <f t="shared" si="20"/>
        <v>45.957099999999997</v>
      </c>
    </row>
    <row r="1305" spans="1:6" x14ac:dyDescent="0.2">
      <c r="A1305">
        <v>829</v>
      </c>
      <c r="B1305" t="s">
        <v>126</v>
      </c>
      <c r="C1305" t="s">
        <v>127</v>
      </c>
      <c r="D1305">
        <v>5</v>
      </c>
      <c r="E1305">
        <v>411.49739999999997</v>
      </c>
      <c r="F1305">
        <f t="shared" si="20"/>
        <v>2057.4870000000001</v>
      </c>
    </row>
    <row r="1306" spans="1:6" x14ac:dyDescent="0.2">
      <c r="A1306">
        <v>829</v>
      </c>
      <c r="B1306" t="s">
        <v>129</v>
      </c>
      <c r="C1306" t="s">
        <v>130</v>
      </c>
      <c r="D1306">
        <v>5</v>
      </c>
      <c r="E1306">
        <v>6724.2781999999997</v>
      </c>
      <c r="F1306">
        <f t="shared" si="20"/>
        <v>33621.390999999996</v>
      </c>
    </row>
    <row r="1307" spans="1:6" x14ac:dyDescent="0.2">
      <c r="A1307">
        <v>829</v>
      </c>
      <c r="B1307" t="s">
        <v>132</v>
      </c>
      <c r="C1307" t="s">
        <v>133</v>
      </c>
      <c r="D1307">
        <v>1</v>
      </c>
      <c r="E1307">
        <v>1168.0257999999999</v>
      </c>
      <c r="F1307">
        <f t="shared" si="20"/>
        <v>1168.0257999999999</v>
      </c>
    </row>
    <row r="1308" spans="1:6" x14ac:dyDescent="0.2">
      <c r="A1308">
        <v>829</v>
      </c>
      <c r="B1308" t="s">
        <v>110</v>
      </c>
      <c r="C1308" t="s">
        <v>111</v>
      </c>
      <c r="D1308">
        <v>1</v>
      </c>
      <c r="E1308">
        <v>119.83539999999999</v>
      </c>
      <c r="F1308">
        <f t="shared" si="20"/>
        <v>119.83539999999999</v>
      </c>
    </row>
    <row r="1309" spans="1:6" x14ac:dyDescent="0.2">
      <c r="A1309">
        <v>829</v>
      </c>
      <c r="B1309" t="s">
        <v>112</v>
      </c>
      <c r="C1309" t="s">
        <v>113</v>
      </c>
      <c r="D1309">
        <v>4</v>
      </c>
      <c r="E1309">
        <v>97.646153846153851</v>
      </c>
      <c r="F1309">
        <f t="shared" si="20"/>
        <v>390.5846153846154</v>
      </c>
    </row>
    <row r="1310" spans="1:6" x14ac:dyDescent="0.2">
      <c r="A1310">
        <v>829</v>
      </c>
      <c r="B1310" t="s">
        <v>110</v>
      </c>
      <c r="C1310" t="s">
        <v>111</v>
      </c>
      <c r="D1310">
        <v>3</v>
      </c>
      <c r="E1310">
        <v>119.83539999999999</v>
      </c>
      <c r="F1310">
        <f t="shared" si="20"/>
        <v>359.50619999999998</v>
      </c>
    </row>
    <row r="1311" spans="1:6" x14ac:dyDescent="0.2">
      <c r="A1311">
        <v>829</v>
      </c>
      <c r="B1311" t="s">
        <v>112</v>
      </c>
      <c r="C1311" t="s">
        <v>113</v>
      </c>
      <c r="D1311">
        <v>1</v>
      </c>
      <c r="E1311">
        <v>97.646153846153851</v>
      </c>
      <c r="F1311">
        <f t="shared" si="20"/>
        <v>97.646153846153851</v>
      </c>
    </row>
    <row r="1312" spans="1:6" x14ac:dyDescent="0.2">
      <c r="A1312">
        <v>829</v>
      </c>
      <c r="B1312" t="s">
        <v>97</v>
      </c>
      <c r="C1312" t="s">
        <v>98</v>
      </c>
      <c r="D1312">
        <v>3</v>
      </c>
      <c r="E1312">
        <v>189.87909999999999</v>
      </c>
      <c r="F1312">
        <f t="shared" si="20"/>
        <v>569.63729999999998</v>
      </c>
    </row>
    <row r="1313" spans="1:6" x14ac:dyDescent="0.2">
      <c r="A1313">
        <v>829</v>
      </c>
      <c r="B1313" t="s">
        <v>99</v>
      </c>
      <c r="C1313" t="s">
        <v>100</v>
      </c>
      <c r="D1313">
        <v>2</v>
      </c>
      <c r="E1313">
        <v>1287.1384615384613</v>
      </c>
      <c r="F1313">
        <f t="shared" si="20"/>
        <v>2574.2769230769227</v>
      </c>
    </row>
    <row r="1314" spans="1:6" x14ac:dyDescent="0.2">
      <c r="A1314">
        <v>829</v>
      </c>
      <c r="B1314" t="s">
        <v>101</v>
      </c>
      <c r="C1314" t="s">
        <v>102</v>
      </c>
      <c r="D1314">
        <v>4</v>
      </c>
      <c r="E1314">
        <v>1363.0371551999999</v>
      </c>
      <c r="F1314">
        <f t="shared" si="20"/>
        <v>5452.1486207999997</v>
      </c>
    </row>
    <row r="1315" spans="1:6" x14ac:dyDescent="0.2">
      <c r="A1315">
        <v>829</v>
      </c>
      <c r="B1315" t="s">
        <v>103</v>
      </c>
      <c r="C1315" t="s">
        <v>104</v>
      </c>
      <c r="D1315">
        <v>1</v>
      </c>
      <c r="E1315">
        <v>423.58219999999994</v>
      </c>
      <c r="F1315">
        <f t="shared" si="20"/>
        <v>423.58219999999994</v>
      </c>
    </row>
    <row r="1316" spans="1:6" x14ac:dyDescent="0.2">
      <c r="A1316">
        <v>829</v>
      </c>
      <c r="B1316" t="s">
        <v>105</v>
      </c>
      <c r="C1316" t="s">
        <v>106</v>
      </c>
      <c r="D1316">
        <v>118</v>
      </c>
      <c r="E1316">
        <v>36.470199999999998</v>
      </c>
      <c r="F1316">
        <f t="shared" si="20"/>
        <v>4303.4835999999996</v>
      </c>
    </row>
    <row r="1317" spans="1:6" x14ac:dyDescent="0.2">
      <c r="A1317">
        <v>829</v>
      </c>
      <c r="B1317" t="s">
        <v>107</v>
      </c>
      <c r="C1317" t="s">
        <v>108</v>
      </c>
      <c r="D1317">
        <v>1</v>
      </c>
      <c r="E1317">
        <v>61.492307692307698</v>
      </c>
      <c r="F1317">
        <f t="shared" si="20"/>
        <v>61.492307692307698</v>
      </c>
    </row>
    <row r="1318" spans="1:6" x14ac:dyDescent="0.2">
      <c r="A1318">
        <v>829</v>
      </c>
      <c r="B1318" t="s">
        <v>62</v>
      </c>
      <c r="C1318" t="s">
        <v>323</v>
      </c>
      <c r="D1318">
        <v>1</v>
      </c>
      <c r="E1318">
        <v>0.34859999999999997</v>
      </c>
      <c r="F1318">
        <f t="shared" si="20"/>
        <v>0.34859999999999997</v>
      </c>
    </row>
    <row r="1319" spans="1:6" x14ac:dyDescent="0.2">
      <c r="A1319">
        <v>829</v>
      </c>
      <c r="B1319" t="s">
        <v>324</v>
      </c>
      <c r="C1319" t="s">
        <v>273</v>
      </c>
      <c r="D1319">
        <v>3</v>
      </c>
      <c r="E1319">
        <v>0.9544999999999999</v>
      </c>
      <c r="F1319">
        <f t="shared" si="20"/>
        <v>2.8634999999999997</v>
      </c>
    </row>
    <row r="1320" spans="1:6" x14ac:dyDescent="0.2">
      <c r="A1320">
        <v>829</v>
      </c>
      <c r="B1320" t="s">
        <v>325</v>
      </c>
      <c r="C1320" t="s">
        <v>273</v>
      </c>
      <c r="D1320">
        <v>1</v>
      </c>
      <c r="E1320">
        <v>3.3692307692307697</v>
      </c>
      <c r="F1320">
        <f t="shared" si="20"/>
        <v>3.3692307692307697</v>
      </c>
    </row>
    <row r="1321" spans="1:6" x14ac:dyDescent="0.2">
      <c r="A1321">
        <v>829</v>
      </c>
      <c r="B1321" t="s">
        <v>154</v>
      </c>
      <c r="C1321" t="s">
        <v>278</v>
      </c>
      <c r="D1321">
        <v>2</v>
      </c>
      <c r="E1321">
        <v>4.3657999999999992</v>
      </c>
      <c r="F1321">
        <f t="shared" si="20"/>
        <v>8.7315999999999985</v>
      </c>
    </row>
    <row r="1322" spans="1:6" x14ac:dyDescent="0.2">
      <c r="A1322">
        <v>829</v>
      </c>
      <c r="B1322" t="s">
        <v>290</v>
      </c>
      <c r="C1322" t="s">
        <v>278</v>
      </c>
      <c r="D1322">
        <v>3</v>
      </c>
      <c r="E1322">
        <v>43.751809919999999</v>
      </c>
      <c r="F1322">
        <f t="shared" si="20"/>
        <v>131.25542976</v>
      </c>
    </row>
    <row r="1323" spans="1:6" x14ac:dyDescent="0.2">
      <c r="A1323">
        <v>829</v>
      </c>
      <c r="B1323" t="s">
        <v>288</v>
      </c>
      <c r="C1323" t="s">
        <v>289</v>
      </c>
      <c r="D1323">
        <v>6</v>
      </c>
      <c r="E1323">
        <v>7.3401215999999998</v>
      </c>
      <c r="F1323">
        <f t="shared" si="20"/>
        <v>44.040729599999999</v>
      </c>
    </row>
    <row r="1324" spans="1:6" x14ac:dyDescent="0.2">
      <c r="A1324">
        <v>829</v>
      </c>
      <c r="B1324" t="s">
        <v>287</v>
      </c>
      <c r="C1324" t="s">
        <v>273</v>
      </c>
      <c r="D1324">
        <v>6</v>
      </c>
      <c r="E1324">
        <v>100.66898687999999</v>
      </c>
      <c r="F1324">
        <f t="shared" si="20"/>
        <v>604.01392127999998</v>
      </c>
    </row>
    <row r="1325" spans="1:6" x14ac:dyDescent="0.2">
      <c r="A1325">
        <v>829</v>
      </c>
      <c r="B1325" t="s">
        <v>285</v>
      </c>
      <c r="C1325" t="s">
        <v>286</v>
      </c>
      <c r="D1325">
        <v>1</v>
      </c>
      <c r="E1325">
        <v>58.189985279999981</v>
      </c>
      <c r="F1325">
        <f t="shared" si="20"/>
        <v>58.189985279999981</v>
      </c>
    </row>
    <row r="1326" spans="1:6" x14ac:dyDescent="0.2">
      <c r="A1326">
        <v>829</v>
      </c>
      <c r="B1326" t="s">
        <v>291</v>
      </c>
      <c r="C1326" t="s">
        <v>278</v>
      </c>
      <c r="D1326">
        <v>3</v>
      </c>
      <c r="E1326">
        <v>24.136399999999998</v>
      </c>
      <c r="F1326">
        <f t="shared" si="20"/>
        <v>72.409199999999998</v>
      </c>
    </row>
    <row r="1327" spans="1:6" x14ac:dyDescent="0.2">
      <c r="A1327">
        <v>829</v>
      </c>
      <c r="B1327" t="s">
        <v>277</v>
      </c>
      <c r="C1327" t="s">
        <v>278</v>
      </c>
      <c r="D1327">
        <v>1</v>
      </c>
      <c r="E1327">
        <v>41.026594559999999</v>
      </c>
      <c r="F1327">
        <f t="shared" si="20"/>
        <v>41.026594559999999</v>
      </c>
    </row>
    <row r="1328" spans="1:6" x14ac:dyDescent="0.2">
      <c r="A1328">
        <v>829</v>
      </c>
      <c r="B1328" t="s">
        <v>326</v>
      </c>
      <c r="C1328" t="s">
        <v>278</v>
      </c>
      <c r="D1328">
        <v>1</v>
      </c>
      <c r="E1328">
        <v>3.97459776</v>
      </c>
      <c r="F1328">
        <f t="shared" si="20"/>
        <v>3.97459776</v>
      </c>
    </row>
    <row r="1329" spans="1:6" x14ac:dyDescent="0.2">
      <c r="A1329">
        <v>829</v>
      </c>
      <c r="B1329" t="s">
        <v>274</v>
      </c>
      <c r="C1329" t="s">
        <v>273</v>
      </c>
      <c r="D1329">
        <v>3</v>
      </c>
      <c r="E1329">
        <v>149.23091903999997</v>
      </c>
      <c r="F1329">
        <f t="shared" si="20"/>
        <v>447.6927571199999</v>
      </c>
    </row>
    <row r="1330" spans="1:6" x14ac:dyDescent="0.2">
      <c r="A1330">
        <v>829</v>
      </c>
      <c r="B1330" t="s">
        <v>327</v>
      </c>
      <c r="C1330" t="s">
        <v>309</v>
      </c>
      <c r="D1330">
        <v>2</v>
      </c>
      <c r="E1330">
        <v>1532.5236863999999</v>
      </c>
      <c r="F1330">
        <f t="shared" si="20"/>
        <v>3065.0473727999997</v>
      </c>
    </row>
    <row r="1331" spans="1:6" x14ac:dyDescent="0.2">
      <c r="A1331">
        <v>829</v>
      </c>
      <c r="B1331" t="s">
        <v>328</v>
      </c>
      <c r="C1331" t="s">
        <v>329</v>
      </c>
      <c r="D1331">
        <v>1</v>
      </c>
      <c r="E1331">
        <v>155.62307692307695</v>
      </c>
      <c r="F1331">
        <f t="shared" si="20"/>
        <v>155.62307692307695</v>
      </c>
    </row>
    <row r="1332" spans="1:6" x14ac:dyDescent="0.2">
      <c r="A1332">
        <v>829</v>
      </c>
      <c r="B1332" t="s">
        <v>330</v>
      </c>
      <c r="C1332" t="s">
        <v>331</v>
      </c>
      <c r="D1332">
        <v>5</v>
      </c>
      <c r="E1332">
        <v>710.44615384615395</v>
      </c>
      <c r="F1332">
        <f t="shared" si="20"/>
        <v>3552.2307692307695</v>
      </c>
    </row>
    <row r="1333" spans="1:6" x14ac:dyDescent="0.2">
      <c r="A1333">
        <v>829</v>
      </c>
      <c r="B1333" t="s">
        <v>332</v>
      </c>
      <c r="C1333" t="s">
        <v>333</v>
      </c>
      <c r="D1333">
        <v>1</v>
      </c>
      <c r="E1333">
        <v>167.55384615384617</v>
      </c>
      <c r="F1333">
        <f t="shared" si="20"/>
        <v>167.55384615384617</v>
      </c>
    </row>
    <row r="1334" spans="1:6" x14ac:dyDescent="0.2">
      <c r="A1334">
        <v>829</v>
      </c>
      <c r="B1334" t="s">
        <v>272</v>
      </c>
      <c r="C1334" t="s">
        <v>273</v>
      </c>
      <c r="D1334">
        <v>3</v>
      </c>
      <c r="E1334">
        <v>170.11122239999997</v>
      </c>
      <c r="F1334">
        <f t="shared" si="20"/>
        <v>510.33366719999992</v>
      </c>
    </row>
    <row r="1335" spans="1:6" x14ac:dyDescent="0.2">
      <c r="A1335">
        <v>829</v>
      </c>
      <c r="B1335" t="s">
        <v>275</v>
      </c>
      <c r="C1335" t="s">
        <v>276</v>
      </c>
      <c r="D1335">
        <v>6</v>
      </c>
      <c r="E1335">
        <v>9.0814483199999998</v>
      </c>
      <c r="F1335">
        <f t="shared" si="20"/>
        <v>54.488689919999999</v>
      </c>
    </row>
    <row r="1336" spans="1:6" x14ac:dyDescent="0.2">
      <c r="A1336">
        <v>829</v>
      </c>
      <c r="B1336" t="s">
        <v>334</v>
      </c>
      <c r="C1336" t="s">
        <v>329</v>
      </c>
      <c r="D1336">
        <v>6</v>
      </c>
      <c r="E1336">
        <v>149.03076923076924</v>
      </c>
      <c r="F1336">
        <f t="shared" si="20"/>
        <v>894.18461538461543</v>
      </c>
    </row>
    <row r="1337" spans="1:6" x14ac:dyDescent="0.2">
      <c r="A1337">
        <v>829</v>
      </c>
      <c r="B1337" t="s">
        <v>335</v>
      </c>
      <c r="C1337" t="s">
        <v>331</v>
      </c>
      <c r="D1337">
        <v>1</v>
      </c>
      <c r="E1337">
        <v>703.1</v>
      </c>
      <c r="F1337">
        <f t="shared" si="20"/>
        <v>703.1</v>
      </c>
    </row>
    <row r="1338" spans="1:6" x14ac:dyDescent="0.2">
      <c r="A1338">
        <v>829</v>
      </c>
      <c r="B1338" t="s">
        <v>336</v>
      </c>
      <c r="C1338" t="s">
        <v>333</v>
      </c>
      <c r="D1338">
        <v>3</v>
      </c>
      <c r="E1338">
        <v>288.42307692307691</v>
      </c>
      <c r="F1338">
        <f t="shared" si="20"/>
        <v>865.26923076923072</v>
      </c>
    </row>
    <row r="1339" spans="1:6" x14ac:dyDescent="0.2">
      <c r="A1339">
        <v>829</v>
      </c>
      <c r="B1339" t="s">
        <v>337</v>
      </c>
      <c r="C1339" t="s">
        <v>297</v>
      </c>
      <c r="D1339">
        <v>1</v>
      </c>
      <c r="E1339">
        <v>11.761099999999999</v>
      </c>
      <c r="F1339">
        <f t="shared" si="20"/>
        <v>11.761099999999999</v>
      </c>
    </row>
    <row r="1340" spans="1:6" x14ac:dyDescent="0.2">
      <c r="A1340">
        <v>829</v>
      </c>
      <c r="B1340" t="s">
        <v>338</v>
      </c>
      <c r="C1340" t="s">
        <v>297</v>
      </c>
      <c r="D1340">
        <v>1</v>
      </c>
      <c r="E1340">
        <v>11.712959999999999</v>
      </c>
      <c r="F1340">
        <f t="shared" si="20"/>
        <v>11.712959999999999</v>
      </c>
    </row>
    <row r="1341" spans="1:6" x14ac:dyDescent="0.2">
      <c r="A1341">
        <v>829</v>
      </c>
      <c r="B1341" t="s">
        <v>339</v>
      </c>
      <c r="C1341" t="s">
        <v>297</v>
      </c>
      <c r="D1341">
        <v>3</v>
      </c>
      <c r="E1341">
        <v>20.279038079999996</v>
      </c>
      <c r="F1341">
        <f t="shared" si="20"/>
        <v>60.837114239999991</v>
      </c>
    </row>
    <row r="1342" spans="1:6" x14ac:dyDescent="0.2">
      <c r="A1342">
        <v>829</v>
      </c>
      <c r="B1342" t="s">
        <v>340</v>
      </c>
      <c r="C1342" t="s">
        <v>309</v>
      </c>
      <c r="D1342">
        <v>2</v>
      </c>
      <c r="E1342">
        <v>1536.3343027199999</v>
      </c>
      <c r="F1342">
        <f t="shared" si="20"/>
        <v>3072.6686054399997</v>
      </c>
    </row>
    <row r="1343" spans="1:6" x14ac:dyDescent="0.2">
      <c r="A1343">
        <v>829</v>
      </c>
      <c r="B1343" t="s">
        <v>341</v>
      </c>
      <c r="C1343" t="s">
        <v>342</v>
      </c>
      <c r="D1343">
        <v>1</v>
      </c>
      <c r="E1343">
        <v>307.22449999999998</v>
      </c>
      <c r="F1343">
        <f t="shared" si="20"/>
        <v>307.22449999999998</v>
      </c>
    </row>
    <row r="1344" spans="1:6" x14ac:dyDescent="0.2">
      <c r="A1344">
        <v>829</v>
      </c>
      <c r="B1344" t="s">
        <v>284</v>
      </c>
      <c r="C1344" t="s">
        <v>273</v>
      </c>
      <c r="D1344">
        <v>5</v>
      </c>
      <c r="E1344">
        <v>15.547002240000001</v>
      </c>
      <c r="F1344">
        <f t="shared" si="20"/>
        <v>77.735011200000002</v>
      </c>
    </row>
    <row r="1345" spans="1:6" x14ac:dyDescent="0.2">
      <c r="A1345">
        <v>829</v>
      </c>
      <c r="B1345" t="s">
        <v>283</v>
      </c>
      <c r="C1345" t="s">
        <v>278</v>
      </c>
      <c r="D1345">
        <v>1</v>
      </c>
      <c r="E1345">
        <v>101.76219647999997</v>
      </c>
      <c r="F1345">
        <f t="shared" si="20"/>
        <v>101.76219647999997</v>
      </c>
    </row>
    <row r="1346" spans="1:6" x14ac:dyDescent="0.2">
      <c r="A1346">
        <v>829</v>
      </c>
      <c r="B1346" t="s">
        <v>281</v>
      </c>
      <c r="C1346" t="s">
        <v>282</v>
      </c>
      <c r="D1346">
        <v>1</v>
      </c>
      <c r="E1346">
        <v>43.369186559999996</v>
      </c>
      <c r="F1346">
        <f t="shared" si="20"/>
        <v>43.369186559999996</v>
      </c>
    </row>
    <row r="1347" spans="1:6" x14ac:dyDescent="0.2">
      <c r="A1347">
        <v>829</v>
      </c>
      <c r="B1347" t="s">
        <v>279</v>
      </c>
      <c r="C1347" t="s">
        <v>280</v>
      </c>
      <c r="D1347">
        <v>1</v>
      </c>
      <c r="E1347">
        <v>36.786503039999999</v>
      </c>
      <c r="F1347">
        <f t="shared" ref="F1347:F1410" si="21">D1347*E1347</f>
        <v>36.786503039999999</v>
      </c>
    </row>
    <row r="1348" spans="1:6" x14ac:dyDescent="0.2">
      <c r="A1348">
        <v>829</v>
      </c>
      <c r="B1348" t="s">
        <v>343</v>
      </c>
      <c r="C1348" t="s">
        <v>282</v>
      </c>
      <c r="D1348">
        <v>5</v>
      </c>
      <c r="E1348">
        <v>16.807499999999997</v>
      </c>
      <c r="F1348">
        <f t="shared" si="21"/>
        <v>84.037499999999994</v>
      </c>
    </row>
    <row r="1349" spans="1:6" x14ac:dyDescent="0.2">
      <c r="A1349">
        <v>829</v>
      </c>
      <c r="B1349" t="s">
        <v>344</v>
      </c>
      <c r="C1349" t="s">
        <v>282</v>
      </c>
      <c r="D1349">
        <v>5</v>
      </c>
      <c r="E1349">
        <v>12.767126399999999</v>
      </c>
      <c r="F1349">
        <f t="shared" si="21"/>
        <v>63.83563199999999</v>
      </c>
    </row>
    <row r="1350" spans="1:6" x14ac:dyDescent="0.2">
      <c r="A1350">
        <v>829</v>
      </c>
      <c r="B1350" t="s">
        <v>270</v>
      </c>
      <c r="C1350" t="s">
        <v>271</v>
      </c>
      <c r="D1350">
        <v>1</v>
      </c>
      <c r="E1350">
        <v>3027.0973823999993</v>
      </c>
      <c r="F1350">
        <f t="shared" si="21"/>
        <v>3027.0973823999993</v>
      </c>
    </row>
    <row r="1351" spans="1:6" x14ac:dyDescent="0.2">
      <c r="A1351">
        <v>829</v>
      </c>
      <c r="B1351" t="s">
        <v>272</v>
      </c>
      <c r="C1351" t="s">
        <v>273</v>
      </c>
      <c r="D1351">
        <v>1</v>
      </c>
      <c r="E1351">
        <v>170.11122239999997</v>
      </c>
      <c r="F1351">
        <f t="shared" si="21"/>
        <v>170.11122239999997</v>
      </c>
    </row>
    <row r="1352" spans="1:6" x14ac:dyDescent="0.2">
      <c r="A1352">
        <v>829</v>
      </c>
      <c r="B1352" t="s">
        <v>274</v>
      </c>
      <c r="C1352" t="s">
        <v>273</v>
      </c>
      <c r="D1352">
        <v>4</v>
      </c>
      <c r="E1352">
        <v>149.23091903999997</v>
      </c>
      <c r="F1352">
        <f t="shared" si="21"/>
        <v>596.9236761599999</v>
      </c>
    </row>
    <row r="1353" spans="1:6" x14ac:dyDescent="0.2">
      <c r="A1353">
        <v>829</v>
      </c>
      <c r="B1353" t="s">
        <v>275</v>
      </c>
      <c r="C1353" t="s">
        <v>276</v>
      </c>
      <c r="D1353">
        <v>3</v>
      </c>
      <c r="E1353">
        <v>9.0814483199999998</v>
      </c>
      <c r="F1353">
        <f t="shared" si="21"/>
        <v>27.244344959999999</v>
      </c>
    </row>
    <row r="1354" spans="1:6" x14ac:dyDescent="0.2">
      <c r="A1354">
        <v>829</v>
      </c>
      <c r="B1354" t="s">
        <v>277</v>
      </c>
      <c r="C1354" t="s">
        <v>278</v>
      </c>
      <c r="D1354">
        <v>1</v>
      </c>
      <c r="E1354">
        <v>41.026594559999999</v>
      </c>
      <c r="F1354">
        <f t="shared" si="21"/>
        <v>41.026594559999999</v>
      </c>
    </row>
    <row r="1355" spans="1:6" x14ac:dyDescent="0.2">
      <c r="A1355">
        <v>829</v>
      </c>
      <c r="B1355" t="s">
        <v>279</v>
      </c>
      <c r="C1355" t="s">
        <v>280</v>
      </c>
      <c r="D1355">
        <v>3</v>
      </c>
      <c r="E1355">
        <v>36.786503039999999</v>
      </c>
      <c r="F1355">
        <f t="shared" si="21"/>
        <v>110.35950912</v>
      </c>
    </row>
    <row r="1356" spans="1:6" x14ac:dyDescent="0.2">
      <c r="A1356">
        <v>829</v>
      </c>
      <c r="B1356" t="s">
        <v>281</v>
      </c>
      <c r="C1356" t="s">
        <v>282</v>
      </c>
      <c r="D1356">
        <v>2</v>
      </c>
      <c r="E1356">
        <v>43.369186559999996</v>
      </c>
      <c r="F1356">
        <f t="shared" si="21"/>
        <v>86.738373119999991</v>
      </c>
    </row>
    <row r="1357" spans="1:6" x14ac:dyDescent="0.2">
      <c r="A1357">
        <v>829</v>
      </c>
      <c r="B1357" t="s">
        <v>283</v>
      </c>
      <c r="C1357" t="s">
        <v>278</v>
      </c>
      <c r="D1357">
        <v>4</v>
      </c>
      <c r="E1357">
        <v>101.76219647999997</v>
      </c>
      <c r="F1357">
        <f t="shared" si="21"/>
        <v>407.04878591999989</v>
      </c>
    </row>
    <row r="1358" spans="1:6" x14ac:dyDescent="0.2">
      <c r="A1358">
        <v>829</v>
      </c>
      <c r="B1358" t="s">
        <v>284</v>
      </c>
      <c r="C1358" t="s">
        <v>273</v>
      </c>
      <c r="D1358">
        <v>1</v>
      </c>
      <c r="E1358">
        <v>15.547002240000001</v>
      </c>
      <c r="F1358">
        <f t="shared" si="21"/>
        <v>15.547002240000001</v>
      </c>
    </row>
    <row r="1359" spans="1:6" x14ac:dyDescent="0.2">
      <c r="A1359">
        <v>829</v>
      </c>
      <c r="B1359" t="s">
        <v>285</v>
      </c>
      <c r="C1359" t="s">
        <v>286</v>
      </c>
      <c r="D1359">
        <v>118</v>
      </c>
      <c r="E1359">
        <v>58.189985279999981</v>
      </c>
      <c r="F1359">
        <f t="shared" si="21"/>
        <v>6866.4182630399973</v>
      </c>
    </row>
    <row r="1360" spans="1:6" x14ac:dyDescent="0.2">
      <c r="A1360">
        <v>829</v>
      </c>
      <c r="B1360" t="s">
        <v>287</v>
      </c>
      <c r="C1360" t="s">
        <v>273</v>
      </c>
      <c r="D1360">
        <v>1</v>
      </c>
      <c r="E1360">
        <v>100.66898687999999</v>
      </c>
      <c r="F1360">
        <f t="shared" si="21"/>
        <v>100.66898687999999</v>
      </c>
    </row>
    <row r="1361" spans="1:6" x14ac:dyDescent="0.2">
      <c r="A1361">
        <v>829</v>
      </c>
      <c r="B1361" t="s">
        <v>288</v>
      </c>
      <c r="C1361" t="s">
        <v>289</v>
      </c>
      <c r="D1361">
        <v>1</v>
      </c>
      <c r="E1361">
        <v>7.3401215999999998</v>
      </c>
      <c r="F1361">
        <f t="shared" si="21"/>
        <v>7.3401215999999998</v>
      </c>
    </row>
    <row r="1362" spans="1:6" x14ac:dyDescent="0.2">
      <c r="A1362">
        <v>829</v>
      </c>
      <c r="B1362" t="s">
        <v>290</v>
      </c>
      <c r="C1362" t="s">
        <v>278</v>
      </c>
      <c r="D1362">
        <v>3</v>
      </c>
      <c r="E1362">
        <v>43.751809919999999</v>
      </c>
      <c r="F1362">
        <f t="shared" si="21"/>
        <v>131.25542976</v>
      </c>
    </row>
    <row r="1363" spans="1:6" x14ac:dyDescent="0.2">
      <c r="A1363">
        <v>829</v>
      </c>
      <c r="B1363" t="s">
        <v>277</v>
      </c>
      <c r="C1363" t="s">
        <v>278</v>
      </c>
      <c r="D1363">
        <v>1</v>
      </c>
      <c r="E1363">
        <v>41.026594559999999</v>
      </c>
      <c r="F1363">
        <f t="shared" si="21"/>
        <v>41.026594559999999</v>
      </c>
    </row>
    <row r="1364" spans="1:6" x14ac:dyDescent="0.2">
      <c r="A1364">
        <v>829</v>
      </c>
      <c r="B1364" t="s">
        <v>291</v>
      </c>
      <c r="C1364" t="s">
        <v>278</v>
      </c>
      <c r="D1364">
        <v>2</v>
      </c>
      <c r="E1364">
        <v>24.136399999999998</v>
      </c>
      <c r="F1364">
        <f t="shared" si="21"/>
        <v>48.272799999999997</v>
      </c>
    </row>
    <row r="1365" spans="1:6" x14ac:dyDescent="0.2">
      <c r="A1365">
        <v>829</v>
      </c>
      <c r="B1365" t="s">
        <v>292</v>
      </c>
      <c r="C1365" t="s">
        <v>293</v>
      </c>
      <c r="D1365">
        <v>3</v>
      </c>
      <c r="E1365">
        <v>96.852699999999999</v>
      </c>
      <c r="F1365">
        <f t="shared" si="21"/>
        <v>290.55809999999997</v>
      </c>
    </row>
    <row r="1366" spans="1:6" x14ac:dyDescent="0.2">
      <c r="A1366">
        <v>829</v>
      </c>
      <c r="B1366" t="s">
        <v>294</v>
      </c>
      <c r="C1366" t="s">
        <v>278</v>
      </c>
      <c r="D1366">
        <v>6</v>
      </c>
      <c r="E1366">
        <v>26.221413119999998</v>
      </c>
      <c r="F1366">
        <f t="shared" si="21"/>
        <v>157.32847871999999</v>
      </c>
    </row>
    <row r="1367" spans="1:6" x14ac:dyDescent="0.2">
      <c r="A1367">
        <v>829</v>
      </c>
      <c r="B1367" t="s">
        <v>295</v>
      </c>
      <c r="C1367" t="s">
        <v>273</v>
      </c>
      <c r="D1367">
        <v>6</v>
      </c>
      <c r="E1367">
        <v>54.886930560000003</v>
      </c>
      <c r="F1367">
        <f t="shared" si="21"/>
        <v>329.32158336000003</v>
      </c>
    </row>
    <row r="1368" spans="1:6" x14ac:dyDescent="0.2">
      <c r="A1368">
        <v>829</v>
      </c>
      <c r="B1368" t="s">
        <v>296</v>
      </c>
      <c r="C1368" t="s">
        <v>297</v>
      </c>
      <c r="D1368">
        <v>1</v>
      </c>
      <c r="E1368">
        <v>5.5028999999999995</v>
      </c>
      <c r="F1368">
        <f t="shared" si="21"/>
        <v>5.5028999999999995</v>
      </c>
    </row>
    <row r="1369" spans="1:6" x14ac:dyDescent="0.2">
      <c r="A1369">
        <v>829</v>
      </c>
      <c r="B1369" t="s">
        <v>298</v>
      </c>
      <c r="C1369" t="s">
        <v>297</v>
      </c>
      <c r="D1369">
        <v>3</v>
      </c>
      <c r="E1369">
        <v>5.9344999999999999</v>
      </c>
      <c r="F1369">
        <f t="shared" si="21"/>
        <v>17.8035</v>
      </c>
    </row>
    <row r="1370" spans="1:6" x14ac:dyDescent="0.2">
      <c r="A1370">
        <v>829</v>
      </c>
      <c r="B1370" t="s">
        <v>299</v>
      </c>
      <c r="C1370" t="s">
        <v>297</v>
      </c>
      <c r="D1370">
        <v>1</v>
      </c>
      <c r="E1370">
        <v>4.3574999999999999</v>
      </c>
      <c r="F1370">
        <f t="shared" si="21"/>
        <v>4.3574999999999999</v>
      </c>
    </row>
    <row r="1371" spans="1:6" x14ac:dyDescent="0.2">
      <c r="A1371">
        <v>829</v>
      </c>
      <c r="B1371" t="s">
        <v>122</v>
      </c>
      <c r="C1371" t="s">
        <v>276</v>
      </c>
      <c r="D1371">
        <v>1</v>
      </c>
      <c r="E1371">
        <v>14.915099999999999</v>
      </c>
      <c r="F1371">
        <f t="shared" si="21"/>
        <v>14.915099999999999</v>
      </c>
    </row>
    <row r="1372" spans="1:6" x14ac:dyDescent="0.2">
      <c r="A1372">
        <v>829</v>
      </c>
      <c r="B1372" t="s">
        <v>120</v>
      </c>
      <c r="C1372" t="s">
        <v>278</v>
      </c>
      <c r="D1372">
        <v>3</v>
      </c>
      <c r="E1372">
        <v>1.5603999999999998</v>
      </c>
      <c r="F1372">
        <f t="shared" si="21"/>
        <v>4.6811999999999996</v>
      </c>
    </row>
    <row r="1373" spans="1:6" x14ac:dyDescent="0.2">
      <c r="A1373">
        <v>829</v>
      </c>
      <c r="B1373" t="s">
        <v>300</v>
      </c>
      <c r="C1373" t="s">
        <v>273</v>
      </c>
      <c r="D1373">
        <v>2</v>
      </c>
      <c r="E1373">
        <v>60.589999999999996</v>
      </c>
      <c r="F1373">
        <f t="shared" si="21"/>
        <v>121.17999999999999</v>
      </c>
    </row>
    <row r="1374" spans="1:6" x14ac:dyDescent="0.2">
      <c r="A1374">
        <v>829</v>
      </c>
      <c r="B1374" t="s">
        <v>301</v>
      </c>
      <c r="C1374" t="s">
        <v>302</v>
      </c>
      <c r="D1374">
        <v>1</v>
      </c>
      <c r="E1374">
        <v>104.88565247999999</v>
      </c>
      <c r="F1374">
        <f t="shared" si="21"/>
        <v>104.88565247999999</v>
      </c>
    </row>
    <row r="1375" spans="1:6" x14ac:dyDescent="0.2">
      <c r="A1375">
        <v>829</v>
      </c>
      <c r="B1375" t="s">
        <v>303</v>
      </c>
      <c r="C1375" t="s">
        <v>304</v>
      </c>
      <c r="D1375">
        <v>5</v>
      </c>
      <c r="E1375">
        <v>683.94489999999996</v>
      </c>
      <c r="F1375">
        <f t="shared" si="21"/>
        <v>3419.7244999999998</v>
      </c>
    </row>
    <row r="1376" spans="1:6" x14ac:dyDescent="0.2">
      <c r="A1376">
        <v>829</v>
      </c>
      <c r="B1376" t="s">
        <v>305</v>
      </c>
      <c r="C1376" t="s">
        <v>273</v>
      </c>
      <c r="D1376">
        <v>1</v>
      </c>
      <c r="E1376">
        <v>71.189099999999996</v>
      </c>
      <c r="F1376">
        <f t="shared" si="21"/>
        <v>71.189099999999996</v>
      </c>
    </row>
    <row r="1377" spans="1:6" x14ac:dyDescent="0.2">
      <c r="A1377">
        <v>829</v>
      </c>
      <c r="B1377" t="s">
        <v>294</v>
      </c>
      <c r="C1377" t="s">
        <v>278</v>
      </c>
      <c r="D1377">
        <v>1</v>
      </c>
      <c r="E1377">
        <v>26.221413119999998</v>
      </c>
      <c r="F1377">
        <f t="shared" si="21"/>
        <v>26.221413119999998</v>
      </c>
    </row>
    <row r="1378" spans="1:6" x14ac:dyDescent="0.2">
      <c r="A1378">
        <v>829</v>
      </c>
      <c r="B1378" t="s">
        <v>306</v>
      </c>
      <c r="C1378" t="s">
        <v>273</v>
      </c>
      <c r="D1378">
        <v>1</v>
      </c>
      <c r="E1378">
        <v>99.575777279999997</v>
      </c>
      <c r="F1378">
        <f t="shared" si="21"/>
        <v>99.575777279999997</v>
      </c>
    </row>
    <row r="1379" spans="1:6" x14ac:dyDescent="0.2">
      <c r="A1379">
        <v>829</v>
      </c>
      <c r="B1379" t="s">
        <v>294</v>
      </c>
      <c r="C1379" t="s">
        <v>278</v>
      </c>
      <c r="D1379">
        <v>5</v>
      </c>
      <c r="E1379">
        <v>26.221413119999998</v>
      </c>
      <c r="F1379">
        <f t="shared" si="21"/>
        <v>131.1070656</v>
      </c>
    </row>
    <row r="1380" spans="1:6" x14ac:dyDescent="0.2">
      <c r="A1380">
        <v>829</v>
      </c>
      <c r="B1380" t="s">
        <v>306</v>
      </c>
      <c r="C1380" t="s">
        <v>273</v>
      </c>
      <c r="D1380">
        <v>5</v>
      </c>
      <c r="E1380">
        <v>99.575777279999997</v>
      </c>
      <c r="F1380">
        <f t="shared" si="21"/>
        <v>497.8788864</v>
      </c>
    </row>
    <row r="1381" spans="1:6" x14ac:dyDescent="0.2">
      <c r="A1381">
        <v>829</v>
      </c>
      <c r="B1381" t="s">
        <v>308</v>
      </c>
      <c r="C1381" t="s">
        <v>309</v>
      </c>
      <c r="D1381">
        <v>1</v>
      </c>
      <c r="E1381">
        <v>167.62307692307692</v>
      </c>
      <c r="F1381">
        <f t="shared" si="21"/>
        <v>167.62307692307692</v>
      </c>
    </row>
    <row r="1382" spans="1:6" x14ac:dyDescent="0.2">
      <c r="A1382">
        <v>829</v>
      </c>
      <c r="B1382" t="s">
        <v>310</v>
      </c>
      <c r="C1382" t="s">
        <v>273</v>
      </c>
      <c r="D1382">
        <v>1</v>
      </c>
      <c r="E1382">
        <v>0.33200000000000002</v>
      </c>
      <c r="F1382">
        <f t="shared" si="21"/>
        <v>0.33200000000000002</v>
      </c>
    </row>
    <row r="1383" spans="1:6" x14ac:dyDescent="0.2">
      <c r="A1383">
        <v>829</v>
      </c>
      <c r="B1383" t="s">
        <v>197</v>
      </c>
      <c r="C1383" t="s">
        <v>278</v>
      </c>
      <c r="D1383">
        <v>4</v>
      </c>
      <c r="E1383">
        <v>7.4699999999999989E-2</v>
      </c>
      <c r="F1383">
        <f t="shared" si="21"/>
        <v>0.29879999999999995</v>
      </c>
    </row>
    <row r="1384" spans="1:6" x14ac:dyDescent="0.2">
      <c r="A1384">
        <v>829</v>
      </c>
      <c r="B1384" t="s">
        <v>311</v>
      </c>
      <c r="C1384" t="s">
        <v>273</v>
      </c>
      <c r="D1384">
        <v>3</v>
      </c>
      <c r="E1384">
        <v>1.5935999999999999</v>
      </c>
      <c r="F1384">
        <f t="shared" si="21"/>
        <v>4.7807999999999993</v>
      </c>
    </row>
    <row r="1385" spans="1:6" x14ac:dyDescent="0.2">
      <c r="A1385">
        <v>829</v>
      </c>
      <c r="B1385" t="s">
        <v>312</v>
      </c>
      <c r="C1385" t="s">
        <v>278</v>
      </c>
      <c r="D1385">
        <v>1</v>
      </c>
      <c r="E1385">
        <v>21.040500000000002</v>
      </c>
      <c r="F1385">
        <f t="shared" si="21"/>
        <v>21.040500000000002</v>
      </c>
    </row>
    <row r="1386" spans="1:6" x14ac:dyDescent="0.2">
      <c r="A1386">
        <v>829</v>
      </c>
      <c r="B1386" t="s">
        <v>75</v>
      </c>
      <c r="C1386" t="s">
        <v>313</v>
      </c>
      <c r="D1386">
        <v>3</v>
      </c>
      <c r="E1386">
        <v>0.1153846153846154</v>
      </c>
      <c r="F1386">
        <f t="shared" si="21"/>
        <v>0.3461538461538462</v>
      </c>
    </row>
    <row r="1387" spans="1:6" x14ac:dyDescent="0.2">
      <c r="A1387">
        <v>829</v>
      </c>
      <c r="B1387" t="s">
        <v>314</v>
      </c>
      <c r="C1387" t="s">
        <v>273</v>
      </c>
      <c r="D1387">
        <v>2</v>
      </c>
      <c r="E1387">
        <v>0.45650000000000002</v>
      </c>
      <c r="F1387">
        <f t="shared" si="21"/>
        <v>0.91300000000000003</v>
      </c>
    </row>
    <row r="1388" spans="1:6" x14ac:dyDescent="0.2">
      <c r="A1388">
        <v>829</v>
      </c>
      <c r="B1388" t="s">
        <v>314</v>
      </c>
      <c r="C1388" t="s">
        <v>315</v>
      </c>
      <c r="D1388">
        <v>4</v>
      </c>
      <c r="E1388">
        <v>0.45650000000000002</v>
      </c>
      <c r="F1388">
        <f t="shared" si="21"/>
        <v>1.8260000000000001</v>
      </c>
    </row>
    <row r="1389" spans="1:6" x14ac:dyDescent="0.2">
      <c r="A1389">
        <v>829</v>
      </c>
      <c r="B1389" t="s">
        <v>316</v>
      </c>
      <c r="C1389" t="s">
        <v>317</v>
      </c>
      <c r="D1389">
        <v>1</v>
      </c>
      <c r="E1389">
        <v>92.206615384615375</v>
      </c>
      <c r="F1389">
        <f t="shared" si="21"/>
        <v>92.206615384615375</v>
      </c>
    </row>
    <row r="1390" spans="1:6" x14ac:dyDescent="0.2">
      <c r="A1390">
        <v>829</v>
      </c>
      <c r="B1390" t="s">
        <v>318</v>
      </c>
      <c r="C1390" t="s">
        <v>319</v>
      </c>
      <c r="D1390">
        <v>118</v>
      </c>
      <c r="E1390">
        <v>85.453846153846172</v>
      </c>
      <c r="F1390">
        <f t="shared" si="21"/>
        <v>10083.553846153849</v>
      </c>
    </row>
    <row r="1391" spans="1:6" x14ac:dyDescent="0.2">
      <c r="A1391">
        <v>829</v>
      </c>
      <c r="B1391" t="s">
        <v>320</v>
      </c>
      <c r="C1391" t="s">
        <v>321</v>
      </c>
      <c r="D1391">
        <v>1</v>
      </c>
      <c r="E1391">
        <v>92.206615384615375</v>
      </c>
      <c r="F1391">
        <f t="shared" si="21"/>
        <v>92.206615384615375</v>
      </c>
    </row>
    <row r="1392" spans="1:6" x14ac:dyDescent="0.2">
      <c r="A1392">
        <v>829</v>
      </c>
      <c r="B1392" t="s">
        <v>267</v>
      </c>
      <c r="C1392" t="s">
        <v>268</v>
      </c>
      <c r="D1392">
        <v>1</v>
      </c>
      <c r="E1392">
        <v>84863.132923076919</v>
      </c>
      <c r="F1392">
        <f t="shared" si="21"/>
        <v>84863.132923076919</v>
      </c>
    </row>
    <row r="1393" spans="1:6" x14ac:dyDescent="0.2">
      <c r="A1393">
        <v>829</v>
      </c>
      <c r="B1393" t="s">
        <v>260</v>
      </c>
      <c r="C1393" t="s">
        <v>261</v>
      </c>
      <c r="D1393">
        <v>3</v>
      </c>
      <c r="E1393">
        <v>2908.2944615384613</v>
      </c>
      <c r="F1393">
        <f t="shared" si="21"/>
        <v>8724.883384615383</v>
      </c>
    </row>
    <row r="1394" spans="1:6" x14ac:dyDescent="0.2">
      <c r="A1394">
        <v>829</v>
      </c>
      <c r="B1394" t="s">
        <v>262</v>
      </c>
      <c r="C1394" t="s">
        <v>263</v>
      </c>
      <c r="D1394">
        <v>1</v>
      </c>
      <c r="E1394">
        <v>3207.1966153846147</v>
      </c>
      <c r="F1394">
        <f t="shared" si="21"/>
        <v>3207.1966153846147</v>
      </c>
    </row>
    <row r="1395" spans="1:6" x14ac:dyDescent="0.2">
      <c r="A1395">
        <v>829</v>
      </c>
      <c r="B1395" t="s">
        <v>264</v>
      </c>
      <c r="C1395" t="s">
        <v>265</v>
      </c>
      <c r="D1395">
        <v>2</v>
      </c>
      <c r="E1395">
        <v>3466.73123076923</v>
      </c>
      <c r="F1395">
        <f t="shared" si="21"/>
        <v>6933.46246153846</v>
      </c>
    </row>
    <row r="1396" spans="1:6" x14ac:dyDescent="0.2">
      <c r="A1396">
        <v>829</v>
      </c>
      <c r="B1396" t="s">
        <v>259</v>
      </c>
      <c r="C1396" t="s">
        <v>258</v>
      </c>
      <c r="D1396">
        <v>3</v>
      </c>
      <c r="E1396">
        <v>3325.9759999999997</v>
      </c>
      <c r="F1396">
        <f t="shared" si="21"/>
        <v>9977.9279999999999</v>
      </c>
    </row>
    <row r="1397" spans="1:6" x14ac:dyDescent="0.2">
      <c r="A1397">
        <v>829</v>
      </c>
      <c r="B1397" t="s">
        <v>257</v>
      </c>
      <c r="C1397" t="s">
        <v>258</v>
      </c>
      <c r="D1397">
        <v>6</v>
      </c>
      <c r="E1397">
        <v>3325.9759999999997</v>
      </c>
      <c r="F1397">
        <f t="shared" si="21"/>
        <v>19955.856</v>
      </c>
    </row>
    <row r="1398" spans="1:6" x14ac:dyDescent="0.2">
      <c r="A1398">
        <v>829</v>
      </c>
      <c r="B1398" t="s">
        <v>255</v>
      </c>
      <c r="C1398" t="s">
        <v>256</v>
      </c>
      <c r="D1398">
        <v>6</v>
      </c>
      <c r="E1398">
        <v>18546.094615384613</v>
      </c>
      <c r="F1398">
        <f t="shared" si="21"/>
        <v>111276.56769230767</v>
      </c>
    </row>
    <row r="1399" spans="1:6" x14ac:dyDescent="0.2">
      <c r="A1399">
        <v>829</v>
      </c>
      <c r="B1399" t="s">
        <v>253</v>
      </c>
      <c r="C1399" t="s">
        <v>254</v>
      </c>
      <c r="D1399">
        <v>1</v>
      </c>
      <c r="E1399">
        <v>21043.67953846154</v>
      </c>
      <c r="F1399">
        <f t="shared" si="21"/>
        <v>21043.67953846154</v>
      </c>
    </row>
    <row r="1400" spans="1:6" x14ac:dyDescent="0.2">
      <c r="A1400">
        <v>829</v>
      </c>
      <c r="B1400" t="s">
        <v>359</v>
      </c>
      <c r="C1400" t="s">
        <v>360</v>
      </c>
      <c r="D1400">
        <v>3</v>
      </c>
      <c r="E1400">
        <v>1844.9384615384615</v>
      </c>
      <c r="F1400">
        <f t="shared" si="21"/>
        <v>5534.8153846153846</v>
      </c>
    </row>
    <row r="1401" spans="1:6" x14ac:dyDescent="0.2">
      <c r="A1401">
        <v>829</v>
      </c>
      <c r="B1401" t="s">
        <v>389</v>
      </c>
      <c r="C1401" t="s">
        <v>390</v>
      </c>
      <c r="D1401">
        <v>1</v>
      </c>
      <c r="E1401">
        <v>4906</v>
      </c>
      <c r="F1401">
        <f t="shared" si="21"/>
        <v>4906</v>
      </c>
    </row>
    <row r="1402" spans="1:6" x14ac:dyDescent="0.2">
      <c r="A1402">
        <v>830</v>
      </c>
      <c r="B1402" t="s">
        <v>62</v>
      </c>
      <c r="C1402" t="s">
        <v>63</v>
      </c>
      <c r="D1402">
        <v>1</v>
      </c>
      <c r="E1402">
        <v>0.34860000000000002</v>
      </c>
      <c r="F1402">
        <f t="shared" si="21"/>
        <v>0.34860000000000002</v>
      </c>
    </row>
    <row r="1403" spans="1:6" x14ac:dyDescent="0.2">
      <c r="A1403">
        <v>830</v>
      </c>
      <c r="B1403" t="s">
        <v>64</v>
      </c>
      <c r="C1403" t="s">
        <v>65</v>
      </c>
      <c r="D1403">
        <v>3</v>
      </c>
      <c r="E1403">
        <v>803.07692307692309</v>
      </c>
      <c r="F1403">
        <f t="shared" si="21"/>
        <v>2409.2307692307695</v>
      </c>
    </row>
    <row r="1404" spans="1:6" x14ac:dyDescent="0.2">
      <c r="A1404">
        <v>830</v>
      </c>
      <c r="B1404" t="s">
        <v>67</v>
      </c>
      <c r="C1404" t="s">
        <v>68</v>
      </c>
      <c r="D1404">
        <v>2</v>
      </c>
      <c r="E1404">
        <v>49.678567679999993</v>
      </c>
      <c r="F1404">
        <f t="shared" si="21"/>
        <v>99.357135359999987</v>
      </c>
    </row>
    <row r="1405" spans="1:6" x14ac:dyDescent="0.2">
      <c r="A1405">
        <v>830</v>
      </c>
      <c r="B1405" t="s">
        <v>70</v>
      </c>
      <c r="C1405" t="s">
        <v>71</v>
      </c>
      <c r="D1405">
        <v>1</v>
      </c>
      <c r="E1405">
        <v>407.98649999999998</v>
      </c>
      <c r="F1405">
        <f t="shared" si="21"/>
        <v>407.98649999999998</v>
      </c>
    </row>
    <row r="1406" spans="1:6" x14ac:dyDescent="0.2">
      <c r="A1406">
        <v>830</v>
      </c>
      <c r="B1406" t="s">
        <v>73</v>
      </c>
      <c r="C1406" t="s">
        <v>74</v>
      </c>
      <c r="D1406">
        <v>5</v>
      </c>
      <c r="E1406">
        <v>0.57783935999999991</v>
      </c>
      <c r="F1406">
        <f t="shared" si="21"/>
        <v>2.8891967999999997</v>
      </c>
    </row>
    <row r="1407" spans="1:6" x14ac:dyDescent="0.2">
      <c r="A1407">
        <v>830</v>
      </c>
      <c r="B1407" t="s">
        <v>75</v>
      </c>
      <c r="C1407" t="s">
        <v>76</v>
      </c>
      <c r="D1407">
        <v>1</v>
      </c>
      <c r="E1407">
        <v>0.1153846153846154</v>
      </c>
      <c r="F1407">
        <f t="shared" si="21"/>
        <v>0.1153846153846154</v>
      </c>
    </row>
    <row r="1408" spans="1:6" x14ac:dyDescent="0.2">
      <c r="A1408">
        <v>830</v>
      </c>
      <c r="B1408" t="s">
        <v>77</v>
      </c>
      <c r="C1408" t="s">
        <v>74</v>
      </c>
      <c r="D1408">
        <v>1</v>
      </c>
      <c r="E1408">
        <v>1.3943999999999999</v>
      </c>
      <c r="F1408">
        <f t="shared" si="21"/>
        <v>1.3943999999999999</v>
      </c>
    </row>
    <row r="1409" spans="1:6" x14ac:dyDescent="0.2">
      <c r="A1409">
        <v>830</v>
      </c>
      <c r="B1409" t="s">
        <v>78</v>
      </c>
      <c r="C1409" t="s">
        <v>76</v>
      </c>
      <c r="D1409">
        <v>1</v>
      </c>
      <c r="E1409">
        <v>0.71839487999999996</v>
      </c>
      <c r="F1409">
        <f t="shared" si="21"/>
        <v>0.71839487999999996</v>
      </c>
    </row>
    <row r="1410" spans="1:6" x14ac:dyDescent="0.2">
      <c r="A1410">
        <v>830</v>
      </c>
      <c r="B1410" t="s">
        <v>79</v>
      </c>
      <c r="C1410" t="s">
        <v>74</v>
      </c>
      <c r="D1410">
        <v>5</v>
      </c>
      <c r="E1410">
        <v>1.9307692307692308</v>
      </c>
      <c r="F1410">
        <f t="shared" si="21"/>
        <v>9.6538461538461533</v>
      </c>
    </row>
    <row r="1411" spans="1:6" x14ac:dyDescent="0.2">
      <c r="A1411">
        <v>830</v>
      </c>
      <c r="B1411" t="s">
        <v>80</v>
      </c>
      <c r="C1411" t="s">
        <v>74</v>
      </c>
      <c r="D1411">
        <v>5</v>
      </c>
      <c r="E1411">
        <v>0.9544999999999999</v>
      </c>
      <c r="F1411">
        <f t="shared" ref="F1411:F1463" si="22">D1411*E1411</f>
        <v>4.7724999999999991</v>
      </c>
    </row>
    <row r="1412" spans="1:6" x14ac:dyDescent="0.2">
      <c r="A1412">
        <v>830</v>
      </c>
      <c r="B1412" t="s">
        <v>81</v>
      </c>
      <c r="C1412" t="s">
        <v>74</v>
      </c>
      <c r="D1412">
        <v>1</v>
      </c>
      <c r="E1412">
        <v>0.76359999999999995</v>
      </c>
      <c r="F1412">
        <f t="shared" si="22"/>
        <v>0.76359999999999995</v>
      </c>
    </row>
    <row r="1413" spans="1:6" x14ac:dyDescent="0.2">
      <c r="A1413">
        <v>830</v>
      </c>
      <c r="B1413" t="s">
        <v>82</v>
      </c>
      <c r="C1413" t="s">
        <v>83</v>
      </c>
      <c r="D1413">
        <v>1</v>
      </c>
      <c r="E1413">
        <v>20.351599999999998</v>
      </c>
      <c r="F1413">
        <f t="shared" si="22"/>
        <v>20.351599999999998</v>
      </c>
    </row>
    <row r="1414" spans="1:6" x14ac:dyDescent="0.2">
      <c r="A1414">
        <v>830</v>
      </c>
      <c r="B1414" t="s">
        <v>84</v>
      </c>
      <c r="C1414" t="s">
        <v>85</v>
      </c>
      <c r="D1414">
        <v>4</v>
      </c>
      <c r="E1414">
        <v>102.33222719999999</v>
      </c>
      <c r="F1414">
        <f t="shared" si="22"/>
        <v>409.32890879999997</v>
      </c>
    </row>
    <row r="1415" spans="1:6" x14ac:dyDescent="0.2">
      <c r="A1415">
        <v>830</v>
      </c>
      <c r="B1415" t="s">
        <v>86</v>
      </c>
      <c r="C1415" t="s">
        <v>85</v>
      </c>
      <c r="D1415">
        <v>3</v>
      </c>
      <c r="E1415">
        <v>144.26462399999997</v>
      </c>
      <c r="F1415">
        <f t="shared" si="22"/>
        <v>432.79387199999991</v>
      </c>
    </row>
    <row r="1416" spans="1:6" x14ac:dyDescent="0.2">
      <c r="A1416">
        <v>830</v>
      </c>
      <c r="B1416" t="s">
        <v>87</v>
      </c>
      <c r="C1416" t="s">
        <v>88</v>
      </c>
      <c r="D1416">
        <v>1</v>
      </c>
      <c r="E1416">
        <v>162.02147135999999</v>
      </c>
      <c r="F1416">
        <f t="shared" si="22"/>
        <v>162.02147135999999</v>
      </c>
    </row>
    <row r="1417" spans="1:6" x14ac:dyDescent="0.2">
      <c r="A1417">
        <v>830</v>
      </c>
      <c r="B1417" t="s">
        <v>89</v>
      </c>
      <c r="C1417" t="s">
        <v>85</v>
      </c>
      <c r="D1417">
        <v>3</v>
      </c>
      <c r="E1417">
        <v>211.01287872</v>
      </c>
      <c r="F1417">
        <f t="shared" si="22"/>
        <v>633.03863616000001</v>
      </c>
    </row>
    <row r="1418" spans="1:6" x14ac:dyDescent="0.2">
      <c r="A1418">
        <v>830</v>
      </c>
      <c r="B1418" t="s">
        <v>90</v>
      </c>
      <c r="C1418" t="s">
        <v>88</v>
      </c>
      <c r="D1418">
        <v>2</v>
      </c>
      <c r="E1418">
        <v>238.16351999999995</v>
      </c>
      <c r="F1418">
        <f t="shared" si="22"/>
        <v>476.3270399999999</v>
      </c>
    </row>
    <row r="1419" spans="1:6" x14ac:dyDescent="0.2">
      <c r="A1419">
        <v>830</v>
      </c>
      <c r="B1419" t="s">
        <v>92</v>
      </c>
      <c r="C1419" t="s">
        <v>93</v>
      </c>
      <c r="D1419">
        <v>4</v>
      </c>
      <c r="E1419">
        <v>19.297499999999999</v>
      </c>
      <c r="F1419">
        <f t="shared" si="22"/>
        <v>77.19</v>
      </c>
    </row>
    <row r="1420" spans="1:6" x14ac:dyDescent="0.2">
      <c r="A1420">
        <v>830</v>
      </c>
      <c r="B1420" t="s">
        <v>94</v>
      </c>
      <c r="C1420" t="s">
        <v>95</v>
      </c>
      <c r="D1420">
        <v>1</v>
      </c>
      <c r="E1420">
        <v>644.46267648000003</v>
      </c>
      <c r="F1420">
        <f t="shared" si="22"/>
        <v>644.46267648000003</v>
      </c>
    </row>
    <row r="1421" spans="1:6" x14ac:dyDescent="0.2">
      <c r="A1421">
        <v>830</v>
      </c>
      <c r="B1421" t="s">
        <v>236</v>
      </c>
      <c r="C1421" t="s">
        <v>237</v>
      </c>
      <c r="D1421">
        <v>118</v>
      </c>
      <c r="E1421">
        <v>132.79999999999998</v>
      </c>
      <c r="F1421">
        <f t="shared" si="22"/>
        <v>15670.399999999998</v>
      </c>
    </row>
    <row r="1422" spans="1:6" x14ac:dyDescent="0.2">
      <c r="A1422">
        <v>830</v>
      </c>
      <c r="B1422" t="s">
        <v>238</v>
      </c>
      <c r="C1422" t="s">
        <v>239</v>
      </c>
      <c r="D1422">
        <v>1</v>
      </c>
      <c r="E1422">
        <v>340.93846153846152</v>
      </c>
      <c r="F1422">
        <f t="shared" si="22"/>
        <v>340.93846153846152</v>
      </c>
    </row>
    <row r="1423" spans="1:6" x14ac:dyDescent="0.2">
      <c r="A1423">
        <v>830</v>
      </c>
      <c r="B1423" t="s">
        <v>240</v>
      </c>
      <c r="C1423" t="s">
        <v>241</v>
      </c>
      <c r="D1423">
        <v>1</v>
      </c>
      <c r="E1423">
        <v>309.01538461538462</v>
      </c>
      <c r="F1423">
        <f t="shared" si="22"/>
        <v>309.01538461538462</v>
      </c>
    </row>
    <row r="1424" spans="1:6" x14ac:dyDescent="0.2">
      <c r="A1424">
        <v>830</v>
      </c>
      <c r="B1424" t="s">
        <v>242</v>
      </c>
      <c r="C1424" t="s">
        <v>243</v>
      </c>
      <c r="D1424">
        <v>3</v>
      </c>
      <c r="E1424">
        <v>427.76923076923072</v>
      </c>
      <c r="F1424">
        <f t="shared" si="22"/>
        <v>1283.3076923076922</v>
      </c>
    </row>
    <row r="1425" spans="1:6" x14ac:dyDescent="0.2">
      <c r="A1425">
        <v>830</v>
      </c>
      <c r="B1425" t="s">
        <v>244</v>
      </c>
      <c r="C1425" t="s">
        <v>184</v>
      </c>
      <c r="D1425">
        <v>1</v>
      </c>
      <c r="E1425">
        <v>18.643076923076922</v>
      </c>
      <c r="F1425">
        <f t="shared" si="22"/>
        <v>18.643076923076922</v>
      </c>
    </row>
    <row r="1426" spans="1:6" x14ac:dyDescent="0.2">
      <c r="A1426">
        <v>830</v>
      </c>
      <c r="B1426" t="s">
        <v>245</v>
      </c>
      <c r="C1426" t="s">
        <v>246</v>
      </c>
      <c r="D1426">
        <v>2</v>
      </c>
      <c r="E1426">
        <v>0.44819999999999999</v>
      </c>
      <c r="F1426">
        <f t="shared" si="22"/>
        <v>0.89639999999999997</v>
      </c>
    </row>
    <row r="1427" spans="1:6" x14ac:dyDescent="0.2">
      <c r="A1427">
        <v>830</v>
      </c>
      <c r="B1427" t="s">
        <v>75</v>
      </c>
      <c r="C1427" t="s">
        <v>247</v>
      </c>
      <c r="D1427">
        <v>3</v>
      </c>
      <c r="E1427">
        <v>0.1153846153846154</v>
      </c>
      <c r="F1427">
        <f t="shared" si="22"/>
        <v>0.3461538461538462</v>
      </c>
    </row>
    <row r="1428" spans="1:6" x14ac:dyDescent="0.2">
      <c r="A1428">
        <v>830</v>
      </c>
      <c r="B1428" t="s">
        <v>197</v>
      </c>
      <c r="C1428" t="s">
        <v>117</v>
      </c>
      <c r="D1428">
        <v>6</v>
      </c>
      <c r="E1428">
        <v>7.4699999999999989E-2</v>
      </c>
      <c r="F1428">
        <f t="shared" si="22"/>
        <v>0.44819999999999993</v>
      </c>
    </row>
    <row r="1429" spans="1:6" x14ac:dyDescent="0.2">
      <c r="A1429">
        <v>830</v>
      </c>
      <c r="B1429" t="s">
        <v>248</v>
      </c>
      <c r="C1429" t="s">
        <v>249</v>
      </c>
      <c r="D1429">
        <v>6</v>
      </c>
      <c r="E1429">
        <v>31064.984615384612</v>
      </c>
      <c r="F1429">
        <f t="shared" si="22"/>
        <v>186389.90769230766</v>
      </c>
    </row>
    <row r="1430" spans="1:6" x14ac:dyDescent="0.2">
      <c r="A1430">
        <v>830</v>
      </c>
      <c r="B1430" t="s">
        <v>250</v>
      </c>
      <c r="C1430" t="s">
        <v>251</v>
      </c>
      <c r="D1430">
        <v>1</v>
      </c>
      <c r="E1430">
        <v>564.54124607999995</v>
      </c>
      <c r="F1430">
        <f t="shared" si="22"/>
        <v>564.54124607999995</v>
      </c>
    </row>
    <row r="1431" spans="1:6" x14ac:dyDescent="0.2">
      <c r="A1431">
        <v>830</v>
      </c>
      <c r="B1431" t="s">
        <v>146</v>
      </c>
      <c r="C1431" t="s">
        <v>147</v>
      </c>
      <c r="D1431">
        <v>3</v>
      </c>
      <c r="E1431">
        <v>8021.5764999999992</v>
      </c>
      <c r="F1431">
        <f t="shared" si="22"/>
        <v>24064.729499999998</v>
      </c>
    </row>
    <row r="1432" spans="1:6" x14ac:dyDescent="0.2">
      <c r="A1432">
        <v>830</v>
      </c>
      <c r="B1432" t="s">
        <v>215</v>
      </c>
      <c r="C1432" t="s">
        <v>208</v>
      </c>
      <c r="D1432">
        <v>1</v>
      </c>
      <c r="E1432">
        <v>1.42898112</v>
      </c>
      <c r="F1432">
        <f t="shared" si="22"/>
        <v>1.42898112</v>
      </c>
    </row>
    <row r="1433" spans="1:6" x14ac:dyDescent="0.2">
      <c r="A1433">
        <v>830</v>
      </c>
      <c r="B1433" t="s">
        <v>200</v>
      </c>
      <c r="C1433" t="s">
        <v>199</v>
      </c>
      <c r="D1433">
        <v>1</v>
      </c>
      <c r="E1433">
        <v>0.66373439999999995</v>
      </c>
      <c r="F1433">
        <f t="shared" si="22"/>
        <v>0.66373439999999995</v>
      </c>
    </row>
    <row r="1434" spans="1:6" x14ac:dyDescent="0.2">
      <c r="A1434">
        <v>830</v>
      </c>
      <c r="B1434" t="s">
        <v>216</v>
      </c>
      <c r="C1434" t="s">
        <v>199</v>
      </c>
      <c r="D1434">
        <v>3</v>
      </c>
      <c r="E1434">
        <v>0.66400000000000003</v>
      </c>
      <c r="F1434">
        <f t="shared" si="22"/>
        <v>1.992</v>
      </c>
    </row>
    <row r="1435" spans="1:6" x14ac:dyDescent="0.2">
      <c r="A1435">
        <v>830</v>
      </c>
      <c r="B1435" t="s">
        <v>217</v>
      </c>
      <c r="C1435" t="s">
        <v>199</v>
      </c>
      <c r="D1435">
        <v>2</v>
      </c>
      <c r="E1435">
        <v>4.2164000000000001</v>
      </c>
      <c r="F1435">
        <f t="shared" si="22"/>
        <v>8.4328000000000003</v>
      </c>
    </row>
    <row r="1436" spans="1:6" x14ac:dyDescent="0.2">
      <c r="A1436">
        <v>830</v>
      </c>
      <c r="B1436" t="s">
        <v>218</v>
      </c>
      <c r="C1436" t="s">
        <v>208</v>
      </c>
      <c r="D1436">
        <v>1</v>
      </c>
      <c r="E1436">
        <v>7.3454999999999995</v>
      </c>
      <c r="F1436">
        <f t="shared" si="22"/>
        <v>7.3454999999999995</v>
      </c>
    </row>
    <row r="1437" spans="1:6" x14ac:dyDescent="0.2">
      <c r="A1437">
        <v>830</v>
      </c>
      <c r="B1437" t="s">
        <v>219</v>
      </c>
      <c r="C1437" t="s">
        <v>199</v>
      </c>
      <c r="D1437">
        <v>5</v>
      </c>
      <c r="E1437">
        <v>1.4774</v>
      </c>
      <c r="F1437">
        <f t="shared" si="22"/>
        <v>7.3870000000000005</v>
      </c>
    </row>
    <row r="1438" spans="1:6" x14ac:dyDescent="0.2">
      <c r="A1438">
        <v>830</v>
      </c>
      <c r="B1438" t="s">
        <v>220</v>
      </c>
      <c r="C1438" t="s">
        <v>208</v>
      </c>
      <c r="D1438">
        <v>1</v>
      </c>
      <c r="E1438">
        <v>3.7267000000000001</v>
      </c>
      <c r="F1438">
        <f t="shared" si="22"/>
        <v>3.7267000000000001</v>
      </c>
    </row>
    <row r="1439" spans="1:6" x14ac:dyDescent="0.2">
      <c r="A1439">
        <v>830</v>
      </c>
      <c r="B1439" t="s">
        <v>221</v>
      </c>
      <c r="C1439" t="s">
        <v>199</v>
      </c>
      <c r="D1439">
        <v>1</v>
      </c>
      <c r="E1439">
        <v>0.97939999999999994</v>
      </c>
      <c r="F1439">
        <f t="shared" si="22"/>
        <v>0.97939999999999994</v>
      </c>
    </row>
    <row r="1440" spans="1:6" x14ac:dyDescent="0.2">
      <c r="A1440">
        <v>830</v>
      </c>
      <c r="B1440" t="s">
        <v>222</v>
      </c>
      <c r="C1440" t="s">
        <v>208</v>
      </c>
      <c r="D1440">
        <v>1</v>
      </c>
      <c r="E1440">
        <v>6.0672999999999995</v>
      </c>
      <c r="F1440">
        <f t="shared" si="22"/>
        <v>6.0672999999999995</v>
      </c>
    </row>
    <row r="1441" spans="1:6" x14ac:dyDescent="0.2">
      <c r="A1441">
        <v>830</v>
      </c>
      <c r="B1441" t="s">
        <v>223</v>
      </c>
      <c r="C1441" t="s">
        <v>224</v>
      </c>
      <c r="D1441">
        <v>5</v>
      </c>
      <c r="E1441">
        <v>19.4635</v>
      </c>
      <c r="F1441">
        <f t="shared" si="22"/>
        <v>97.317499999999995</v>
      </c>
    </row>
    <row r="1442" spans="1:6" x14ac:dyDescent="0.2">
      <c r="A1442">
        <v>830</v>
      </c>
      <c r="B1442" t="s">
        <v>225</v>
      </c>
      <c r="C1442" t="s">
        <v>226</v>
      </c>
      <c r="D1442">
        <v>5</v>
      </c>
      <c r="E1442">
        <v>10.221509759999998</v>
      </c>
      <c r="F1442">
        <f t="shared" si="22"/>
        <v>51.107548799999989</v>
      </c>
    </row>
    <row r="1443" spans="1:6" x14ac:dyDescent="0.2">
      <c r="A1443">
        <v>830</v>
      </c>
      <c r="B1443" t="s">
        <v>227</v>
      </c>
      <c r="C1443" t="s">
        <v>208</v>
      </c>
      <c r="D1443">
        <v>1</v>
      </c>
      <c r="E1443">
        <v>3.6307692307692312</v>
      </c>
      <c r="F1443">
        <f t="shared" si="22"/>
        <v>3.6307692307692312</v>
      </c>
    </row>
    <row r="1444" spans="1:6" x14ac:dyDescent="0.2">
      <c r="A1444">
        <v>830</v>
      </c>
      <c r="B1444" t="s">
        <v>228</v>
      </c>
      <c r="C1444" t="s">
        <v>229</v>
      </c>
      <c r="D1444">
        <v>1</v>
      </c>
      <c r="E1444">
        <v>306.94982975999994</v>
      </c>
      <c r="F1444">
        <f t="shared" si="22"/>
        <v>306.94982975999994</v>
      </c>
    </row>
    <row r="1445" spans="1:6" x14ac:dyDescent="0.2">
      <c r="A1445">
        <v>830</v>
      </c>
      <c r="B1445" t="s">
        <v>116</v>
      </c>
      <c r="C1445" t="s">
        <v>117</v>
      </c>
      <c r="D1445">
        <v>4</v>
      </c>
      <c r="E1445">
        <v>0.25729999999999997</v>
      </c>
      <c r="F1445">
        <f t="shared" si="22"/>
        <v>1.0291999999999999</v>
      </c>
    </row>
    <row r="1446" spans="1:6" x14ac:dyDescent="0.2">
      <c r="A1446">
        <v>830</v>
      </c>
      <c r="B1446" t="s">
        <v>78</v>
      </c>
      <c r="C1446" t="s">
        <v>76</v>
      </c>
      <c r="D1446">
        <v>3</v>
      </c>
      <c r="E1446">
        <v>0.71839487999999996</v>
      </c>
      <c r="F1446">
        <f t="shared" si="22"/>
        <v>2.1551846399999999</v>
      </c>
    </row>
    <row r="1447" spans="1:6" x14ac:dyDescent="0.2">
      <c r="A1447">
        <v>830</v>
      </c>
      <c r="B1447" t="s">
        <v>231</v>
      </c>
      <c r="C1447" t="s">
        <v>208</v>
      </c>
      <c r="D1447">
        <v>1</v>
      </c>
      <c r="E1447">
        <v>2.0832999999999999</v>
      </c>
      <c r="F1447">
        <f t="shared" si="22"/>
        <v>2.0832999999999999</v>
      </c>
    </row>
    <row r="1448" spans="1:6" x14ac:dyDescent="0.2">
      <c r="A1448">
        <v>830</v>
      </c>
      <c r="B1448" t="s">
        <v>232</v>
      </c>
      <c r="C1448" t="s">
        <v>119</v>
      </c>
      <c r="D1448">
        <v>3</v>
      </c>
      <c r="E1448">
        <v>1.5935999999999999</v>
      </c>
      <c r="F1448">
        <f t="shared" si="22"/>
        <v>4.7807999999999993</v>
      </c>
    </row>
    <row r="1449" spans="1:6" x14ac:dyDescent="0.2">
      <c r="A1449">
        <v>830</v>
      </c>
      <c r="B1449" t="s">
        <v>233</v>
      </c>
      <c r="C1449" t="s">
        <v>234</v>
      </c>
      <c r="D1449">
        <v>2</v>
      </c>
      <c r="E1449">
        <v>3989.2954</v>
      </c>
      <c r="F1449">
        <f t="shared" si="22"/>
        <v>7978.5907999999999</v>
      </c>
    </row>
    <row r="1450" spans="1:6" x14ac:dyDescent="0.2">
      <c r="A1450">
        <v>830</v>
      </c>
      <c r="B1450" t="s">
        <v>142</v>
      </c>
      <c r="C1450" t="s">
        <v>143</v>
      </c>
      <c r="D1450">
        <v>4</v>
      </c>
      <c r="E1450">
        <v>18141.642</v>
      </c>
      <c r="F1450">
        <f t="shared" si="22"/>
        <v>72566.567999999999</v>
      </c>
    </row>
    <row r="1451" spans="1:6" x14ac:dyDescent="0.2">
      <c r="A1451">
        <v>830</v>
      </c>
      <c r="B1451" t="s">
        <v>144</v>
      </c>
      <c r="C1451" t="s">
        <v>145</v>
      </c>
      <c r="D1451">
        <v>1</v>
      </c>
      <c r="E1451">
        <v>7346.6769230769241</v>
      </c>
      <c r="F1451">
        <f t="shared" si="22"/>
        <v>7346.6769230769241</v>
      </c>
    </row>
    <row r="1452" spans="1:6" x14ac:dyDescent="0.2">
      <c r="A1452">
        <v>830</v>
      </c>
      <c r="B1452" t="s">
        <v>197</v>
      </c>
      <c r="C1452" t="s">
        <v>117</v>
      </c>
      <c r="D1452">
        <v>118</v>
      </c>
      <c r="E1452">
        <v>7.4699999999999989E-2</v>
      </c>
      <c r="F1452">
        <f t="shared" si="22"/>
        <v>8.8145999999999987</v>
      </c>
    </row>
    <row r="1453" spans="1:6" x14ac:dyDescent="0.2">
      <c r="A1453">
        <v>830</v>
      </c>
      <c r="B1453" t="s">
        <v>198</v>
      </c>
      <c r="C1453" t="s">
        <v>199</v>
      </c>
      <c r="D1453">
        <v>1</v>
      </c>
      <c r="E1453">
        <v>0.66373439999999995</v>
      </c>
      <c r="F1453">
        <f t="shared" si="22"/>
        <v>0.66373439999999995</v>
      </c>
    </row>
    <row r="1454" spans="1:6" x14ac:dyDescent="0.2">
      <c r="A1454">
        <v>830</v>
      </c>
      <c r="B1454" t="s">
        <v>200</v>
      </c>
      <c r="C1454" t="s">
        <v>199</v>
      </c>
      <c r="D1454">
        <v>1</v>
      </c>
      <c r="E1454">
        <v>0.66373439999999995</v>
      </c>
      <c r="F1454">
        <f t="shared" si="22"/>
        <v>0.66373439999999995</v>
      </c>
    </row>
    <row r="1455" spans="1:6" x14ac:dyDescent="0.2">
      <c r="A1455">
        <v>830</v>
      </c>
      <c r="B1455" t="s">
        <v>201</v>
      </c>
      <c r="C1455" t="s">
        <v>76</v>
      </c>
      <c r="D1455">
        <v>3</v>
      </c>
      <c r="E1455">
        <v>0.22645055999999994</v>
      </c>
      <c r="F1455">
        <f t="shared" si="22"/>
        <v>0.67935167999999979</v>
      </c>
    </row>
    <row r="1456" spans="1:6" x14ac:dyDescent="0.2">
      <c r="A1456">
        <v>830</v>
      </c>
      <c r="B1456" t="s">
        <v>202</v>
      </c>
      <c r="C1456" t="s">
        <v>203</v>
      </c>
      <c r="D1456">
        <v>1</v>
      </c>
      <c r="E1456">
        <v>12.45</v>
      </c>
      <c r="F1456">
        <f t="shared" si="22"/>
        <v>12.45</v>
      </c>
    </row>
    <row r="1457" spans="1:6" x14ac:dyDescent="0.2">
      <c r="A1457">
        <v>830</v>
      </c>
      <c r="B1457" t="s">
        <v>204</v>
      </c>
      <c r="C1457" t="s">
        <v>205</v>
      </c>
      <c r="D1457">
        <v>2</v>
      </c>
      <c r="E1457">
        <v>103.72216512</v>
      </c>
      <c r="F1457">
        <f t="shared" si="22"/>
        <v>207.44433024</v>
      </c>
    </row>
    <row r="1458" spans="1:6" x14ac:dyDescent="0.2">
      <c r="A1458">
        <v>830</v>
      </c>
      <c r="B1458" t="s">
        <v>116</v>
      </c>
      <c r="C1458" t="s">
        <v>117</v>
      </c>
      <c r="D1458">
        <v>3</v>
      </c>
      <c r="E1458">
        <v>0.25729999999999997</v>
      </c>
      <c r="F1458">
        <f t="shared" si="22"/>
        <v>0.77189999999999992</v>
      </c>
    </row>
    <row r="1459" spans="1:6" x14ac:dyDescent="0.2">
      <c r="A1459">
        <v>830</v>
      </c>
      <c r="B1459" t="s">
        <v>78</v>
      </c>
      <c r="C1459" t="s">
        <v>76</v>
      </c>
      <c r="D1459">
        <v>6</v>
      </c>
      <c r="E1459">
        <v>0.71839487999999996</v>
      </c>
      <c r="F1459">
        <f t="shared" si="22"/>
        <v>4.3103692799999997</v>
      </c>
    </row>
    <row r="1460" spans="1:6" x14ac:dyDescent="0.2">
      <c r="A1460">
        <v>830</v>
      </c>
      <c r="B1460" t="s">
        <v>207</v>
      </c>
      <c r="C1460" t="s">
        <v>208</v>
      </c>
      <c r="D1460">
        <v>6</v>
      </c>
      <c r="E1460">
        <v>4.6314000000000002</v>
      </c>
      <c r="F1460">
        <f t="shared" si="22"/>
        <v>27.788400000000003</v>
      </c>
    </row>
    <row r="1461" spans="1:6" x14ac:dyDescent="0.2">
      <c r="A1461">
        <v>830</v>
      </c>
      <c r="B1461" t="s">
        <v>209</v>
      </c>
      <c r="C1461" t="s">
        <v>210</v>
      </c>
      <c r="D1461">
        <v>1</v>
      </c>
      <c r="E1461">
        <v>39.550761599999994</v>
      </c>
      <c r="F1461">
        <f t="shared" si="22"/>
        <v>39.550761599999994</v>
      </c>
    </row>
    <row r="1462" spans="1:6" x14ac:dyDescent="0.2">
      <c r="A1462">
        <v>830</v>
      </c>
      <c r="B1462" t="s">
        <v>211</v>
      </c>
      <c r="C1462" t="s">
        <v>203</v>
      </c>
      <c r="D1462">
        <v>3</v>
      </c>
      <c r="E1462">
        <v>25.754899999999999</v>
      </c>
      <c r="F1462">
        <f t="shared" si="22"/>
        <v>77.264700000000005</v>
      </c>
    </row>
    <row r="1463" spans="1:6" x14ac:dyDescent="0.2">
      <c r="A1463">
        <v>830</v>
      </c>
      <c r="B1463" t="s">
        <v>212</v>
      </c>
      <c r="C1463" t="s">
        <v>213</v>
      </c>
      <c r="D1463">
        <v>1</v>
      </c>
      <c r="E1463">
        <v>272.92059999999998</v>
      </c>
      <c r="F1463">
        <f t="shared" si="22"/>
        <v>272.92059999999998</v>
      </c>
    </row>
    <row r="1464" spans="1:6" x14ac:dyDescent="0.2">
      <c r="A1464">
        <v>830</v>
      </c>
      <c r="B1464" t="s">
        <v>135</v>
      </c>
      <c r="C1464" t="s">
        <v>136</v>
      </c>
      <c r="D1464">
        <v>1</v>
      </c>
      <c r="E1464">
        <v>395.04690624</v>
      </c>
      <c r="F1464">
        <f t="shared" ref="F1464:F1508" si="23">D1464*E1464</f>
        <v>395.04690624</v>
      </c>
    </row>
    <row r="1465" spans="1:6" x14ac:dyDescent="0.2">
      <c r="A1465">
        <v>830</v>
      </c>
      <c r="B1465" t="s">
        <v>137</v>
      </c>
      <c r="C1465" t="s">
        <v>138</v>
      </c>
      <c r="D1465">
        <v>3</v>
      </c>
      <c r="E1465">
        <v>252.98431871999998</v>
      </c>
      <c r="F1465">
        <f t="shared" si="23"/>
        <v>758.95295615999999</v>
      </c>
    </row>
    <row r="1466" spans="1:6" x14ac:dyDescent="0.2">
      <c r="A1466">
        <v>830</v>
      </c>
      <c r="B1466" t="s">
        <v>139</v>
      </c>
      <c r="C1466" t="s">
        <v>140</v>
      </c>
      <c r="D1466">
        <v>2</v>
      </c>
      <c r="E1466">
        <v>2054.4575</v>
      </c>
      <c r="F1466">
        <f t="shared" si="23"/>
        <v>4108.915</v>
      </c>
    </row>
    <row r="1467" spans="1:6" x14ac:dyDescent="0.2">
      <c r="A1467">
        <v>830</v>
      </c>
      <c r="B1467" t="s">
        <v>116</v>
      </c>
      <c r="C1467" t="s">
        <v>117</v>
      </c>
      <c r="D1467">
        <v>1</v>
      </c>
      <c r="E1467">
        <v>0.25729999999999997</v>
      </c>
      <c r="F1467">
        <f t="shared" si="23"/>
        <v>0.25729999999999997</v>
      </c>
    </row>
    <row r="1468" spans="1:6" x14ac:dyDescent="0.2">
      <c r="A1468">
        <v>830</v>
      </c>
      <c r="B1468" t="s">
        <v>118</v>
      </c>
      <c r="C1468" t="s">
        <v>119</v>
      </c>
      <c r="D1468">
        <v>5</v>
      </c>
      <c r="E1468">
        <v>0.83</v>
      </c>
      <c r="F1468">
        <f t="shared" si="23"/>
        <v>4.1499999999999995</v>
      </c>
    </row>
    <row r="1469" spans="1:6" x14ac:dyDescent="0.2">
      <c r="A1469">
        <v>830</v>
      </c>
      <c r="B1469" t="s">
        <v>120</v>
      </c>
      <c r="C1469" t="s">
        <v>117</v>
      </c>
      <c r="D1469">
        <v>1</v>
      </c>
      <c r="E1469">
        <v>1.5603999999999998</v>
      </c>
      <c r="F1469">
        <f t="shared" si="23"/>
        <v>1.5603999999999998</v>
      </c>
    </row>
    <row r="1470" spans="1:6" x14ac:dyDescent="0.2">
      <c r="A1470">
        <v>830</v>
      </c>
      <c r="B1470" t="s">
        <v>121</v>
      </c>
      <c r="C1470" t="s">
        <v>117</v>
      </c>
      <c r="D1470">
        <v>1</v>
      </c>
      <c r="E1470">
        <v>270.83729999999997</v>
      </c>
      <c r="F1470">
        <f t="shared" si="23"/>
        <v>270.83729999999997</v>
      </c>
    </row>
    <row r="1471" spans="1:6" x14ac:dyDescent="0.2">
      <c r="A1471">
        <v>830</v>
      </c>
      <c r="B1471" t="s">
        <v>122</v>
      </c>
      <c r="C1471" t="s">
        <v>76</v>
      </c>
      <c r="D1471">
        <v>1</v>
      </c>
      <c r="E1471">
        <v>14.915099999999999</v>
      </c>
      <c r="F1471">
        <f t="shared" si="23"/>
        <v>14.915099999999999</v>
      </c>
    </row>
    <row r="1472" spans="1:6" x14ac:dyDescent="0.2">
      <c r="A1472">
        <v>830</v>
      </c>
      <c r="B1472" t="s">
        <v>123</v>
      </c>
      <c r="C1472" t="s">
        <v>119</v>
      </c>
      <c r="D1472">
        <v>5</v>
      </c>
      <c r="E1472">
        <v>122.52459999999999</v>
      </c>
      <c r="F1472">
        <f t="shared" si="23"/>
        <v>612.62299999999993</v>
      </c>
    </row>
    <row r="1473" spans="1:6" x14ac:dyDescent="0.2">
      <c r="A1473">
        <v>830</v>
      </c>
      <c r="B1473" t="s">
        <v>124</v>
      </c>
      <c r="C1473" t="s">
        <v>119</v>
      </c>
      <c r="D1473">
        <v>5</v>
      </c>
      <c r="E1473">
        <v>65.877099999999999</v>
      </c>
      <c r="F1473">
        <f t="shared" si="23"/>
        <v>329.38549999999998</v>
      </c>
    </row>
    <row r="1474" spans="1:6" x14ac:dyDescent="0.2">
      <c r="A1474">
        <v>830</v>
      </c>
      <c r="B1474" t="s">
        <v>125</v>
      </c>
      <c r="C1474" t="s">
        <v>117</v>
      </c>
      <c r="D1474">
        <v>1</v>
      </c>
      <c r="E1474">
        <v>45.957099999999997</v>
      </c>
      <c r="F1474">
        <f t="shared" si="23"/>
        <v>45.957099999999997</v>
      </c>
    </row>
    <row r="1475" spans="1:6" x14ac:dyDescent="0.2">
      <c r="A1475">
        <v>830</v>
      </c>
      <c r="B1475" t="s">
        <v>126</v>
      </c>
      <c r="C1475" t="s">
        <v>127</v>
      </c>
      <c r="D1475">
        <v>1</v>
      </c>
      <c r="E1475">
        <v>411.49739999999997</v>
      </c>
      <c r="F1475">
        <f t="shared" si="23"/>
        <v>411.49739999999997</v>
      </c>
    </row>
    <row r="1476" spans="1:6" x14ac:dyDescent="0.2">
      <c r="A1476">
        <v>830</v>
      </c>
      <c r="B1476" t="s">
        <v>129</v>
      </c>
      <c r="C1476" t="s">
        <v>130</v>
      </c>
      <c r="D1476">
        <v>4</v>
      </c>
      <c r="E1476">
        <v>6724.2781999999997</v>
      </c>
      <c r="F1476">
        <f t="shared" si="23"/>
        <v>26897.112799999999</v>
      </c>
    </row>
    <row r="1477" spans="1:6" x14ac:dyDescent="0.2">
      <c r="A1477">
        <v>830</v>
      </c>
      <c r="B1477" t="s">
        <v>132</v>
      </c>
      <c r="C1477" t="s">
        <v>133</v>
      </c>
      <c r="D1477">
        <v>3</v>
      </c>
      <c r="E1477">
        <v>1168.0257999999999</v>
      </c>
      <c r="F1477">
        <f t="shared" si="23"/>
        <v>3504.0773999999997</v>
      </c>
    </row>
    <row r="1478" spans="1:6" x14ac:dyDescent="0.2">
      <c r="A1478">
        <v>830</v>
      </c>
      <c r="B1478" t="s">
        <v>110</v>
      </c>
      <c r="C1478" t="s">
        <v>111</v>
      </c>
      <c r="D1478">
        <v>1</v>
      </c>
      <c r="E1478">
        <v>119.83539999999999</v>
      </c>
      <c r="F1478">
        <f t="shared" si="23"/>
        <v>119.83539999999999</v>
      </c>
    </row>
    <row r="1479" spans="1:6" x14ac:dyDescent="0.2">
      <c r="A1479">
        <v>830</v>
      </c>
      <c r="B1479" t="s">
        <v>112</v>
      </c>
      <c r="C1479" t="s">
        <v>113</v>
      </c>
      <c r="D1479">
        <v>3</v>
      </c>
      <c r="E1479">
        <v>97.646153846153851</v>
      </c>
      <c r="F1479">
        <f t="shared" si="23"/>
        <v>292.93846153846152</v>
      </c>
    </row>
    <row r="1480" spans="1:6" x14ac:dyDescent="0.2">
      <c r="A1480">
        <v>830</v>
      </c>
      <c r="B1480" t="s">
        <v>110</v>
      </c>
      <c r="C1480" t="s">
        <v>111</v>
      </c>
      <c r="D1480">
        <v>2</v>
      </c>
      <c r="E1480">
        <v>119.83539999999999</v>
      </c>
      <c r="F1480">
        <f t="shared" si="23"/>
        <v>239.67079999999999</v>
      </c>
    </row>
    <row r="1481" spans="1:6" x14ac:dyDescent="0.2">
      <c r="A1481">
        <v>830</v>
      </c>
      <c r="B1481" t="s">
        <v>112</v>
      </c>
      <c r="C1481" t="s">
        <v>113</v>
      </c>
      <c r="D1481">
        <v>4</v>
      </c>
      <c r="E1481">
        <v>97.646153846153851</v>
      </c>
      <c r="F1481">
        <f t="shared" si="23"/>
        <v>390.5846153846154</v>
      </c>
    </row>
    <row r="1482" spans="1:6" x14ac:dyDescent="0.2">
      <c r="A1482">
        <v>830</v>
      </c>
      <c r="B1482" t="s">
        <v>97</v>
      </c>
      <c r="C1482" t="s">
        <v>98</v>
      </c>
      <c r="D1482">
        <v>1</v>
      </c>
      <c r="E1482">
        <v>189.87909999999999</v>
      </c>
      <c r="F1482">
        <f t="shared" si="23"/>
        <v>189.87909999999999</v>
      </c>
    </row>
    <row r="1483" spans="1:6" x14ac:dyDescent="0.2">
      <c r="A1483">
        <v>830</v>
      </c>
      <c r="B1483" t="s">
        <v>99</v>
      </c>
      <c r="C1483" t="s">
        <v>100</v>
      </c>
      <c r="D1483">
        <v>118</v>
      </c>
      <c r="E1483">
        <v>1287.1384615384613</v>
      </c>
      <c r="F1483">
        <f t="shared" si="23"/>
        <v>151882.33846153843</v>
      </c>
    </row>
    <row r="1484" spans="1:6" x14ac:dyDescent="0.2">
      <c r="A1484">
        <v>830</v>
      </c>
      <c r="B1484" t="s">
        <v>101</v>
      </c>
      <c r="C1484" t="s">
        <v>102</v>
      </c>
      <c r="D1484">
        <v>1</v>
      </c>
      <c r="E1484">
        <v>1363.0371551999999</v>
      </c>
      <c r="F1484">
        <f t="shared" si="23"/>
        <v>1363.0371551999999</v>
      </c>
    </row>
    <row r="1485" spans="1:6" x14ac:dyDescent="0.2">
      <c r="A1485">
        <v>830</v>
      </c>
      <c r="B1485" t="s">
        <v>103</v>
      </c>
      <c r="C1485" t="s">
        <v>104</v>
      </c>
      <c r="D1485">
        <v>1</v>
      </c>
      <c r="E1485">
        <v>423.58219999999994</v>
      </c>
      <c r="F1485">
        <f t="shared" si="23"/>
        <v>423.58219999999994</v>
      </c>
    </row>
    <row r="1486" spans="1:6" x14ac:dyDescent="0.2">
      <c r="A1486">
        <v>830</v>
      </c>
      <c r="B1486" t="s">
        <v>105</v>
      </c>
      <c r="C1486" t="s">
        <v>106</v>
      </c>
      <c r="D1486">
        <v>3</v>
      </c>
      <c r="E1486">
        <v>36.470199999999998</v>
      </c>
      <c r="F1486">
        <f t="shared" si="23"/>
        <v>109.41059999999999</v>
      </c>
    </row>
    <row r="1487" spans="1:6" x14ac:dyDescent="0.2">
      <c r="A1487">
        <v>830</v>
      </c>
      <c r="B1487" t="s">
        <v>107</v>
      </c>
      <c r="C1487" t="s">
        <v>108</v>
      </c>
      <c r="D1487">
        <v>1</v>
      </c>
      <c r="E1487">
        <v>61.492307692307698</v>
      </c>
      <c r="F1487">
        <f t="shared" si="23"/>
        <v>61.492307692307698</v>
      </c>
    </row>
    <row r="1488" spans="1:6" x14ac:dyDescent="0.2">
      <c r="A1488">
        <v>830</v>
      </c>
      <c r="B1488" t="s">
        <v>62</v>
      </c>
      <c r="C1488" t="s">
        <v>323</v>
      </c>
      <c r="D1488">
        <v>2</v>
      </c>
      <c r="E1488">
        <v>0.34859999999999997</v>
      </c>
      <c r="F1488">
        <f t="shared" si="23"/>
        <v>0.69719999999999993</v>
      </c>
    </row>
    <row r="1489" spans="1:6" x14ac:dyDescent="0.2">
      <c r="A1489">
        <v>830</v>
      </c>
      <c r="B1489" t="s">
        <v>324</v>
      </c>
      <c r="C1489" t="s">
        <v>273</v>
      </c>
      <c r="D1489">
        <v>3</v>
      </c>
      <c r="E1489">
        <v>0.9544999999999999</v>
      </c>
      <c r="F1489">
        <f t="shared" si="23"/>
        <v>2.8634999999999997</v>
      </c>
    </row>
    <row r="1490" spans="1:6" x14ac:dyDescent="0.2">
      <c r="A1490">
        <v>830</v>
      </c>
      <c r="B1490" t="s">
        <v>325</v>
      </c>
      <c r="C1490" t="s">
        <v>273</v>
      </c>
      <c r="D1490">
        <v>6</v>
      </c>
      <c r="E1490">
        <v>3.3692307692307697</v>
      </c>
      <c r="F1490">
        <f t="shared" si="23"/>
        <v>20.215384615384618</v>
      </c>
    </row>
    <row r="1491" spans="1:6" x14ac:dyDescent="0.2">
      <c r="A1491">
        <v>830</v>
      </c>
      <c r="B1491" t="s">
        <v>154</v>
      </c>
      <c r="C1491" t="s">
        <v>278</v>
      </c>
      <c r="D1491">
        <v>6</v>
      </c>
      <c r="E1491">
        <v>4.3657999999999992</v>
      </c>
      <c r="F1491">
        <f t="shared" si="23"/>
        <v>26.194799999999994</v>
      </c>
    </row>
    <row r="1492" spans="1:6" x14ac:dyDescent="0.2">
      <c r="A1492">
        <v>830</v>
      </c>
      <c r="B1492" t="s">
        <v>290</v>
      </c>
      <c r="C1492" t="s">
        <v>278</v>
      </c>
      <c r="D1492">
        <v>1</v>
      </c>
      <c r="E1492">
        <v>43.751809919999999</v>
      </c>
      <c r="F1492">
        <f t="shared" si="23"/>
        <v>43.751809919999999</v>
      </c>
    </row>
    <row r="1493" spans="1:6" x14ac:dyDescent="0.2">
      <c r="A1493">
        <v>830</v>
      </c>
      <c r="B1493" t="s">
        <v>288</v>
      </c>
      <c r="C1493" t="s">
        <v>289</v>
      </c>
      <c r="D1493">
        <v>3</v>
      </c>
      <c r="E1493">
        <v>7.3401215999999998</v>
      </c>
      <c r="F1493">
        <f t="shared" si="23"/>
        <v>22.020364799999999</v>
      </c>
    </row>
    <row r="1494" spans="1:6" x14ac:dyDescent="0.2">
      <c r="A1494">
        <v>830</v>
      </c>
      <c r="B1494" t="s">
        <v>287</v>
      </c>
      <c r="C1494" t="s">
        <v>273</v>
      </c>
      <c r="D1494">
        <v>1</v>
      </c>
      <c r="E1494">
        <v>100.66898687999999</v>
      </c>
      <c r="F1494">
        <f t="shared" si="23"/>
        <v>100.66898687999999</v>
      </c>
    </row>
    <row r="1495" spans="1:6" x14ac:dyDescent="0.2">
      <c r="A1495">
        <v>830</v>
      </c>
      <c r="B1495" t="s">
        <v>285</v>
      </c>
      <c r="C1495" t="s">
        <v>286</v>
      </c>
      <c r="D1495">
        <v>1</v>
      </c>
      <c r="E1495">
        <v>58.189985279999981</v>
      </c>
      <c r="F1495">
        <f t="shared" si="23"/>
        <v>58.189985279999981</v>
      </c>
    </row>
    <row r="1496" spans="1:6" x14ac:dyDescent="0.2">
      <c r="A1496">
        <v>830</v>
      </c>
      <c r="B1496" t="s">
        <v>291</v>
      </c>
      <c r="C1496" t="s">
        <v>278</v>
      </c>
      <c r="D1496">
        <v>3</v>
      </c>
      <c r="E1496">
        <v>24.136399999999998</v>
      </c>
      <c r="F1496">
        <f t="shared" si="23"/>
        <v>72.409199999999998</v>
      </c>
    </row>
    <row r="1497" spans="1:6" x14ac:dyDescent="0.2">
      <c r="A1497">
        <v>830</v>
      </c>
      <c r="B1497" t="s">
        <v>277</v>
      </c>
      <c r="C1497" t="s">
        <v>278</v>
      </c>
      <c r="D1497">
        <v>2</v>
      </c>
      <c r="E1497">
        <v>41.026594559999999</v>
      </c>
      <c r="F1497">
        <f t="shared" si="23"/>
        <v>82.053189119999999</v>
      </c>
    </row>
    <row r="1498" spans="1:6" x14ac:dyDescent="0.2">
      <c r="A1498">
        <v>830</v>
      </c>
      <c r="B1498" t="s">
        <v>326</v>
      </c>
      <c r="C1498" t="s">
        <v>278</v>
      </c>
      <c r="D1498">
        <v>1</v>
      </c>
      <c r="E1498">
        <v>3.97459776</v>
      </c>
      <c r="F1498">
        <f t="shared" si="23"/>
        <v>3.97459776</v>
      </c>
    </row>
    <row r="1499" spans="1:6" x14ac:dyDescent="0.2">
      <c r="A1499">
        <v>830</v>
      </c>
      <c r="B1499" t="s">
        <v>274</v>
      </c>
      <c r="C1499" t="s">
        <v>273</v>
      </c>
      <c r="D1499">
        <v>5</v>
      </c>
      <c r="E1499">
        <v>149.23091903999997</v>
      </c>
      <c r="F1499">
        <f t="shared" si="23"/>
        <v>746.1545951999999</v>
      </c>
    </row>
    <row r="1500" spans="1:6" x14ac:dyDescent="0.2">
      <c r="A1500">
        <v>830</v>
      </c>
      <c r="B1500" t="s">
        <v>327</v>
      </c>
      <c r="C1500" t="s">
        <v>309</v>
      </c>
      <c r="D1500">
        <v>1</v>
      </c>
      <c r="E1500">
        <v>1532.5236863999999</v>
      </c>
      <c r="F1500">
        <f t="shared" si="23"/>
        <v>1532.5236863999999</v>
      </c>
    </row>
    <row r="1501" spans="1:6" x14ac:dyDescent="0.2">
      <c r="A1501">
        <v>830</v>
      </c>
      <c r="B1501" t="s">
        <v>328</v>
      </c>
      <c r="C1501" t="s">
        <v>329</v>
      </c>
      <c r="D1501">
        <v>3</v>
      </c>
      <c r="E1501">
        <v>155.62307692307695</v>
      </c>
      <c r="F1501">
        <f t="shared" si="23"/>
        <v>466.86923076923085</v>
      </c>
    </row>
    <row r="1502" spans="1:6" x14ac:dyDescent="0.2">
      <c r="A1502">
        <v>830</v>
      </c>
      <c r="B1502" t="s">
        <v>330</v>
      </c>
      <c r="C1502" t="s">
        <v>331</v>
      </c>
      <c r="D1502">
        <v>6</v>
      </c>
      <c r="E1502">
        <v>710.44615384615395</v>
      </c>
      <c r="F1502">
        <f t="shared" si="23"/>
        <v>4262.6769230769241</v>
      </c>
    </row>
    <row r="1503" spans="1:6" x14ac:dyDescent="0.2">
      <c r="A1503">
        <v>830</v>
      </c>
      <c r="B1503" t="s">
        <v>332</v>
      </c>
      <c r="C1503" t="s">
        <v>333</v>
      </c>
      <c r="D1503">
        <v>6</v>
      </c>
      <c r="E1503">
        <v>167.55384615384617</v>
      </c>
      <c r="F1503">
        <f t="shared" si="23"/>
        <v>1005.323076923077</v>
      </c>
    </row>
    <row r="1504" spans="1:6" x14ac:dyDescent="0.2">
      <c r="A1504">
        <v>830</v>
      </c>
      <c r="B1504" t="s">
        <v>272</v>
      </c>
      <c r="C1504" t="s">
        <v>273</v>
      </c>
      <c r="D1504">
        <v>1</v>
      </c>
      <c r="E1504">
        <v>170.11122239999997</v>
      </c>
      <c r="F1504">
        <f t="shared" si="23"/>
        <v>170.11122239999997</v>
      </c>
    </row>
    <row r="1505" spans="1:6" x14ac:dyDescent="0.2">
      <c r="A1505">
        <v>830</v>
      </c>
      <c r="B1505" t="s">
        <v>275</v>
      </c>
      <c r="C1505" t="s">
        <v>276</v>
      </c>
      <c r="D1505">
        <v>3</v>
      </c>
      <c r="E1505">
        <v>9.0814483199999998</v>
      </c>
      <c r="F1505">
        <f t="shared" si="23"/>
        <v>27.244344959999999</v>
      </c>
    </row>
    <row r="1506" spans="1:6" x14ac:dyDescent="0.2">
      <c r="A1506">
        <v>830</v>
      </c>
      <c r="B1506" t="s">
        <v>334</v>
      </c>
      <c r="C1506" t="s">
        <v>329</v>
      </c>
      <c r="D1506">
        <v>1</v>
      </c>
      <c r="E1506">
        <v>149.03076923076924</v>
      </c>
      <c r="F1506">
        <f t="shared" si="23"/>
        <v>149.03076923076924</v>
      </c>
    </row>
    <row r="1507" spans="1:6" x14ac:dyDescent="0.2">
      <c r="A1507">
        <v>830</v>
      </c>
      <c r="B1507" t="s">
        <v>335</v>
      </c>
      <c r="C1507" t="s">
        <v>331</v>
      </c>
      <c r="D1507">
        <v>1</v>
      </c>
      <c r="E1507">
        <v>703.1</v>
      </c>
      <c r="F1507">
        <f t="shared" si="23"/>
        <v>703.1</v>
      </c>
    </row>
    <row r="1508" spans="1:6" x14ac:dyDescent="0.2">
      <c r="A1508">
        <v>830</v>
      </c>
      <c r="B1508" t="s">
        <v>336</v>
      </c>
      <c r="C1508" t="s">
        <v>333</v>
      </c>
      <c r="D1508">
        <v>3</v>
      </c>
      <c r="E1508">
        <v>288.42307692307691</v>
      </c>
      <c r="F1508">
        <f t="shared" si="23"/>
        <v>865.26923076923072</v>
      </c>
    </row>
    <row r="1509" spans="1:6" x14ac:dyDescent="0.2">
      <c r="A1509">
        <v>830</v>
      </c>
      <c r="B1509" t="s">
        <v>337</v>
      </c>
      <c r="C1509" t="s">
        <v>297</v>
      </c>
      <c r="D1509">
        <v>2</v>
      </c>
      <c r="E1509">
        <v>11.761099999999999</v>
      </c>
      <c r="F1509">
        <f t="shared" ref="F1509:F1572" si="24">D1509*E1509</f>
        <v>23.522199999999998</v>
      </c>
    </row>
    <row r="1510" spans="1:6" x14ac:dyDescent="0.2">
      <c r="A1510">
        <v>830</v>
      </c>
      <c r="B1510" t="s">
        <v>338</v>
      </c>
      <c r="C1510" t="s">
        <v>297</v>
      </c>
      <c r="D1510">
        <v>1</v>
      </c>
      <c r="E1510">
        <v>11.712959999999999</v>
      </c>
      <c r="F1510">
        <f t="shared" si="24"/>
        <v>11.712959999999999</v>
      </c>
    </row>
    <row r="1511" spans="1:6" x14ac:dyDescent="0.2">
      <c r="A1511">
        <v>830</v>
      </c>
      <c r="B1511" t="s">
        <v>339</v>
      </c>
      <c r="C1511" t="s">
        <v>297</v>
      </c>
      <c r="D1511">
        <v>5</v>
      </c>
      <c r="E1511">
        <v>20.279038079999996</v>
      </c>
      <c r="F1511">
        <f t="shared" si="24"/>
        <v>101.39519039999998</v>
      </c>
    </row>
    <row r="1512" spans="1:6" x14ac:dyDescent="0.2">
      <c r="A1512">
        <v>830</v>
      </c>
      <c r="B1512" t="s">
        <v>340</v>
      </c>
      <c r="C1512" t="s">
        <v>309</v>
      </c>
      <c r="D1512">
        <v>1</v>
      </c>
      <c r="E1512">
        <v>1536.3343027199999</v>
      </c>
      <c r="F1512">
        <f t="shared" si="24"/>
        <v>1536.3343027199999</v>
      </c>
    </row>
    <row r="1513" spans="1:6" x14ac:dyDescent="0.2">
      <c r="A1513">
        <v>830</v>
      </c>
      <c r="B1513" t="s">
        <v>341</v>
      </c>
      <c r="C1513" t="s">
        <v>342</v>
      </c>
      <c r="D1513">
        <v>1</v>
      </c>
      <c r="E1513">
        <v>307.22449999999998</v>
      </c>
      <c r="F1513">
        <f t="shared" si="24"/>
        <v>307.22449999999998</v>
      </c>
    </row>
    <row r="1514" spans="1:6" x14ac:dyDescent="0.2">
      <c r="A1514">
        <v>830</v>
      </c>
      <c r="B1514" t="s">
        <v>284</v>
      </c>
      <c r="C1514" t="s">
        <v>273</v>
      </c>
      <c r="D1514">
        <v>1</v>
      </c>
      <c r="E1514">
        <v>15.547002240000001</v>
      </c>
      <c r="F1514">
        <f t="shared" si="24"/>
        <v>15.547002240000001</v>
      </c>
    </row>
    <row r="1515" spans="1:6" x14ac:dyDescent="0.2">
      <c r="A1515">
        <v>830</v>
      </c>
      <c r="B1515" t="s">
        <v>283</v>
      </c>
      <c r="C1515" t="s">
        <v>278</v>
      </c>
      <c r="D1515">
        <v>5</v>
      </c>
      <c r="E1515">
        <v>101.76219647999997</v>
      </c>
      <c r="F1515">
        <f t="shared" si="24"/>
        <v>508.81098239999983</v>
      </c>
    </row>
    <row r="1516" spans="1:6" x14ac:dyDescent="0.2">
      <c r="A1516">
        <v>830</v>
      </c>
      <c r="B1516" t="s">
        <v>281</v>
      </c>
      <c r="C1516" t="s">
        <v>282</v>
      </c>
      <c r="D1516">
        <v>5</v>
      </c>
      <c r="E1516">
        <v>43.369186559999996</v>
      </c>
      <c r="F1516">
        <f t="shared" si="24"/>
        <v>216.84593279999999</v>
      </c>
    </row>
    <row r="1517" spans="1:6" x14ac:dyDescent="0.2">
      <c r="A1517">
        <v>830</v>
      </c>
      <c r="B1517" t="s">
        <v>279</v>
      </c>
      <c r="C1517" t="s">
        <v>280</v>
      </c>
      <c r="D1517">
        <v>1</v>
      </c>
      <c r="E1517">
        <v>36.786503039999999</v>
      </c>
      <c r="F1517">
        <f t="shared" si="24"/>
        <v>36.786503039999999</v>
      </c>
    </row>
    <row r="1518" spans="1:6" x14ac:dyDescent="0.2">
      <c r="A1518">
        <v>830</v>
      </c>
      <c r="B1518" t="s">
        <v>343</v>
      </c>
      <c r="C1518" t="s">
        <v>282</v>
      </c>
      <c r="D1518">
        <v>1</v>
      </c>
      <c r="E1518">
        <v>16.807499999999997</v>
      </c>
      <c r="F1518">
        <f t="shared" si="24"/>
        <v>16.807499999999997</v>
      </c>
    </row>
    <row r="1519" spans="1:6" x14ac:dyDescent="0.2">
      <c r="A1519">
        <v>830</v>
      </c>
      <c r="B1519" t="s">
        <v>344</v>
      </c>
      <c r="C1519" t="s">
        <v>282</v>
      </c>
      <c r="D1519">
        <v>4</v>
      </c>
      <c r="E1519">
        <v>12.767126399999999</v>
      </c>
      <c r="F1519">
        <f t="shared" si="24"/>
        <v>51.068505599999995</v>
      </c>
    </row>
    <row r="1520" spans="1:6" x14ac:dyDescent="0.2">
      <c r="A1520">
        <v>830</v>
      </c>
      <c r="B1520" t="s">
        <v>270</v>
      </c>
      <c r="C1520" t="s">
        <v>271</v>
      </c>
      <c r="D1520">
        <v>3</v>
      </c>
      <c r="E1520">
        <v>3027.0973823999993</v>
      </c>
      <c r="F1520">
        <f t="shared" si="24"/>
        <v>9081.292147199998</v>
      </c>
    </row>
    <row r="1521" spans="1:6" x14ac:dyDescent="0.2">
      <c r="A1521">
        <v>830</v>
      </c>
      <c r="B1521" t="s">
        <v>272</v>
      </c>
      <c r="C1521" t="s">
        <v>273</v>
      </c>
      <c r="D1521">
        <v>1</v>
      </c>
      <c r="E1521">
        <v>170.11122239999997</v>
      </c>
      <c r="F1521">
        <f t="shared" si="24"/>
        <v>170.11122239999997</v>
      </c>
    </row>
    <row r="1522" spans="1:6" x14ac:dyDescent="0.2">
      <c r="A1522">
        <v>830</v>
      </c>
      <c r="B1522" t="s">
        <v>274</v>
      </c>
      <c r="C1522" t="s">
        <v>273</v>
      </c>
      <c r="D1522">
        <v>3</v>
      </c>
      <c r="E1522">
        <v>149.23091903999997</v>
      </c>
      <c r="F1522">
        <f t="shared" si="24"/>
        <v>447.6927571199999</v>
      </c>
    </row>
    <row r="1523" spans="1:6" x14ac:dyDescent="0.2">
      <c r="A1523">
        <v>830</v>
      </c>
      <c r="B1523" t="s">
        <v>275</v>
      </c>
      <c r="C1523" t="s">
        <v>276</v>
      </c>
      <c r="D1523">
        <v>2</v>
      </c>
      <c r="E1523">
        <v>9.0814483199999998</v>
      </c>
      <c r="F1523">
        <f t="shared" si="24"/>
        <v>18.16289664</v>
      </c>
    </row>
    <row r="1524" spans="1:6" x14ac:dyDescent="0.2">
      <c r="A1524">
        <v>830</v>
      </c>
      <c r="B1524" t="s">
        <v>277</v>
      </c>
      <c r="C1524" t="s">
        <v>278</v>
      </c>
      <c r="D1524">
        <v>4</v>
      </c>
      <c r="E1524">
        <v>41.026594559999999</v>
      </c>
      <c r="F1524">
        <f t="shared" si="24"/>
        <v>164.10637824</v>
      </c>
    </row>
    <row r="1525" spans="1:6" x14ac:dyDescent="0.2">
      <c r="A1525">
        <v>830</v>
      </c>
      <c r="B1525" t="s">
        <v>279</v>
      </c>
      <c r="C1525" t="s">
        <v>280</v>
      </c>
      <c r="D1525">
        <v>1</v>
      </c>
      <c r="E1525">
        <v>36.786503039999999</v>
      </c>
      <c r="F1525">
        <f t="shared" si="24"/>
        <v>36.786503039999999</v>
      </c>
    </row>
    <row r="1526" spans="1:6" x14ac:dyDescent="0.2">
      <c r="A1526">
        <v>830</v>
      </c>
      <c r="B1526" t="s">
        <v>281</v>
      </c>
      <c r="C1526" t="s">
        <v>282</v>
      </c>
      <c r="D1526">
        <v>118</v>
      </c>
      <c r="E1526">
        <v>43.369186559999996</v>
      </c>
      <c r="F1526">
        <f t="shared" si="24"/>
        <v>5117.5640140799997</v>
      </c>
    </row>
    <row r="1527" spans="1:6" x14ac:dyDescent="0.2">
      <c r="A1527">
        <v>830</v>
      </c>
      <c r="B1527" t="s">
        <v>283</v>
      </c>
      <c r="C1527" t="s">
        <v>278</v>
      </c>
      <c r="D1527">
        <v>1</v>
      </c>
      <c r="E1527">
        <v>101.76219647999997</v>
      </c>
      <c r="F1527">
        <f t="shared" si="24"/>
        <v>101.76219647999997</v>
      </c>
    </row>
    <row r="1528" spans="1:6" x14ac:dyDescent="0.2">
      <c r="A1528">
        <v>830</v>
      </c>
      <c r="B1528" t="s">
        <v>284</v>
      </c>
      <c r="C1528" t="s">
        <v>273</v>
      </c>
      <c r="D1528">
        <v>1</v>
      </c>
      <c r="E1528">
        <v>15.547002240000001</v>
      </c>
      <c r="F1528">
        <f t="shared" si="24"/>
        <v>15.547002240000001</v>
      </c>
    </row>
    <row r="1529" spans="1:6" x14ac:dyDescent="0.2">
      <c r="A1529">
        <v>830</v>
      </c>
      <c r="B1529" t="s">
        <v>285</v>
      </c>
      <c r="C1529" t="s">
        <v>286</v>
      </c>
      <c r="D1529">
        <v>3</v>
      </c>
      <c r="E1529">
        <v>58.189985279999981</v>
      </c>
      <c r="F1529">
        <f t="shared" si="24"/>
        <v>174.56995583999995</v>
      </c>
    </row>
    <row r="1530" spans="1:6" x14ac:dyDescent="0.2">
      <c r="A1530">
        <v>830</v>
      </c>
      <c r="B1530" t="s">
        <v>287</v>
      </c>
      <c r="C1530" t="s">
        <v>273</v>
      </c>
      <c r="D1530">
        <v>1</v>
      </c>
      <c r="E1530">
        <v>100.66898687999999</v>
      </c>
      <c r="F1530">
        <f t="shared" si="24"/>
        <v>100.66898687999999</v>
      </c>
    </row>
    <row r="1531" spans="1:6" x14ac:dyDescent="0.2">
      <c r="A1531">
        <v>830</v>
      </c>
      <c r="B1531" t="s">
        <v>288</v>
      </c>
      <c r="C1531" t="s">
        <v>289</v>
      </c>
      <c r="D1531">
        <v>2</v>
      </c>
      <c r="E1531">
        <v>7.3401215999999998</v>
      </c>
      <c r="F1531">
        <f t="shared" si="24"/>
        <v>14.6802432</v>
      </c>
    </row>
    <row r="1532" spans="1:6" x14ac:dyDescent="0.2">
      <c r="A1532">
        <v>830</v>
      </c>
      <c r="B1532" t="s">
        <v>290</v>
      </c>
      <c r="C1532" t="s">
        <v>278</v>
      </c>
      <c r="D1532">
        <v>3</v>
      </c>
      <c r="E1532">
        <v>43.751809919999999</v>
      </c>
      <c r="F1532">
        <f t="shared" si="24"/>
        <v>131.25542976</v>
      </c>
    </row>
    <row r="1533" spans="1:6" x14ac:dyDescent="0.2">
      <c r="A1533">
        <v>830</v>
      </c>
      <c r="B1533" t="s">
        <v>277</v>
      </c>
      <c r="C1533" t="s">
        <v>278</v>
      </c>
      <c r="D1533">
        <v>6</v>
      </c>
      <c r="E1533">
        <v>41.026594559999999</v>
      </c>
      <c r="F1533">
        <f t="shared" si="24"/>
        <v>246.15956735999998</v>
      </c>
    </row>
    <row r="1534" spans="1:6" x14ac:dyDescent="0.2">
      <c r="A1534">
        <v>830</v>
      </c>
      <c r="B1534" t="s">
        <v>291</v>
      </c>
      <c r="C1534" t="s">
        <v>278</v>
      </c>
      <c r="D1534">
        <v>6</v>
      </c>
      <c r="E1534">
        <v>24.136399999999998</v>
      </c>
      <c r="F1534">
        <f t="shared" si="24"/>
        <v>144.8184</v>
      </c>
    </row>
    <row r="1535" spans="1:6" x14ac:dyDescent="0.2">
      <c r="A1535">
        <v>830</v>
      </c>
      <c r="B1535" t="s">
        <v>292</v>
      </c>
      <c r="C1535" t="s">
        <v>293</v>
      </c>
      <c r="D1535">
        <v>1</v>
      </c>
      <c r="E1535">
        <v>96.852699999999999</v>
      </c>
      <c r="F1535">
        <f t="shared" si="24"/>
        <v>96.852699999999999</v>
      </c>
    </row>
    <row r="1536" spans="1:6" x14ac:dyDescent="0.2">
      <c r="A1536">
        <v>830</v>
      </c>
      <c r="B1536" t="s">
        <v>294</v>
      </c>
      <c r="C1536" t="s">
        <v>278</v>
      </c>
      <c r="D1536">
        <v>3</v>
      </c>
      <c r="E1536">
        <v>26.221413119999998</v>
      </c>
      <c r="F1536">
        <f t="shared" si="24"/>
        <v>78.664239359999996</v>
      </c>
    </row>
    <row r="1537" spans="1:6" x14ac:dyDescent="0.2">
      <c r="A1537">
        <v>830</v>
      </c>
      <c r="B1537" t="s">
        <v>295</v>
      </c>
      <c r="C1537" t="s">
        <v>273</v>
      </c>
      <c r="D1537">
        <v>1</v>
      </c>
      <c r="E1537">
        <v>54.886930560000003</v>
      </c>
      <c r="F1537">
        <f t="shared" si="24"/>
        <v>54.886930560000003</v>
      </c>
    </row>
    <row r="1538" spans="1:6" x14ac:dyDescent="0.2">
      <c r="A1538">
        <v>830</v>
      </c>
      <c r="B1538" t="s">
        <v>296</v>
      </c>
      <c r="C1538" t="s">
        <v>297</v>
      </c>
      <c r="D1538">
        <v>1</v>
      </c>
      <c r="E1538">
        <v>5.5028999999999995</v>
      </c>
      <c r="F1538">
        <f t="shared" si="24"/>
        <v>5.5028999999999995</v>
      </c>
    </row>
    <row r="1539" spans="1:6" x14ac:dyDescent="0.2">
      <c r="A1539">
        <v>830</v>
      </c>
      <c r="B1539" t="s">
        <v>298</v>
      </c>
      <c r="C1539" t="s">
        <v>297</v>
      </c>
      <c r="D1539">
        <v>3</v>
      </c>
      <c r="E1539">
        <v>5.9344999999999999</v>
      </c>
      <c r="F1539">
        <f t="shared" si="24"/>
        <v>17.8035</v>
      </c>
    </row>
    <row r="1540" spans="1:6" x14ac:dyDescent="0.2">
      <c r="A1540">
        <v>830</v>
      </c>
      <c r="B1540" t="s">
        <v>299</v>
      </c>
      <c r="C1540" t="s">
        <v>297</v>
      </c>
      <c r="D1540">
        <v>2</v>
      </c>
      <c r="E1540">
        <v>4.3574999999999999</v>
      </c>
      <c r="F1540">
        <f t="shared" si="24"/>
        <v>8.7149999999999999</v>
      </c>
    </row>
    <row r="1541" spans="1:6" x14ac:dyDescent="0.2">
      <c r="A1541">
        <v>830</v>
      </c>
      <c r="B1541" t="s">
        <v>122</v>
      </c>
      <c r="C1541" t="s">
        <v>276</v>
      </c>
      <c r="D1541">
        <v>1</v>
      </c>
      <c r="E1541">
        <v>14.915099999999999</v>
      </c>
      <c r="F1541">
        <f t="shared" si="24"/>
        <v>14.915099999999999</v>
      </c>
    </row>
    <row r="1542" spans="1:6" x14ac:dyDescent="0.2">
      <c r="A1542">
        <v>830</v>
      </c>
      <c r="B1542" t="s">
        <v>120</v>
      </c>
      <c r="C1542" t="s">
        <v>278</v>
      </c>
      <c r="D1542">
        <v>5</v>
      </c>
      <c r="E1542">
        <v>1.5603999999999998</v>
      </c>
      <c r="F1542">
        <f t="shared" si="24"/>
        <v>7.8019999999999987</v>
      </c>
    </row>
    <row r="1543" spans="1:6" x14ac:dyDescent="0.2">
      <c r="A1543">
        <v>830</v>
      </c>
      <c r="B1543" t="s">
        <v>300</v>
      </c>
      <c r="C1543" t="s">
        <v>273</v>
      </c>
      <c r="D1543">
        <v>1</v>
      </c>
      <c r="E1543">
        <v>60.589999999999996</v>
      </c>
      <c r="F1543">
        <f t="shared" si="24"/>
        <v>60.589999999999996</v>
      </c>
    </row>
    <row r="1544" spans="1:6" x14ac:dyDescent="0.2">
      <c r="A1544">
        <v>830</v>
      </c>
      <c r="B1544" t="s">
        <v>301</v>
      </c>
      <c r="C1544" t="s">
        <v>302</v>
      </c>
      <c r="D1544">
        <v>1</v>
      </c>
      <c r="E1544">
        <v>104.88565247999999</v>
      </c>
      <c r="F1544">
        <f t="shared" si="24"/>
        <v>104.88565247999999</v>
      </c>
    </row>
    <row r="1545" spans="1:6" x14ac:dyDescent="0.2">
      <c r="A1545">
        <v>830</v>
      </c>
      <c r="B1545" t="s">
        <v>303</v>
      </c>
      <c r="C1545" t="s">
        <v>304</v>
      </c>
      <c r="D1545">
        <v>1</v>
      </c>
      <c r="E1545">
        <v>683.94489999999996</v>
      </c>
      <c r="F1545">
        <f t="shared" si="24"/>
        <v>683.94489999999996</v>
      </c>
    </row>
    <row r="1546" spans="1:6" x14ac:dyDescent="0.2">
      <c r="A1546">
        <v>830</v>
      </c>
      <c r="B1546" t="s">
        <v>305</v>
      </c>
      <c r="C1546" t="s">
        <v>273</v>
      </c>
      <c r="D1546">
        <v>5</v>
      </c>
      <c r="E1546">
        <v>71.189099999999996</v>
      </c>
      <c r="F1546">
        <f t="shared" si="24"/>
        <v>355.94549999999998</v>
      </c>
    </row>
    <row r="1547" spans="1:6" x14ac:dyDescent="0.2">
      <c r="A1547">
        <v>830</v>
      </c>
      <c r="B1547" t="s">
        <v>294</v>
      </c>
      <c r="C1547" t="s">
        <v>278</v>
      </c>
      <c r="D1547">
        <v>5</v>
      </c>
      <c r="E1547">
        <v>26.221413119999998</v>
      </c>
      <c r="F1547">
        <f t="shared" si="24"/>
        <v>131.1070656</v>
      </c>
    </row>
    <row r="1548" spans="1:6" x14ac:dyDescent="0.2">
      <c r="A1548">
        <v>830</v>
      </c>
      <c r="B1548" t="s">
        <v>306</v>
      </c>
      <c r="C1548" t="s">
        <v>273</v>
      </c>
      <c r="D1548">
        <v>1</v>
      </c>
      <c r="E1548">
        <v>99.575777279999997</v>
      </c>
      <c r="F1548">
        <f t="shared" si="24"/>
        <v>99.575777279999997</v>
      </c>
    </row>
    <row r="1549" spans="1:6" x14ac:dyDescent="0.2">
      <c r="A1549">
        <v>830</v>
      </c>
      <c r="B1549" t="s">
        <v>294</v>
      </c>
      <c r="C1549" t="s">
        <v>278</v>
      </c>
      <c r="D1549">
        <v>1</v>
      </c>
      <c r="E1549">
        <v>26.221413119999998</v>
      </c>
      <c r="F1549">
        <f t="shared" si="24"/>
        <v>26.221413119999998</v>
      </c>
    </row>
    <row r="1550" spans="1:6" x14ac:dyDescent="0.2">
      <c r="A1550">
        <v>830</v>
      </c>
      <c r="B1550" t="s">
        <v>306</v>
      </c>
      <c r="C1550" t="s">
        <v>273</v>
      </c>
      <c r="D1550">
        <v>4</v>
      </c>
      <c r="E1550">
        <v>99.575777279999997</v>
      </c>
      <c r="F1550">
        <f t="shared" si="24"/>
        <v>398.30310911999999</v>
      </c>
    </row>
    <row r="1551" spans="1:6" x14ac:dyDescent="0.2">
      <c r="A1551">
        <v>830</v>
      </c>
      <c r="B1551" t="s">
        <v>308</v>
      </c>
      <c r="C1551" t="s">
        <v>309</v>
      </c>
      <c r="D1551">
        <v>3</v>
      </c>
      <c r="E1551">
        <v>167.62307692307692</v>
      </c>
      <c r="F1551">
        <f t="shared" si="24"/>
        <v>502.86923076923074</v>
      </c>
    </row>
    <row r="1552" spans="1:6" x14ac:dyDescent="0.2">
      <c r="A1552">
        <v>830</v>
      </c>
      <c r="B1552" t="s">
        <v>310</v>
      </c>
      <c r="C1552" t="s">
        <v>273</v>
      </c>
      <c r="D1552">
        <v>1</v>
      </c>
      <c r="E1552">
        <v>0.33200000000000002</v>
      </c>
      <c r="F1552">
        <f t="shared" si="24"/>
        <v>0.33200000000000002</v>
      </c>
    </row>
    <row r="1553" spans="1:6" x14ac:dyDescent="0.2">
      <c r="A1553">
        <v>830</v>
      </c>
      <c r="B1553" t="s">
        <v>197</v>
      </c>
      <c r="C1553" t="s">
        <v>278</v>
      </c>
      <c r="D1553">
        <v>3</v>
      </c>
      <c r="E1553">
        <v>7.4699999999999989E-2</v>
      </c>
      <c r="F1553">
        <f t="shared" si="24"/>
        <v>0.22409999999999997</v>
      </c>
    </row>
    <row r="1554" spans="1:6" x14ac:dyDescent="0.2">
      <c r="A1554">
        <v>830</v>
      </c>
      <c r="B1554" t="s">
        <v>311</v>
      </c>
      <c r="C1554" t="s">
        <v>273</v>
      </c>
      <c r="D1554">
        <v>2</v>
      </c>
      <c r="E1554">
        <v>1.5935999999999999</v>
      </c>
      <c r="F1554">
        <f t="shared" si="24"/>
        <v>3.1871999999999998</v>
      </c>
    </row>
    <row r="1555" spans="1:6" x14ac:dyDescent="0.2">
      <c r="A1555">
        <v>830</v>
      </c>
      <c r="B1555" t="s">
        <v>312</v>
      </c>
      <c r="C1555" t="s">
        <v>278</v>
      </c>
      <c r="D1555">
        <v>4</v>
      </c>
      <c r="E1555">
        <v>21.040500000000002</v>
      </c>
      <c r="F1555">
        <f t="shared" si="24"/>
        <v>84.162000000000006</v>
      </c>
    </row>
    <row r="1556" spans="1:6" x14ac:dyDescent="0.2">
      <c r="A1556">
        <v>830</v>
      </c>
      <c r="B1556" t="s">
        <v>75</v>
      </c>
      <c r="C1556" t="s">
        <v>313</v>
      </c>
      <c r="D1556">
        <v>1</v>
      </c>
      <c r="E1556">
        <v>0.1153846153846154</v>
      </c>
      <c r="F1556">
        <f t="shared" si="24"/>
        <v>0.1153846153846154</v>
      </c>
    </row>
    <row r="1557" spans="1:6" x14ac:dyDescent="0.2">
      <c r="A1557">
        <v>830</v>
      </c>
      <c r="B1557" t="s">
        <v>314</v>
      </c>
      <c r="C1557" t="s">
        <v>273</v>
      </c>
      <c r="D1557">
        <v>118</v>
      </c>
      <c r="E1557">
        <v>0.45650000000000002</v>
      </c>
      <c r="F1557">
        <f t="shared" si="24"/>
        <v>53.867000000000004</v>
      </c>
    </row>
    <row r="1558" spans="1:6" x14ac:dyDescent="0.2">
      <c r="A1558">
        <v>830</v>
      </c>
      <c r="B1558" t="s">
        <v>314</v>
      </c>
      <c r="C1558" t="s">
        <v>315</v>
      </c>
      <c r="D1558">
        <v>1</v>
      </c>
      <c r="E1558">
        <v>0.45650000000000002</v>
      </c>
      <c r="F1558">
        <f t="shared" si="24"/>
        <v>0.45650000000000002</v>
      </c>
    </row>
    <row r="1559" spans="1:6" x14ac:dyDescent="0.2">
      <c r="A1559">
        <v>830</v>
      </c>
      <c r="B1559" t="s">
        <v>316</v>
      </c>
      <c r="C1559" t="s">
        <v>317</v>
      </c>
      <c r="D1559">
        <v>1</v>
      </c>
      <c r="E1559">
        <v>92.206615384615375</v>
      </c>
      <c r="F1559">
        <f t="shared" si="24"/>
        <v>92.206615384615375</v>
      </c>
    </row>
    <row r="1560" spans="1:6" x14ac:dyDescent="0.2">
      <c r="A1560">
        <v>830</v>
      </c>
      <c r="B1560" t="s">
        <v>318</v>
      </c>
      <c r="C1560" t="s">
        <v>319</v>
      </c>
      <c r="D1560">
        <v>3</v>
      </c>
      <c r="E1560">
        <v>85.453846153846172</v>
      </c>
      <c r="F1560">
        <f t="shared" si="24"/>
        <v>256.36153846153854</v>
      </c>
    </row>
    <row r="1561" spans="1:6" x14ac:dyDescent="0.2">
      <c r="A1561">
        <v>830</v>
      </c>
      <c r="B1561" t="s">
        <v>320</v>
      </c>
      <c r="C1561" t="s">
        <v>321</v>
      </c>
      <c r="D1561">
        <v>1</v>
      </c>
      <c r="E1561">
        <v>92.206615384615375</v>
      </c>
      <c r="F1561">
        <f t="shared" si="24"/>
        <v>92.206615384615375</v>
      </c>
    </row>
    <row r="1562" spans="1:6" x14ac:dyDescent="0.2">
      <c r="A1562">
        <v>830</v>
      </c>
      <c r="B1562" t="s">
        <v>267</v>
      </c>
      <c r="C1562" t="s">
        <v>268</v>
      </c>
      <c r="D1562">
        <v>2</v>
      </c>
      <c r="E1562">
        <v>84863.132923076919</v>
      </c>
      <c r="F1562">
        <f t="shared" si="24"/>
        <v>169726.26584615384</v>
      </c>
    </row>
    <row r="1563" spans="1:6" x14ac:dyDescent="0.2">
      <c r="A1563">
        <v>830</v>
      </c>
      <c r="B1563" t="s">
        <v>260</v>
      </c>
      <c r="C1563" t="s">
        <v>261</v>
      </c>
      <c r="D1563">
        <v>3</v>
      </c>
      <c r="E1563">
        <v>2908.2944615384613</v>
      </c>
      <c r="F1563">
        <f t="shared" si="24"/>
        <v>8724.883384615383</v>
      </c>
    </row>
    <row r="1564" spans="1:6" x14ac:dyDescent="0.2">
      <c r="A1564">
        <v>830</v>
      </c>
      <c r="B1564" t="s">
        <v>262</v>
      </c>
      <c r="C1564" t="s">
        <v>263</v>
      </c>
      <c r="D1564">
        <v>6</v>
      </c>
      <c r="E1564">
        <v>3207.1966153846147</v>
      </c>
      <c r="F1564">
        <f t="shared" si="24"/>
        <v>19243.179692307687</v>
      </c>
    </row>
    <row r="1565" spans="1:6" x14ac:dyDescent="0.2">
      <c r="A1565">
        <v>830</v>
      </c>
      <c r="B1565" t="s">
        <v>264</v>
      </c>
      <c r="C1565" t="s">
        <v>265</v>
      </c>
      <c r="D1565">
        <v>6</v>
      </c>
      <c r="E1565">
        <v>3466.73123076923</v>
      </c>
      <c r="F1565">
        <f t="shared" si="24"/>
        <v>20800.38738461538</v>
      </c>
    </row>
    <row r="1566" spans="1:6" x14ac:dyDescent="0.2">
      <c r="A1566">
        <v>830</v>
      </c>
      <c r="B1566" t="s">
        <v>259</v>
      </c>
      <c r="C1566" t="s">
        <v>258</v>
      </c>
      <c r="D1566">
        <v>1</v>
      </c>
      <c r="E1566">
        <v>3325.9759999999997</v>
      </c>
      <c r="F1566">
        <f t="shared" si="24"/>
        <v>3325.9759999999997</v>
      </c>
    </row>
    <row r="1567" spans="1:6" x14ac:dyDescent="0.2">
      <c r="A1567">
        <v>830</v>
      </c>
      <c r="B1567" t="s">
        <v>257</v>
      </c>
      <c r="C1567" t="s">
        <v>258</v>
      </c>
      <c r="D1567">
        <v>1</v>
      </c>
      <c r="E1567">
        <v>3325.9759999999997</v>
      </c>
      <c r="F1567">
        <f t="shared" si="24"/>
        <v>3325.9759999999997</v>
      </c>
    </row>
    <row r="1568" spans="1:6" x14ac:dyDescent="0.2">
      <c r="A1568">
        <v>830</v>
      </c>
      <c r="B1568" t="s">
        <v>255</v>
      </c>
      <c r="C1568" t="s">
        <v>256</v>
      </c>
      <c r="D1568">
        <v>1</v>
      </c>
      <c r="E1568">
        <v>18546.094615384613</v>
      </c>
      <c r="F1568">
        <f t="shared" si="24"/>
        <v>18546.094615384613</v>
      </c>
    </row>
    <row r="1569" spans="1:6" x14ac:dyDescent="0.2">
      <c r="A1569">
        <v>830</v>
      </c>
      <c r="B1569" t="s">
        <v>253</v>
      </c>
      <c r="C1569" t="s">
        <v>254</v>
      </c>
      <c r="D1569">
        <v>1</v>
      </c>
      <c r="E1569">
        <v>21043.67953846154</v>
      </c>
      <c r="F1569">
        <f t="shared" si="24"/>
        <v>21043.67953846154</v>
      </c>
    </row>
    <row r="1570" spans="1:6" x14ac:dyDescent="0.2">
      <c r="A1570">
        <v>830</v>
      </c>
      <c r="B1570" t="s">
        <v>359</v>
      </c>
      <c r="C1570" t="s">
        <v>360</v>
      </c>
      <c r="D1570">
        <v>1</v>
      </c>
      <c r="E1570">
        <v>1844.9384615384615</v>
      </c>
      <c r="F1570">
        <f t="shared" si="24"/>
        <v>1844.9384615384615</v>
      </c>
    </row>
    <row r="1571" spans="1:6" x14ac:dyDescent="0.2">
      <c r="A1571">
        <v>830</v>
      </c>
      <c r="B1571" t="s">
        <v>389</v>
      </c>
      <c r="C1571" t="s">
        <v>390</v>
      </c>
      <c r="D1571">
        <v>1</v>
      </c>
      <c r="E1571">
        <v>4906</v>
      </c>
      <c r="F1571">
        <f t="shared" si="24"/>
        <v>4906</v>
      </c>
    </row>
    <row r="1572" spans="1:6" x14ac:dyDescent="0.2">
      <c r="A1572">
        <v>831</v>
      </c>
      <c r="B1572" t="s">
        <v>62</v>
      </c>
      <c r="C1572" t="s">
        <v>63</v>
      </c>
      <c r="D1572">
        <v>1</v>
      </c>
      <c r="E1572">
        <v>0.34860000000000002</v>
      </c>
      <c r="F1572">
        <f t="shared" si="24"/>
        <v>0.34860000000000002</v>
      </c>
    </row>
    <row r="1573" spans="1:6" x14ac:dyDescent="0.2">
      <c r="A1573">
        <v>831</v>
      </c>
      <c r="B1573" t="s">
        <v>64</v>
      </c>
      <c r="C1573" t="s">
        <v>65</v>
      </c>
      <c r="D1573">
        <v>1</v>
      </c>
      <c r="E1573">
        <v>803.07692307692309</v>
      </c>
      <c r="F1573">
        <f t="shared" ref="F1573:F1636" si="25">D1573*E1573</f>
        <v>803.07692307692309</v>
      </c>
    </row>
    <row r="1574" spans="1:6" x14ac:dyDescent="0.2">
      <c r="A1574">
        <v>831</v>
      </c>
      <c r="B1574" t="s">
        <v>67</v>
      </c>
      <c r="C1574" t="s">
        <v>68</v>
      </c>
      <c r="D1574">
        <v>1</v>
      </c>
      <c r="E1574">
        <v>49.678567679999993</v>
      </c>
      <c r="F1574">
        <f t="shared" si="25"/>
        <v>49.678567679999993</v>
      </c>
    </row>
    <row r="1575" spans="1:6" x14ac:dyDescent="0.2">
      <c r="A1575">
        <v>831</v>
      </c>
      <c r="B1575" t="s">
        <v>70</v>
      </c>
      <c r="C1575" t="s">
        <v>71</v>
      </c>
      <c r="D1575">
        <v>2</v>
      </c>
      <c r="E1575">
        <v>407.98649999999998</v>
      </c>
      <c r="F1575">
        <f t="shared" si="25"/>
        <v>815.97299999999996</v>
      </c>
    </row>
    <row r="1576" spans="1:6" x14ac:dyDescent="0.2">
      <c r="A1576">
        <v>831</v>
      </c>
      <c r="B1576" t="s">
        <v>73</v>
      </c>
      <c r="C1576" t="s">
        <v>74</v>
      </c>
      <c r="D1576">
        <v>5</v>
      </c>
      <c r="E1576">
        <v>0.57783935999999991</v>
      </c>
      <c r="F1576">
        <f t="shared" si="25"/>
        <v>2.8891967999999997</v>
      </c>
    </row>
    <row r="1577" spans="1:6" x14ac:dyDescent="0.2">
      <c r="A1577">
        <v>831</v>
      </c>
      <c r="B1577" t="s">
        <v>75</v>
      </c>
      <c r="C1577" t="s">
        <v>76</v>
      </c>
      <c r="D1577">
        <v>75</v>
      </c>
      <c r="E1577">
        <v>0.1153846153846154</v>
      </c>
      <c r="F1577">
        <f t="shared" si="25"/>
        <v>8.6538461538461551</v>
      </c>
    </row>
    <row r="1578" spans="1:6" x14ac:dyDescent="0.2">
      <c r="A1578">
        <v>831</v>
      </c>
      <c r="B1578" t="s">
        <v>77</v>
      </c>
      <c r="C1578" t="s">
        <v>74</v>
      </c>
      <c r="D1578">
        <v>10</v>
      </c>
      <c r="E1578">
        <v>1.3943999999999999</v>
      </c>
      <c r="F1578">
        <f t="shared" si="25"/>
        <v>13.943999999999999</v>
      </c>
    </row>
    <row r="1579" spans="1:6" x14ac:dyDescent="0.2">
      <c r="A1579">
        <v>831</v>
      </c>
      <c r="B1579" t="s">
        <v>78</v>
      </c>
      <c r="C1579" t="s">
        <v>76</v>
      </c>
      <c r="D1579">
        <v>20</v>
      </c>
      <c r="E1579">
        <v>0.71839487999999996</v>
      </c>
      <c r="F1579">
        <f t="shared" si="25"/>
        <v>14.367897599999999</v>
      </c>
    </row>
    <row r="1580" spans="1:6" x14ac:dyDescent="0.2">
      <c r="A1580">
        <v>831</v>
      </c>
      <c r="B1580" t="s">
        <v>79</v>
      </c>
      <c r="C1580" t="s">
        <v>74</v>
      </c>
      <c r="D1580">
        <v>15</v>
      </c>
      <c r="E1580">
        <v>1.9307692307692308</v>
      </c>
      <c r="F1580">
        <f t="shared" si="25"/>
        <v>28.961538461538463</v>
      </c>
    </row>
    <row r="1581" spans="1:6" x14ac:dyDescent="0.2">
      <c r="A1581">
        <v>831</v>
      </c>
      <c r="B1581" t="s">
        <v>80</v>
      </c>
      <c r="C1581" t="s">
        <v>74</v>
      </c>
      <c r="D1581">
        <v>40</v>
      </c>
      <c r="E1581">
        <v>0.9544999999999999</v>
      </c>
      <c r="F1581">
        <f t="shared" si="25"/>
        <v>38.179999999999993</v>
      </c>
    </row>
    <row r="1582" spans="1:6" x14ac:dyDescent="0.2">
      <c r="A1582">
        <v>831</v>
      </c>
      <c r="B1582" t="s">
        <v>81</v>
      </c>
      <c r="C1582" t="s">
        <v>74</v>
      </c>
      <c r="D1582">
        <v>65</v>
      </c>
      <c r="E1582">
        <v>0.76359999999999995</v>
      </c>
      <c r="F1582">
        <f t="shared" si="25"/>
        <v>49.633999999999993</v>
      </c>
    </row>
    <row r="1583" spans="1:6" x14ac:dyDescent="0.2">
      <c r="A1583">
        <v>831</v>
      </c>
      <c r="B1583" t="s">
        <v>82</v>
      </c>
      <c r="C1583" t="s">
        <v>83</v>
      </c>
      <c r="D1583">
        <v>5</v>
      </c>
      <c r="E1583">
        <v>20.351599999999998</v>
      </c>
      <c r="F1583">
        <f t="shared" si="25"/>
        <v>101.75799999999998</v>
      </c>
    </row>
    <row r="1584" spans="1:6" x14ac:dyDescent="0.2">
      <c r="A1584">
        <v>831</v>
      </c>
      <c r="B1584" t="s">
        <v>84</v>
      </c>
      <c r="C1584" t="s">
        <v>85</v>
      </c>
      <c r="D1584">
        <v>5</v>
      </c>
      <c r="E1584">
        <v>102.33222719999999</v>
      </c>
      <c r="F1584">
        <f t="shared" si="25"/>
        <v>511.66113599999994</v>
      </c>
    </row>
    <row r="1585" spans="1:6" x14ac:dyDescent="0.2">
      <c r="A1585">
        <v>831</v>
      </c>
      <c r="B1585" t="s">
        <v>86</v>
      </c>
      <c r="C1585" t="s">
        <v>85</v>
      </c>
      <c r="D1585">
        <v>5</v>
      </c>
      <c r="E1585">
        <v>144.26462399999997</v>
      </c>
      <c r="F1585">
        <f t="shared" si="25"/>
        <v>721.32311999999979</v>
      </c>
    </row>
    <row r="1586" spans="1:6" x14ac:dyDescent="0.2">
      <c r="A1586">
        <v>831</v>
      </c>
      <c r="B1586" t="s">
        <v>87</v>
      </c>
      <c r="C1586" t="s">
        <v>88</v>
      </c>
      <c r="D1586">
        <v>5</v>
      </c>
      <c r="E1586">
        <v>162.02147135999999</v>
      </c>
      <c r="F1586">
        <f t="shared" si="25"/>
        <v>810.10735679999993</v>
      </c>
    </row>
    <row r="1587" spans="1:6" x14ac:dyDescent="0.2">
      <c r="A1587">
        <v>831</v>
      </c>
      <c r="B1587" t="s">
        <v>89</v>
      </c>
      <c r="C1587" t="s">
        <v>85</v>
      </c>
      <c r="D1587">
        <v>5</v>
      </c>
      <c r="E1587">
        <v>211.01287872</v>
      </c>
      <c r="F1587">
        <f t="shared" si="25"/>
        <v>1055.0643936000001</v>
      </c>
    </row>
    <row r="1588" spans="1:6" x14ac:dyDescent="0.2">
      <c r="A1588">
        <v>831</v>
      </c>
      <c r="B1588" t="s">
        <v>90</v>
      </c>
      <c r="C1588" t="s">
        <v>88</v>
      </c>
      <c r="D1588">
        <v>5</v>
      </c>
      <c r="E1588">
        <v>238.16351999999995</v>
      </c>
      <c r="F1588">
        <f t="shared" si="25"/>
        <v>1190.8175999999999</v>
      </c>
    </row>
    <row r="1589" spans="1:6" x14ac:dyDescent="0.2">
      <c r="A1589">
        <v>831</v>
      </c>
      <c r="B1589" t="s">
        <v>92</v>
      </c>
      <c r="C1589" t="s">
        <v>93</v>
      </c>
      <c r="D1589">
        <v>5</v>
      </c>
      <c r="E1589">
        <v>19.297499999999999</v>
      </c>
      <c r="F1589">
        <f t="shared" si="25"/>
        <v>96.487499999999997</v>
      </c>
    </row>
    <row r="1590" spans="1:6" x14ac:dyDescent="0.2">
      <c r="A1590">
        <v>831</v>
      </c>
      <c r="B1590" t="s">
        <v>94</v>
      </c>
      <c r="C1590" t="s">
        <v>95</v>
      </c>
      <c r="D1590">
        <v>1</v>
      </c>
      <c r="E1590">
        <v>644.46267648000003</v>
      </c>
      <c r="F1590">
        <f t="shared" si="25"/>
        <v>644.46267648000003</v>
      </c>
    </row>
    <row r="1591" spans="1:6" x14ac:dyDescent="0.2">
      <c r="A1591">
        <v>831</v>
      </c>
      <c r="B1591" t="s">
        <v>236</v>
      </c>
      <c r="C1591" t="s">
        <v>237</v>
      </c>
      <c r="D1591">
        <v>6</v>
      </c>
      <c r="E1591">
        <v>132.79999999999998</v>
      </c>
      <c r="F1591">
        <f t="shared" si="25"/>
        <v>796.8</v>
      </c>
    </row>
    <row r="1592" spans="1:6" x14ac:dyDescent="0.2">
      <c r="A1592">
        <v>831</v>
      </c>
      <c r="B1592" t="s">
        <v>238</v>
      </c>
      <c r="C1592" t="s">
        <v>239</v>
      </c>
      <c r="D1592">
        <v>4</v>
      </c>
      <c r="E1592">
        <v>340.93846153846152</v>
      </c>
      <c r="F1592">
        <f t="shared" si="25"/>
        <v>1363.7538461538461</v>
      </c>
    </row>
    <row r="1593" spans="1:6" x14ac:dyDescent="0.2">
      <c r="A1593">
        <v>831</v>
      </c>
      <c r="B1593" t="s">
        <v>240</v>
      </c>
      <c r="C1593" t="s">
        <v>241</v>
      </c>
      <c r="D1593">
        <v>4</v>
      </c>
      <c r="E1593">
        <v>309.01538461538462</v>
      </c>
      <c r="F1593">
        <f t="shared" si="25"/>
        <v>1236.0615384615385</v>
      </c>
    </row>
    <row r="1594" spans="1:6" x14ac:dyDescent="0.2">
      <c r="A1594">
        <v>831</v>
      </c>
      <c r="B1594" t="s">
        <v>242</v>
      </c>
      <c r="C1594" t="s">
        <v>243</v>
      </c>
      <c r="D1594">
        <v>2</v>
      </c>
      <c r="E1594">
        <v>427.76923076923072</v>
      </c>
      <c r="F1594">
        <f t="shared" si="25"/>
        <v>855.53846153846143</v>
      </c>
    </row>
    <row r="1595" spans="1:6" x14ac:dyDescent="0.2">
      <c r="A1595">
        <v>831</v>
      </c>
      <c r="B1595" t="s">
        <v>244</v>
      </c>
      <c r="C1595" t="s">
        <v>184</v>
      </c>
      <c r="D1595">
        <v>4</v>
      </c>
      <c r="E1595">
        <v>18.643076923076922</v>
      </c>
      <c r="F1595">
        <f t="shared" si="25"/>
        <v>74.572307692307689</v>
      </c>
    </row>
    <row r="1596" spans="1:6" x14ac:dyDescent="0.2">
      <c r="A1596">
        <v>831</v>
      </c>
      <c r="B1596" t="s">
        <v>245</v>
      </c>
      <c r="C1596" t="s">
        <v>246</v>
      </c>
      <c r="D1596">
        <v>8</v>
      </c>
      <c r="E1596">
        <v>0.44819999999999999</v>
      </c>
      <c r="F1596">
        <f t="shared" si="25"/>
        <v>3.5855999999999999</v>
      </c>
    </row>
    <row r="1597" spans="1:6" x14ac:dyDescent="0.2">
      <c r="A1597">
        <v>831</v>
      </c>
      <c r="B1597" t="s">
        <v>75</v>
      </c>
      <c r="C1597" t="s">
        <v>247</v>
      </c>
      <c r="D1597">
        <v>8</v>
      </c>
      <c r="E1597">
        <v>0.1153846153846154</v>
      </c>
      <c r="F1597">
        <f t="shared" si="25"/>
        <v>0.92307692307692324</v>
      </c>
    </row>
    <row r="1598" spans="1:6" x14ac:dyDescent="0.2">
      <c r="A1598">
        <v>831</v>
      </c>
      <c r="B1598" t="s">
        <v>197</v>
      </c>
      <c r="C1598" t="s">
        <v>117</v>
      </c>
      <c r="D1598">
        <v>8</v>
      </c>
      <c r="E1598">
        <v>7.4699999999999989E-2</v>
      </c>
      <c r="F1598">
        <f t="shared" si="25"/>
        <v>0.59759999999999991</v>
      </c>
    </row>
    <row r="1599" spans="1:6" x14ac:dyDescent="0.2">
      <c r="A1599">
        <v>831</v>
      </c>
      <c r="B1599" t="s">
        <v>248</v>
      </c>
      <c r="C1599" t="s">
        <v>249</v>
      </c>
      <c r="D1599">
        <v>1</v>
      </c>
      <c r="E1599">
        <v>31064.984615384612</v>
      </c>
      <c r="F1599">
        <f t="shared" si="25"/>
        <v>31064.984615384612</v>
      </c>
    </row>
    <row r="1600" spans="1:6" x14ac:dyDescent="0.2">
      <c r="A1600">
        <v>831</v>
      </c>
      <c r="B1600" t="s">
        <v>250</v>
      </c>
      <c r="C1600" t="s">
        <v>251</v>
      </c>
      <c r="D1600">
        <v>2</v>
      </c>
      <c r="E1600">
        <v>564.54124607999995</v>
      </c>
      <c r="F1600">
        <f t="shared" si="25"/>
        <v>1129.0824921599999</v>
      </c>
    </row>
    <row r="1601" spans="1:6" x14ac:dyDescent="0.2">
      <c r="A1601">
        <v>831</v>
      </c>
      <c r="B1601" t="s">
        <v>146</v>
      </c>
      <c r="C1601" t="s">
        <v>147</v>
      </c>
      <c r="D1601">
        <v>4</v>
      </c>
      <c r="E1601">
        <v>8021.5764999999992</v>
      </c>
      <c r="F1601">
        <f t="shared" si="25"/>
        <v>32086.305999999997</v>
      </c>
    </row>
    <row r="1602" spans="1:6" x14ac:dyDescent="0.2">
      <c r="A1602">
        <v>831</v>
      </c>
      <c r="B1602" t="s">
        <v>215</v>
      </c>
      <c r="C1602" t="s">
        <v>208</v>
      </c>
      <c r="D1602">
        <v>1</v>
      </c>
      <c r="E1602">
        <v>1.42898112</v>
      </c>
      <c r="F1602">
        <f t="shared" si="25"/>
        <v>1.42898112</v>
      </c>
    </row>
    <row r="1603" spans="1:6" x14ac:dyDescent="0.2">
      <c r="A1603">
        <v>831</v>
      </c>
      <c r="B1603" t="s">
        <v>200</v>
      </c>
      <c r="C1603" t="s">
        <v>199</v>
      </c>
      <c r="D1603">
        <v>3</v>
      </c>
      <c r="E1603">
        <v>0.66373439999999995</v>
      </c>
      <c r="F1603">
        <f t="shared" si="25"/>
        <v>1.9912031999999997</v>
      </c>
    </row>
    <row r="1604" spans="1:6" x14ac:dyDescent="0.2">
      <c r="A1604">
        <v>831</v>
      </c>
      <c r="B1604" t="s">
        <v>216</v>
      </c>
      <c r="C1604" t="s">
        <v>199</v>
      </c>
      <c r="D1604">
        <v>1</v>
      </c>
      <c r="E1604">
        <v>0.66400000000000003</v>
      </c>
      <c r="F1604">
        <f t="shared" si="25"/>
        <v>0.66400000000000003</v>
      </c>
    </row>
    <row r="1605" spans="1:6" x14ac:dyDescent="0.2">
      <c r="A1605">
        <v>831</v>
      </c>
      <c r="B1605" t="s">
        <v>217</v>
      </c>
      <c r="C1605" t="s">
        <v>199</v>
      </c>
      <c r="D1605">
        <v>1</v>
      </c>
      <c r="E1605">
        <v>4.2164000000000001</v>
      </c>
      <c r="F1605">
        <f t="shared" si="25"/>
        <v>4.2164000000000001</v>
      </c>
    </row>
    <row r="1606" spans="1:6" x14ac:dyDescent="0.2">
      <c r="A1606">
        <v>831</v>
      </c>
      <c r="B1606" t="s">
        <v>218</v>
      </c>
      <c r="C1606" t="s">
        <v>208</v>
      </c>
      <c r="D1606">
        <v>3</v>
      </c>
      <c r="E1606">
        <v>7.3454999999999995</v>
      </c>
      <c r="F1606">
        <f t="shared" si="25"/>
        <v>22.036499999999997</v>
      </c>
    </row>
    <row r="1607" spans="1:6" x14ac:dyDescent="0.2">
      <c r="A1607">
        <v>831</v>
      </c>
      <c r="B1607" t="s">
        <v>219</v>
      </c>
      <c r="C1607" t="s">
        <v>199</v>
      </c>
      <c r="D1607">
        <v>2</v>
      </c>
      <c r="E1607">
        <v>1.4774</v>
      </c>
      <c r="F1607">
        <f t="shared" si="25"/>
        <v>2.9548000000000001</v>
      </c>
    </row>
    <row r="1608" spans="1:6" x14ac:dyDescent="0.2">
      <c r="A1608">
        <v>831</v>
      </c>
      <c r="B1608" t="s">
        <v>220</v>
      </c>
      <c r="C1608" t="s">
        <v>208</v>
      </c>
      <c r="D1608">
        <v>1</v>
      </c>
      <c r="E1608">
        <v>3.7267000000000001</v>
      </c>
      <c r="F1608">
        <f t="shared" si="25"/>
        <v>3.7267000000000001</v>
      </c>
    </row>
    <row r="1609" spans="1:6" x14ac:dyDescent="0.2">
      <c r="A1609">
        <v>831</v>
      </c>
      <c r="B1609" t="s">
        <v>221</v>
      </c>
      <c r="C1609" t="s">
        <v>199</v>
      </c>
      <c r="D1609">
        <v>5</v>
      </c>
      <c r="E1609">
        <v>0.97939999999999994</v>
      </c>
      <c r="F1609">
        <f t="shared" si="25"/>
        <v>4.8969999999999994</v>
      </c>
    </row>
    <row r="1610" spans="1:6" x14ac:dyDescent="0.2">
      <c r="A1610">
        <v>831</v>
      </c>
      <c r="B1610" t="s">
        <v>222</v>
      </c>
      <c r="C1610" t="s">
        <v>208</v>
      </c>
      <c r="D1610">
        <v>1</v>
      </c>
      <c r="E1610">
        <v>6.0672999999999995</v>
      </c>
      <c r="F1610">
        <f t="shared" si="25"/>
        <v>6.0672999999999995</v>
      </c>
    </row>
    <row r="1611" spans="1:6" x14ac:dyDescent="0.2">
      <c r="A1611">
        <v>831</v>
      </c>
      <c r="B1611" t="s">
        <v>223</v>
      </c>
      <c r="C1611" t="s">
        <v>224</v>
      </c>
      <c r="D1611">
        <v>1</v>
      </c>
      <c r="E1611">
        <v>19.4635</v>
      </c>
      <c r="F1611">
        <f t="shared" si="25"/>
        <v>19.4635</v>
      </c>
    </row>
    <row r="1612" spans="1:6" x14ac:dyDescent="0.2">
      <c r="A1612">
        <v>831</v>
      </c>
      <c r="B1612" t="s">
        <v>225</v>
      </c>
      <c r="C1612" t="s">
        <v>226</v>
      </c>
      <c r="D1612">
        <v>1</v>
      </c>
      <c r="E1612">
        <v>10.221509759999998</v>
      </c>
      <c r="F1612">
        <f t="shared" si="25"/>
        <v>10.221509759999998</v>
      </c>
    </row>
    <row r="1613" spans="1:6" x14ac:dyDescent="0.2">
      <c r="A1613">
        <v>831</v>
      </c>
      <c r="B1613" t="s">
        <v>227</v>
      </c>
      <c r="C1613" t="s">
        <v>208</v>
      </c>
      <c r="D1613">
        <v>5</v>
      </c>
      <c r="E1613">
        <v>3.6307692307692312</v>
      </c>
      <c r="F1613">
        <f t="shared" si="25"/>
        <v>18.153846153846157</v>
      </c>
    </row>
    <row r="1614" spans="1:6" x14ac:dyDescent="0.2">
      <c r="A1614">
        <v>831</v>
      </c>
      <c r="B1614" t="s">
        <v>228</v>
      </c>
      <c r="C1614" t="s">
        <v>229</v>
      </c>
      <c r="D1614">
        <v>5</v>
      </c>
      <c r="E1614">
        <v>306.94982975999994</v>
      </c>
      <c r="F1614">
        <f t="shared" si="25"/>
        <v>1534.7491487999996</v>
      </c>
    </row>
    <row r="1615" spans="1:6" x14ac:dyDescent="0.2">
      <c r="A1615">
        <v>831</v>
      </c>
      <c r="B1615" t="s">
        <v>116</v>
      </c>
      <c r="C1615" t="s">
        <v>117</v>
      </c>
      <c r="D1615">
        <v>1</v>
      </c>
      <c r="E1615">
        <v>0.25729999999999997</v>
      </c>
      <c r="F1615">
        <f t="shared" si="25"/>
        <v>0.25729999999999997</v>
      </c>
    </row>
    <row r="1616" spans="1:6" x14ac:dyDescent="0.2">
      <c r="A1616">
        <v>831</v>
      </c>
      <c r="B1616" t="s">
        <v>78</v>
      </c>
      <c r="C1616" t="s">
        <v>76</v>
      </c>
      <c r="D1616">
        <v>1</v>
      </c>
      <c r="E1616">
        <v>0.71839487999999996</v>
      </c>
      <c r="F1616">
        <f t="shared" si="25"/>
        <v>0.71839487999999996</v>
      </c>
    </row>
    <row r="1617" spans="1:6" x14ac:dyDescent="0.2">
      <c r="A1617">
        <v>831</v>
      </c>
      <c r="B1617" t="s">
        <v>231</v>
      </c>
      <c r="C1617" t="s">
        <v>208</v>
      </c>
      <c r="D1617">
        <v>4</v>
      </c>
      <c r="E1617">
        <v>2.0832999999999999</v>
      </c>
      <c r="F1617">
        <f t="shared" si="25"/>
        <v>8.3331999999999997</v>
      </c>
    </row>
    <row r="1618" spans="1:6" x14ac:dyDescent="0.2">
      <c r="A1618">
        <v>831</v>
      </c>
      <c r="B1618" t="s">
        <v>232</v>
      </c>
      <c r="C1618" t="s">
        <v>119</v>
      </c>
      <c r="D1618">
        <v>3</v>
      </c>
      <c r="E1618">
        <v>1.5935999999999999</v>
      </c>
      <c r="F1618">
        <f t="shared" si="25"/>
        <v>4.7807999999999993</v>
      </c>
    </row>
    <row r="1619" spans="1:6" x14ac:dyDescent="0.2">
      <c r="A1619">
        <v>831</v>
      </c>
      <c r="B1619" t="s">
        <v>233</v>
      </c>
      <c r="C1619" t="s">
        <v>234</v>
      </c>
      <c r="D1619">
        <v>1</v>
      </c>
      <c r="E1619">
        <v>3989.2954</v>
      </c>
      <c r="F1619">
        <f t="shared" si="25"/>
        <v>3989.2954</v>
      </c>
    </row>
    <row r="1620" spans="1:6" x14ac:dyDescent="0.2">
      <c r="A1620">
        <v>831</v>
      </c>
      <c r="B1620" t="s">
        <v>142</v>
      </c>
      <c r="C1620" t="s">
        <v>143</v>
      </c>
      <c r="D1620">
        <v>3</v>
      </c>
      <c r="E1620">
        <v>18141.642</v>
      </c>
      <c r="F1620">
        <f t="shared" si="25"/>
        <v>54424.925999999999</v>
      </c>
    </row>
    <row r="1621" spans="1:6" x14ac:dyDescent="0.2">
      <c r="A1621">
        <v>831</v>
      </c>
      <c r="B1621" t="s">
        <v>144</v>
      </c>
      <c r="C1621" t="s">
        <v>145</v>
      </c>
      <c r="D1621">
        <v>2</v>
      </c>
      <c r="E1621">
        <v>7346.6769230769241</v>
      </c>
      <c r="F1621">
        <f t="shared" si="25"/>
        <v>14693.353846153848</v>
      </c>
    </row>
    <row r="1622" spans="1:6" x14ac:dyDescent="0.2">
      <c r="A1622">
        <v>831</v>
      </c>
      <c r="B1622" t="s">
        <v>197</v>
      </c>
      <c r="C1622" t="s">
        <v>117</v>
      </c>
      <c r="D1622">
        <v>4</v>
      </c>
      <c r="E1622">
        <v>7.4699999999999989E-2</v>
      </c>
      <c r="F1622">
        <f t="shared" si="25"/>
        <v>0.29879999999999995</v>
      </c>
    </row>
    <row r="1623" spans="1:6" x14ac:dyDescent="0.2">
      <c r="A1623">
        <v>831</v>
      </c>
      <c r="B1623" t="s">
        <v>198</v>
      </c>
      <c r="C1623" t="s">
        <v>199</v>
      </c>
      <c r="D1623">
        <v>1</v>
      </c>
      <c r="E1623">
        <v>0.66373439999999995</v>
      </c>
      <c r="F1623">
        <f t="shared" si="25"/>
        <v>0.66373439999999995</v>
      </c>
    </row>
    <row r="1624" spans="1:6" x14ac:dyDescent="0.2">
      <c r="A1624">
        <v>831</v>
      </c>
      <c r="B1624" t="s">
        <v>200</v>
      </c>
      <c r="C1624" t="s">
        <v>199</v>
      </c>
      <c r="D1624">
        <v>118</v>
      </c>
      <c r="E1624">
        <v>0.66373439999999995</v>
      </c>
      <c r="F1624">
        <f t="shared" si="25"/>
        <v>78.320659199999994</v>
      </c>
    </row>
    <row r="1625" spans="1:6" x14ac:dyDescent="0.2">
      <c r="A1625">
        <v>831</v>
      </c>
      <c r="B1625" t="s">
        <v>201</v>
      </c>
      <c r="C1625" t="s">
        <v>76</v>
      </c>
      <c r="D1625">
        <v>1</v>
      </c>
      <c r="E1625">
        <v>0.22645055999999994</v>
      </c>
      <c r="F1625">
        <f t="shared" si="25"/>
        <v>0.22645055999999994</v>
      </c>
    </row>
    <row r="1626" spans="1:6" x14ac:dyDescent="0.2">
      <c r="A1626">
        <v>831</v>
      </c>
      <c r="B1626" t="s">
        <v>202</v>
      </c>
      <c r="C1626" t="s">
        <v>203</v>
      </c>
      <c r="D1626">
        <v>1</v>
      </c>
      <c r="E1626">
        <v>12.45</v>
      </c>
      <c r="F1626">
        <f t="shared" si="25"/>
        <v>12.45</v>
      </c>
    </row>
    <row r="1627" spans="1:6" x14ac:dyDescent="0.2">
      <c r="A1627">
        <v>831</v>
      </c>
      <c r="B1627" t="s">
        <v>204</v>
      </c>
      <c r="C1627" t="s">
        <v>205</v>
      </c>
      <c r="D1627">
        <v>3</v>
      </c>
      <c r="E1627">
        <v>103.72216512</v>
      </c>
      <c r="F1627">
        <f t="shared" si="25"/>
        <v>311.16649536</v>
      </c>
    </row>
    <row r="1628" spans="1:6" x14ac:dyDescent="0.2">
      <c r="A1628">
        <v>831</v>
      </c>
      <c r="B1628" t="s">
        <v>116</v>
      </c>
      <c r="C1628" t="s">
        <v>117</v>
      </c>
      <c r="D1628">
        <v>1</v>
      </c>
      <c r="E1628">
        <v>0.25729999999999997</v>
      </c>
      <c r="F1628">
        <f t="shared" si="25"/>
        <v>0.25729999999999997</v>
      </c>
    </row>
    <row r="1629" spans="1:6" x14ac:dyDescent="0.2">
      <c r="A1629">
        <v>831</v>
      </c>
      <c r="B1629" t="s">
        <v>78</v>
      </c>
      <c r="C1629" t="s">
        <v>76</v>
      </c>
      <c r="D1629">
        <v>2</v>
      </c>
      <c r="E1629">
        <v>0.71839487999999996</v>
      </c>
      <c r="F1629">
        <f t="shared" si="25"/>
        <v>1.4367897599999999</v>
      </c>
    </row>
    <row r="1630" spans="1:6" x14ac:dyDescent="0.2">
      <c r="A1630">
        <v>831</v>
      </c>
      <c r="B1630" t="s">
        <v>207</v>
      </c>
      <c r="C1630" t="s">
        <v>208</v>
      </c>
      <c r="D1630">
        <v>3</v>
      </c>
      <c r="E1630">
        <v>4.6314000000000002</v>
      </c>
      <c r="F1630">
        <f t="shared" si="25"/>
        <v>13.894200000000001</v>
      </c>
    </row>
    <row r="1631" spans="1:6" x14ac:dyDescent="0.2">
      <c r="A1631">
        <v>831</v>
      </c>
      <c r="B1631" t="s">
        <v>209</v>
      </c>
      <c r="C1631" t="s">
        <v>210</v>
      </c>
      <c r="D1631">
        <v>6</v>
      </c>
      <c r="E1631">
        <v>39.550761599999994</v>
      </c>
      <c r="F1631">
        <f t="shared" si="25"/>
        <v>237.30456959999998</v>
      </c>
    </row>
    <row r="1632" spans="1:6" x14ac:dyDescent="0.2">
      <c r="A1632">
        <v>831</v>
      </c>
      <c r="B1632" t="s">
        <v>211</v>
      </c>
      <c r="C1632" t="s">
        <v>203</v>
      </c>
      <c r="D1632">
        <v>6</v>
      </c>
      <c r="E1632">
        <v>25.754899999999999</v>
      </c>
      <c r="F1632">
        <f t="shared" si="25"/>
        <v>154.52940000000001</v>
      </c>
    </row>
    <row r="1633" spans="1:6" x14ac:dyDescent="0.2">
      <c r="A1633">
        <v>831</v>
      </c>
      <c r="B1633" t="s">
        <v>212</v>
      </c>
      <c r="C1633" t="s">
        <v>213</v>
      </c>
      <c r="D1633">
        <v>1</v>
      </c>
      <c r="E1633">
        <v>272.92059999999998</v>
      </c>
      <c r="F1633">
        <f t="shared" si="25"/>
        <v>272.92059999999998</v>
      </c>
    </row>
    <row r="1634" spans="1:6" x14ac:dyDescent="0.2">
      <c r="A1634">
        <v>831</v>
      </c>
      <c r="B1634" t="s">
        <v>149</v>
      </c>
      <c r="C1634" t="s">
        <v>150</v>
      </c>
      <c r="D1634">
        <v>3</v>
      </c>
      <c r="E1634">
        <v>0.7054999999999999</v>
      </c>
      <c r="F1634">
        <f t="shared" si="25"/>
        <v>2.1164999999999998</v>
      </c>
    </row>
    <row r="1635" spans="1:6" x14ac:dyDescent="0.2">
      <c r="A1635">
        <v>831</v>
      </c>
      <c r="B1635" t="s">
        <v>151</v>
      </c>
      <c r="C1635" t="s">
        <v>152</v>
      </c>
      <c r="D1635">
        <v>1</v>
      </c>
      <c r="E1635">
        <v>5.6190999999999995</v>
      </c>
      <c r="F1635">
        <f t="shared" si="25"/>
        <v>5.6190999999999995</v>
      </c>
    </row>
    <row r="1636" spans="1:6" x14ac:dyDescent="0.2">
      <c r="A1636">
        <v>831</v>
      </c>
      <c r="B1636" t="s">
        <v>153</v>
      </c>
      <c r="C1636" t="s">
        <v>119</v>
      </c>
      <c r="D1636">
        <v>1</v>
      </c>
      <c r="E1636">
        <v>1.11663552</v>
      </c>
      <c r="F1636">
        <f t="shared" si="25"/>
        <v>1.11663552</v>
      </c>
    </row>
    <row r="1637" spans="1:6" x14ac:dyDescent="0.2">
      <c r="A1637">
        <v>831</v>
      </c>
      <c r="B1637" t="s">
        <v>154</v>
      </c>
      <c r="C1637" t="s">
        <v>117</v>
      </c>
      <c r="D1637">
        <v>3</v>
      </c>
      <c r="E1637">
        <v>4.3657999999999992</v>
      </c>
      <c r="F1637">
        <f t="shared" ref="F1637:F1700" si="26">D1637*E1637</f>
        <v>13.097399999999997</v>
      </c>
    </row>
    <row r="1638" spans="1:6" x14ac:dyDescent="0.2">
      <c r="A1638">
        <v>831</v>
      </c>
      <c r="B1638" t="s">
        <v>155</v>
      </c>
      <c r="C1638" t="s">
        <v>156</v>
      </c>
      <c r="D1638">
        <v>2</v>
      </c>
      <c r="E1638">
        <v>28.551999999999996</v>
      </c>
      <c r="F1638">
        <f t="shared" si="26"/>
        <v>57.103999999999992</v>
      </c>
    </row>
    <row r="1639" spans="1:6" x14ac:dyDescent="0.2">
      <c r="A1639">
        <v>831</v>
      </c>
      <c r="B1639" t="s">
        <v>157</v>
      </c>
      <c r="C1639" t="s">
        <v>158</v>
      </c>
      <c r="D1639">
        <v>1</v>
      </c>
      <c r="E1639">
        <v>29.456700000000001</v>
      </c>
      <c r="F1639">
        <f t="shared" si="26"/>
        <v>29.456700000000001</v>
      </c>
    </row>
    <row r="1640" spans="1:6" x14ac:dyDescent="0.2">
      <c r="A1640">
        <v>831</v>
      </c>
      <c r="B1640" t="s">
        <v>159</v>
      </c>
      <c r="C1640" t="s">
        <v>117</v>
      </c>
      <c r="D1640">
        <v>5</v>
      </c>
      <c r="E1640">
        <v>11.976899999999999</v>
      </c>
      <c r="F1640">
        <f t="shared" si="26"/>
        <v>59.884499999999996</v>
      </c>
    </row>
    <row r="1641" spans="1:6" x14ac:dyDescent="0.2">
      <c r="A1641">
        <v>831</v>
      </c>
      <c r="B1641" t="s">
        <v>116</v>
      </c>
      <c r="C1641" t="s">
        <v>117</v>
      </c>
      <c r="D1641">
        <v>1</v>
      </c>
      <c r="E1641">
        <v>0.25729999999999997</v>
      </c>
      <c r="F1641">
        <f t="shared" si="26"/>
        <v>0.25729999999999997</v>
      </c>
    </row>
    <row r="1642" spans="1:6" x14ac:dyDescent="0.2">
      <c r="A1642">
        <v>831</v>
      </c>
      <c r="B1642" t="s">
        <v>160</v>
      </c>
      <c r="C1642" t="s">
        <v>161</v>
      </c>
      <c r="D1642">
        <v>1</v>
      </c>
      <c r="E1642">
        <v>15.9194</v>
      </c>
      <c r="F1642">
        <f t="shared" si="26"/>
        <v>15.9194</v>
      </c>
    </row>
    <row r="1643" spans="1:6" x14ac:dyDescent="0.2">
      <c r="A1643">
        <v>831</v>
      </c>
      <c r="B1643" t="s">
        <v>162</v>
      </c>
      <c r="C1643" t="s">
        <v>163</v>
      </c>
      <c r="D1643">
        <v>1</v>
      </c>
      <c r="E1643">
        <v>62.822699999999998</v>
      </c>
      <c r="F1643">
        <f t="shared" si="26"/>
        <v>62.822699999999998</v>
      </c>
    </row>
    <row r="1644" spans="1:6" x14ac:dyDescent="0.2">
      <c r="A1644">
        <v>831</v>
      </c>
      <c r="B1644" t="s">
        <v>164</v>
      </c>
      <c r="C1644" t="s">
        <v>165</v>
      </c>
      <c r="D1644">
        <v>5</v>
      </c>
      <c r="E1644">
        <v>29.381999999999998</v>
      </c>
      <c r="F1644">
        <f t="shared" si="26"/>
        <v>146.91</v>
      </c>
    </row>
    <row r="1645" spans="1:6" x14ac:dyDescent="0.2">
      <c r="A1645">
        <v>831</v>
      </c>
      <c r="B1645" t="s">
        <v>166</v>
      </c>
      <c r="C1645" t="s">
        <v>76</v>
      </c>
      <c r="D1645">
        <v>5</v>
      </c>
      <c r="E1645">
        <v>0.97109999999999985</v>
      </c>
      <c r="F1645">
        <f t="shared" si="26"/>
        <v>4.8554999999999993</v>
      </c>
    </row>
    <row r="1646" spans="1:6" x14ac:dyDescent="0.2">
      <c r="A1646">
        <v>831</v>
      </c>
      <c r="B1646" t="s">
        <v>167</v>
      </c>
      <c r="C1646" t="s">
        <v>168</v>
      </c>
      <c r="D1646">
        <v>1</v>
      </c>
      <c r="E1646">
        <v>68.201099999999997</v>
      </c>
      <c r="F1646">
        <f t="shared" si="26"/>
        <v>68.201099999999997</v>
      </c>
    </row>
    <row r="1647" spans="1:6" x14ac:dyDescent="0.2">
      <c r="A1647">
        <v>831</v>
      </c>
      <c r="B1647" t="s">
        <v>169</v>
      </c>
      <c r="C1647" t="s">
        <v>119</v>
      </c>
      <c r="D1647">
        <v>1</v>
      </c>
      <c r="E1647">
        <v>26.078600000000002</v>
      </c>
      <c r="F1647">
        <f t="shared" si="26"/>
        <v>26.078600000000002</v>
      </c>
    </row>
    <row r="1648" spans="1:6" x14ac:dyDescent="0.2">
      <c r="A1648">
        <v>831</v>
      </c>
      <c r="B1648" t="s">
        <v>170</v>
      </c>
      <c r="C1648" t="s">
        <v>171</v>
      </c>
      <c r="D1648">
        <v>4</v>
      </c>
      <c r="E1648">
        <v>15.438000000000001</v>
      </c>
      <c r="F1648">
        <f t="shared" si="26"/>
        <v>61.752000000000002</v>
      </c>
    </row>
    <row r="1649" spans="1:6" x14ac:dyDescent="0.2">
      <c r="A1649">
        <v>831</v>
      </c>
      <c r="B1649" t="s">
        <v>172</v>
      </c>
      <c r="C1649" t="s">
        <v>173</v>
      </c>
      <c r="D1649">
        <v>3</v>
      </c>
      <c r="E1649">
        <v>158.41380000000001</v>
      </c>
      <c r="F1649">
        <f t="shared" si="26"/>
        <v>475.2414</v>
      </c>
    </row>
    <row r="1650" spans="1:6" x14ac:dyDescent="0.2">
      <c r="A1650">
        <v>831</v>
      </c>
      <c r="B1650" t="s">
        <v>174</v>
      </c>
      <c r="C1650" t="s">
        <v>119</v>
      </c>
      <c r="D1650">
        <v>1</v>
      </c>
      <c r="E1650">
        <v>1.2616000000000001</v>
      </c>
      <c r="F1650">
        <f t="shared" si="26"/>
        <v>1.2616000000000001</v>
      </c>
    </row>
    <row r="1651" spans="1:6" x14ac:dyDescent="0.2">
      <c r="A1651">
        <v>831</v>
      </c>
      <c r="B1651" t="s">
        <v>175</v>
      </c>
      <c r="C1651" t="s">
        <v>176</v>
      </c>
      <c r="D1651">
        <v>3</v>
      </c>
      <c r="E1651">
        <v>194.7595</v>
      </c>
      <c r="F1651">
        <f t="shared" si="26"/>
        <v>584.27850000000001</v>
      </c>
    </row>
    <row r="1652" spans="1:6" x14ac:dyDescent="0.2">
      <c r="A1652">
        <v>831</v>
      </c>
      <c r="B1652" t="s">
        <v>177</v>
      </c>
      <c r="C1652" t="s">
        <v>178</v>
      </c>
      <c r="D1652">
        <v>2</v>
      </c>
      <c r="E1652">
        <v>1660.6244256000002</v>
      </c>
      <c r="F1652">
        <f t="shared" si="26"/>
        <v>3321.2488512000004</v>
      </c>
    </row>
    <row r="1653" spans="1:6" x14ac:dyDescent="0.2">
      <c r="A1653">
        <v>831</v>
      </c>
      <c r="B1653" t="s">
        <v>179</v>
      </c>
      <c r="C1653" t="s">
        <v>119</v>
      </c>
      <c r="D1653">
        <v>4</v>
      </c>
      <c r="E1653">
        <v>32.444700000000005</v>
      </c>
      <c r="F1653">
        <f t="shared" si="26"/>
        <v>129.77880000000002</v>
      </c>
    </row>
    <row r="1654" spans="1:6" x14ac:dyDescent="0.2">
      <c r="A1654">
        <v>831</v>
      </c>
      <c r="B1654" t="s">
        <v>180</v>
      </c>
      <c r="C1654" t="s">
        <v>181</v>
      </c>
      <c r="D1654">
        <v>1</v>
      </c>
      <c r="E1654">
        <v>64.117499999999993</v>
      </c>
      <c r="F1654">
        <f t="shared" si="26"/>
        <v>64.117499999999993</v>
      </c>
    </row>
    <row r="1655" spans="1:6" x14ac:dyDescent="0.2">
      <c r="A1655">
        <v>831</v>
      </c>
      <c r="B1655" t="s">
        <v>182</v>
      </c>
      <c r="C1655" t="s">
        <v>158</v>
      </c>
      <c r="D1655">
        <v>118</v>
      </c>
      <c r="E1655">
        <v>80.788189439999996</v>
      </c>
      <c r="F1655">
        <f t="shared" si="26"/>
        <v>9533.00635392</v>
      </c>
    </row>
    <row r="1656" spans="1:6" x14ac:dyDescent="0.2">
      <c r="A1656">
        <v>831</v>
      </c>
      <c r="B1656" t="s">
        <v>183</v>
      </c>
      <c r="C1656" t="s">
        <v>184</v>
      </c>
      <c r="D1656">
        <v>1</v>
      </c>
      <c r="E1656">
        <v>548.61538461538476</v>
      </c>
      <c r="F1656">
        <f t="shared" si="26"/>
        <v>548.61538461538476</v>
      </c>
    </row>
    <row r="1657" spans="1:6" x14ac:dyDescent="0.2">
      <c r="A1657">
        <v>831</v>
      </c>
      <c r="B1657" t="s">
        <v>185</v>
      </c>
      <c r="C1657" t="s">
        <v>186</v>
      </c>
      <c r="D1657">
        <v>1</v>
      </c>
      <c r="E1657">
        <v>278.05</v>
      </c>
      <c r="F1657">
        <f t="shared" si="26"/>
        <v>278.05</v>
      </c>
    </row>
    <row r="1658" spans="1:6" x14ac:dyDescent="0.2">
      <c r="A1658">
        <v>831</v>
      </c>
      <c r="B1658" t="s">
        <v>187</v>
      </c>
      <c r="C1658" t="s">
        <v>188</v>
      </c>
      <c r="D1658">
        <v>3</v>
      </c>
      <c r="E1658">
        <v>105.03649999999999</v>
      </c>
      <c r="F1658">
        <f t="shared" si="26"/>
        <v>315.10949999999997</v>
      </c>
    </row>
    <row r="1659" spans="1:6" x14ac:dyDescent="0.2">
      <c r="A1659">
        <v>831</v>
      </c>
      <c r="B1659" t="s">
        <v>189</v>
      </c>
      <c r="C1659" t="s">
        <v>163</v>
      </c>
      <c r="D1659">
        <v>1</v>
      </c>
      <c r="E1659">
        <v>154.25968320000001</v>
      </c>
      <c r="F1659">
        <f t="shared" si="26"/>
        <v>154.25968320000001</v>
      </c>
    </row>
    <row r="1660" spans="1:6" x14ac:dyDescent="0.2">
      <c r="A1660">
        <v>831</v>
      </c>
      <c r="B1660" t="s">
        <v>190</v>
      </c>
      <c r="C1660" t="s">
        <v>191</v>
      </c>
      <c r="D1660">
        <v>2</v>
      </c>
      <c r="E1660">
        <v>1397.886</v>
      </c>
      <c r="F1660">
        <f t="shared" si="26"/>
        <v>2795.7719999999999</v>
      </c>
    </row>
    <row r="1661" spans="1:6" x14ac:dyDescent="0.2">
      <c r="A1661">
        <v>831</v>
      </c>
      <c r="B1661" t="s">
        <v>192</v>
      </c>
      <c r="C1661" t="s">
        <v>193</v>
      </c>
      <c r="D1661">
        <v>3</v>
      </c>
      <c r="E1661">
        <v>843.03639167999984</v>
      </c>
      <c r="F1661">
        <f t="shared" si="26"/>
        <v>2529.1091750399996</v>
      </c>
    </row>
    <row r="1662" spans="1:6" x14ac:dyDescent="0.2">
      <c r="A1662">
        <v>831</v>
      </c>
      <c r="B1662" t="s">
        <v>194</v>
      </c>
      <c r="C1662" t="s">
        <v>193</v>
      </c>
      <c r="D1662">
        <v>6</v>
      </c>
      <c r="E1662">
        <v>868.20489999999995</v>
      </c>
      <c r="F1662">
        <f t="shared" si="26"/>
        <v>5209.2294000000002</v>
      </c>
    </row>
    <row r="1663" spans="1:6" x14ac:dyDescent="0.2">
      <c r="A1663">
        <v>831</v>
      </c>
      <c r="B1663" t="s">
        <v>195</v>
      </c>
      <c r="C1663" t="s">
        <v>117</v>
      </c>
      <c r="D1663">
        <v>6</v>
      </c>
      <c r="E1663">
        <v>1.0374999999999999</v>
      </c>
      <c r="F1663">
        <f t="shared" si="26"/>
        <v>6.2249999999999996</v>
      </c>
    </row>
    <row r="1664" spans="1:6" x14ac:dyDescent="0.2">
      <c r="A1664">
        <v>831</v>
      </c>
      <c r="B1664" t="s">
        <v>135</v>
      </c>
      <c r="C1664" t="s">
        <v>136</v>
      </c>
      <c r="D1664">
        <v>1</v>
      </c>
      <c r="E1664">
        <v>395.04690624</v>
      </c>
      <c r="F1664">
        <f t="shared" si="26"/>
        <v>395.04690624</v>
      </c>
    </row>
    <row r="1665" spans="1:6" x14ac:dyDescent="0.2">
      <c r="A1665">
        <v>831</v>
      </c>
      <c r="B1665" t="s">
        <v>137</v>
      </c>
      <c r="C1665" t="s">
        <v>138</v>
      </c>
      <c r="D1665">
        <v>3</v>
      </c>
      <c r="E1665">
        <v>252.98431871999998</v>
      </c>
      <c r="F1665">
        <f t="shared" si="26"/>
        <v>758.95295615999999</v>
      </c>
    </row>
    <row r="1666" spans="1:6" x14ac:dyDescent="0.2">
      <c r="A1666">
        <v>831</v>
      </c>
      <c r="B1666" t="s">
        <v>139</v>
      </c>
      <c r="C1666" t="s">
        <v>140</v>
      </c>
      <c r="D1666">
        <v>1</v>
      </c>
      <c r="E1666">
        <v>2054.4575</v>
      </c>
      <c r="F1666">
        <f t="shared" si="26"/>
        <v>2054.4575</v>
      </c>
    </row>
    <row r="1667" spans="1:6" x14ac:dyDescent="0.2">
      <c r="A1667">
        <v>831</v>
      </c>
      <c r="B1667" t="s">
        <v>116</v>
      </c>
      <c r="C1667" t="s">
        <v>117</v>
      </c>
      <c r="D1667">
        <v>1</v>
      </c>
      <c r="E1667">
        <v>0.25729999999999997</v>
      </c>
      <c r="F1667">
        <f t="shared" si="26"/>
        <v>0.25729999999999997</v>
      </c>
    </row>
    <row r="1668" spans="1:6" x14ac:dyDescent="0.2">
      <c r="A1668">
        <v>831</v>
      </c>
      <c r="B1668" t="s">
        <v>118</v>
      </c>
      <c r="C1668" t="s">
        <v>119</v>
      </c>
      <c r="D1668">
        <v>3</v>
      </c>
      <c r="E1668">
        <v>0.83</v>
      </c>
      <c r="F1668">
        <f t="shared" si="26"/>
        <v>2.4899999999999998</v>
      </c>
    </row>
    <row r="1669" spans="1:6" x14ac:dyDescent="0.2">
      <c r="A1669">
        <v>831</v>
      </c>
      <c r="B1669" t="s">
        <v>120</v>
      </c>
      <c r="C1669" t="s">
        <v>117</v>
      </c>
      <c r="D1669">
        <v>2</v>
      </c>
      <c r="E1669">
        <v>1.5603999999999998</v>
      </c>
      <c r="F1669">
        <f t="shared" si="26"/>
        <v>3.1207999999999996</v>
      </c>
    </row>
    <row r="1670" spans="1:6" x14ac:dyDescent="0.2">
      <c r="A1670">
        <v>831</v>
      </c>
      <c r="B1670" t="s">
        <v>121</v>
      </c>
      <c r="C1670" t="s">
        <v>117</v>
      </c>
      <c r="D1670">
        <v>1</v>
      </c>
      <c r="E1670">
        <v>270.83729999999997</v>
      </c>
      <c r="F1670">
        <f t="shared" si="26"/>
        <v>270.83729999999997</v>
      </c>
    </row>
    <row r="1671" spans="1:6" x14ac:dyDescent="0.2">
      <c r="A1671">
        <v>831</v>
      </c>
      <c r="B1671" t="s">
        <v>122</v>
      </c>
      <c r="C1671" t="s">
        <v>76</v>
      </c>
      <c r="D1671">
        <v>5</v>
      </c>
      <c r="E1671">
        <v>14.915099999999999</v>
      </c>
      <c r="F1671">
        <f t="shared" si="26"/>
        <v>74.575499999999991</v>
      </c>
    </row>
    <row r="1672" spans="1:6" x14ac:dyDescent="0.2">
      <c r="A1672">
        <v>831</v>
      </c>
      <c r="B1672" t="s">
        <v>123</v>
      </c>
      <c r="C1672" t="s">
        <v>119</v>
      </c>
      <c r="D1672">
        <v>1</v>
      </c>
      <c r="E1672">
        <v>122.52459999999999</v>
      </c>
      <c r="F1672">
        <f t="shared" si="26"/>
        <v>122.52459999999999</v>
      </c>
    </row>
    <row r="1673" spans="1:6" x14ac:dyDescent="0.2">
      <c r="A1673">
        <v>831</v>
      </c>
      <c r="B1673" t="s">
        <v>124</v>
      </c>
      <c r="C1673" t="s">
        <v>119</v>
      </c>
      <c r="D1673">
        <v>1</v>
      </c>
      <c r="E1673">
        <v>65.877099999999999</v>
      </c>
      <c r="F1673">
        <f t="shared" si="26"/>
        <v>65.877099999999999</v>
      </c>
    </row>
    <row r="1674" spans="1:6" x14ac:dyDescent="0.2">
      <c r="A1674">
        <v>831</v>
      </c>
      <c r="B1674" t="s">
        <v>125</v>
      </c>
      <c r="C1674" t="s">
        <v>117</v>
      </c>
      <c r="D1674">
        <v>1</v>
      </c>
      <c r="E1674">
        <v>45.957099999999997</v>
      </c>
      <c r="F1674">
        <f t="shared" si="26"/>
        <v>45.957099999999997</v>
      </c>
    </row>
    <row r="1675" spans="1:6" x14ac:dyDescent="0.2">
      <c r="A1675">
        <v>831</v>
      </c>
      <c r="B1675" t="s">
        <v>126</v>
      </c>
      <c r="C1675" t="s">
        <v>127</v>
      </c>
      <c r="D1675">
        <v>5</v>
      </c>
      <c r="E1675">
        <v>411.49739999999997</v>
      </c>
      <c r="F1675">
        <f t="shared" si="26"/>
        <v>2057.4870000000001</v>
      </c>
    </row>
    <row r="1676" spans="1:6" x14ac:dyDescent="0.2">
      <c r="A1676">
        <v>831</v>
      </c>
      <c r="B1676" t="s">
        <v>129</v>
      </c>
      <c r="C1676" t="s">
        <v>130</v>
      </c>
      <c r="D1676">
        <v>5</v>
      </c>
      <c r="E1676">
        <v>6724.2781999999997</v>
      </c>
      <c r="F1676">
        <f t="shared" si="26"/>
        <v>33621.390999999996</v>
      </c>
    </row>
    <row r="1677" spans="1:6" x14ac:dyDescent="0.2">
      <c r="A1677">
        <v>831</v>
      </c>
      <c r="B1677" t="s">
        <v>132</v>
      </c>
      <c r="C1677" t="s">
        <v>133</v>
      </c>
      <c r="D1677">
        <v>1</v>
      </c>
      <c r="E1677">
        <v>1168.0257999999999</v>
      </c>
      <c r="F1677">
        <f t="shared" si="26"/>
        <v>1168.0257999999999</v>
      </c>
    </row>
    <row r="1678" spans="1:6" x14ac:dyDescent="0.2">
      <c r="A1678">
        <v>831</v>
      </c>
      <c r="B1678" t="s">
        <v>110</v>
      </c>
      <c r="C1678" t="s">
        <v>111</v>
      </c>
      <c r="D1678">
        <v>1</v>
      </c>
      <c r="E1678">
        <v>119.83539999999999</v>
      </c>
      <c r="F1678">
        <f t="shared" si="26"/>
        <v>119.83539999999999</v>
      </c>
    </row>
    <row r="1679" spans="1:6" x14ac:dyDescent="0.2">
      <c r="A1679">
        <v>831</v>
      </c>
      <c r="B1679" t="s">
        <v>112</v>
      </c>
      <c r="C1679" t="s">
        <v>113</v>
      </c>
      <c r="D1679">
        <v>4</v>
      </c>
      <c r="E1679">
        <v>97.646153846153851</v>
      </c>
      <c r="F1679">
        <f t="shared" si="26"/>
        <v>390.5846153846154</v>
      </c>
    </row>
    <row r="1680" spans="1:6" x14ac:dyDescent="0.2">
      <c r="A1680">
        <v>831</v>
      </c>
      <c r="B1680" t="s">
        <v>110</v>
      </c>
      <c r="C1680" t="s">
        <v>111</v>
      </c>
      <c r="D1680">
        <v>3</v>
      </c>
      <c r="E1680">
        <v>119.83539999999999</v>
      </c>
      <c r="F1680">
        <f t="shared" si="26"/>
        <v>359.50619999999998</v>
      </c>
    </row>
    <row r="1681" spans="1:6" x14ac:dyDescent="0.2">
      <c r="A1681">
        <v>831</v>
      </c>
      <c r="B1681" t="s">
        <v>112</v>
      </c>
      <c r="C1681" t="s">
        <v>113</v>
      </c>
      <c r="D1681">
        <v>1</v>
      </c>
      <c r="E1681">
        <v>97.646153846153851</v>
      </c>
      <c r="F1681">
        <f t="shared" si="26"/>
        <v>97.646153846153851</v>
      </c>
    </row>
    <row r="1682" spans="1:6" x14ac:dyDescent="0.2">
      <c r="A1682">
        <v>831</v>
      </c>
      <c r="B1682" t="s">
        <v>97</v>
      </c>
      <c r="C1682" t="s">
        <v>98</v>
      </c>
      <c r="D1682">
        <v>3</v>
      </c>
      <c r="E1682">
        <v>189.87909999999999</v>
      </c>
      <c r="F1682">
        <f t="shared" si="26"/>
        <v>569.63729999999998</v>
      </c>
    </row>
    <row r="1683" spans="1:6" x14ac:dyDescent="0.2">
      <c r="A1683">
        <v>831</v>
      </c>
      <c r="B1683" t="s">
        <v>99</v>
      </c>
      <c r="C1683" t="s">
        <v>100</v>
      </c>
      <c r="D1683">
        <v>2</v>
      </c>
      <c r="E1683">
        <v>1287.1384615384613</v>
      </c>
      <c r="F1683">
        <f t="shared" si="26"/>
        <v>2574.2769230769227</v>
      </c>
    </row>
    <row r="1684" spans="1:6" x14ac:dyDescent="0.2">
      <c r="A1684">
        <v>831</v>
      </c>
      <c r="B1684" t="s">
        <v>101</v>
      </c>
      <c r="C1684" t="s">
        <v>102</v>
      </c>
      <c r="D1684">
        <v>4</v>
      </c>
      <c r="E1684">
        <v>1363.0371551999999</v>
      </c>
      <c r="F1684">
        <f t="shared" si="26"/>
        <v>5452.1486207999997</v>
      </c>
    </row>
    <row r="1685" spans="1:6" x14ac:dyDescent="0.2">
      <c r="A1685">
        <v>831</v>
      </c>
      <c r="B1685" t="s">
        <v>103</v>
      </c>
      <c r="C1685" t="s">
        <v>104</v>
      </c>
      <c r="D1685">
        <v>1</v>
      </c>
      <c r="E1685">
        <v>423.58219999999994</v>
      </c>
      <c r="F1685">
        <f t="shared" si="26"/>
        <v>423.58219999999994</v>
      </c>
    </row>
    <row r="1686" spans="1:6" x14ac:dyDescent="0.2">
      <c r="A1686">
        <v>831</v>
      </c>
      <c r="B1686" t="s">
        <v>105</v>
      </c>
      <c r="C1686" t="s">
        <v>106</v>
      </c>
      <c r="D1686">
        <v>118</v>
      </c>
      <c r="E1686">
        <v>36.470199999999998</v>
      </c>
      <c r="F1686">
        <f t="shared" si="26"/>
        <v>4303.4835999999996</v>
      </c>
    </row>
    <row r="1687" spans="1:6" x14ac:dyDescent="0.2">
      <c r="A1687">
        <v>831</v>
      </c>
      <c r="B1687" t="s">
        <v>107</v>
      </c>
      <c r="C1687" t="s">
        <v>108</v>
      </c>
      <c r="D1687">
        <v>1</v>
      </c>
      <c r="E1687">
        <v>61.492307692307698</v>
      </c>
      <c r="F1687">
        <f t="shared" si="26"/>
        <v>61.492307692307698</v>
      </c>
    </row>
    <row r="1688" spans="1:6" x14ac:dyDescent="0.2">
      <c r="A1688">
        <v>831</v>
      </c>
      <c r="B1688" t="s">
        <v>62</v>
      </c>
      <c r="C1688" t="s">
        <v>323</v>
      </c>
      <c r="D1688">
        <v>1</v>
      </c>
      <c r="E1688">
        <v>0.34859999999999997</v>
      </c>
      <c r="F1688">
        <f t="shared" si="26"/>
        <v>0.34859999999999997</v>
      </c>
    </row>
    <row r="1689" spans="1:6" x14ac:dyDescent="0.2">
      <c r="A1689">
        <v>831</v>
      </c>
      <c r="B1689" t="s">
        <v>324</v>
      </c>
      <c r="C1689" t="s">
        <v>273</v>
      </c>
      <c r="D1689">
        <v>3</v>
      </c>
      <c r="E1689">
        <v>0.9544999999999999</v>
      </c>
      <c r="F1689">
        <f t="shared" si="26"/>
        <v>2.8634999999999997</v>
      </c>
    </row>
    <row r="1690" spans="1:6" x14ac:dyDescent="0.2">
      <c r="A1690">
        <v>831</v>
      </c>
      <c r="B1690" t="s">
        <v>325</v>
      </c>
      <c r="C1690" t="s">
        <v>273</v>
      </c>
      <c r="D1690">
        <v>1</v>
      </c>
      <c r="E1690">
        <v>3.3692307692307697</v>
      </c>
      <c r="F1690">
        <f t="shared" si="26"/>
        <v>3.3692307692307697</v>
      </c>
    </row>
    <row r="1691" spans="1:6" x14ac:dyDescent="0.2">
      <c r="A1691">
        <v>831</v>
      </c>
      <c r="B1691" t="s">
        <v>154</v>
      </c>
      <c r="C1691" t="s">
        <v>278</v>
      </c>
      <c r="D1691">
        <v>2</v>
      </c>
      <c r="E1691">
        <v>4.3657999999999992</v>
      </c>
      <c r="F1691">
        <f t="shared" si="26"/>
        <v>8.7315999999999985</v>
      </c>
    </row>
    <row r="1692" spans="1:6" x14ac:dyDescent="0.2">
      <c r="A1692">
        <v>831</v>
      </c>
      <c r="B1692" t="s">
        <v>290</v>
      </c>
      <c r="C1692" t="s">
        <v>278</v>
      </c>
      <c r="D1692">
        <v>3</v>
      </c>
      <c r="E1692">
        <v>43.751809919999999</v>
      </c>
      <c r="F1692">
        <f t="shared" si="26"/>
        <v>131.25542976</v>
      </c>
    </row>
    <row r="1693" spans="1:6" x14ac:dyDescent="0.2">
      <c r="A1693">
        <v>831</v>
      </c>
      <c r="B1693" t="s">
        <v>288</v>
      </c>
      <c r="C1693" t="s">
        <v>289</v>
      </c>
      <c r="D1693">
        <v>6</v>
      </c>
      <c r="E1693">
        <v>7.3401215999999998</v>
      </c>
      <c r="F1693">
        <f t="shared" si="26"/>
        <v>44.040729599999999</v>
      </c>
    </row>
    <row r="1694" spans="1:6" x14ac:dyDescent="0.2">
      <c r="A1694">
        <v>831</v>
      </c>
      <c r="B1694" t="s">
        <v>287</v>
      </c>
      <c r="C1694" t="s">
        <v>273</v>
      </c>
      <c r="D1694">
        <v>6</v>
      </c>
      <c r="E1694">
        <v>100.66898687999999</v>
      </c>
      <c r="F1694">
        <f t="shared" si="26"/>
        <v>604.01392127999998</v>
      </c>
    </row>
    <row r="1695" spans="1:6" x14ac:dyDescent="0.2">
      <c r="A1695">
        <v>831</v>
      </c>
      <c r="B1695" t="s">
        <v>285</v>
      </c>
      <c r="C1695" t="s">
        <v>286</v>
      </c>
      <c r="D1695">
        <v>1</v>
      </c>
      <c r="E1695">
        <v>58.189985279999981</v>
      </c>
      <c r="F1695">
        <f t="shared" si="26"/>
        <v>58.189985279999981</v>
      </c>
    </row>
    <row r="1696" spans="1:6" x14ac:dyDescent="0.2">
      <c r="A1696">
        <v>831</v>
      </c>
      <c r="B1696" t="s">
        <v>291</v>
      </c>
      <c r="C1696" t="s">
        <v>278</v>
      </c>
      <c r="D1696">
        <v>3</v>
      </c>
      <c r="E1696">
        <v>24.136399999999998</v>
      </c>
      <c r="F1696">
        <f t="shared" si="26"/>
        <v>72.409199999999998</v>
      </c>
    </row>
    <row r="1697" spans="1:6" x14ac:dyDescent="0.2">
      <c r="A1697">
        <v>831</v>
      </c>
      <c r="B1697" t="s">
        <v>277</v>
      </c>
      <c r="C1697" t="s">
        <v>278</v>
      </c>
      <c r="D1697">
        <v>1</v>
      </c>
      <c r="E1697">
        <v>41.026594559999999</v>
      </c>
      <c r="F1697">
        <f t="shared" si="26"/>
        <v>41.026594559999999</v>
      </c>
    </row>
    <row r="1698" spans="1:6" x14ac:dyDescent="0.2">
      <c r="A1698">
        <v>831</v>
      </c>
      <c r="B1698" t="s">
        <v>326</v>
      </c>
      <c r="C1698" t="s">
        <v>278</v>
      </c>
      <c r="D1698">
        <v>1</v>
      </c>
      <c r="E1698">
        <v>3.97459776</v>
      </c>
      <c r="F1698">
        <f t="shared" si="26"/>
        <v>3.97459776</v>
      </c>
    </row>
    <row r="1699" spans="1:6" x14ac:dyDescent="0.2">
      <c r="A1699">
        <v>831</v>
      </c>
      <c r="B1699" t="s">
        <v>274</v>
      </c>
      <c r="C1699" t="s">
        <v>273</v>
      </c>
      <c r="D1699">
        <v>3</v>
      </c>
      <c r="E1699">
        <v>149.23091903999997</v>
      </c>
      <c r="F1699">
        <f t="shared" si="26"/>
        <v>447.6927571199999</v>
      </c>
    </row>
    <row r="1700" spans="1:6" x14ac:dyDescent="0.2">
      <c r="A1700">
        <v>831</v>
      </c>
      <c r="B1700" t="s">
        <v>327</v>
      </c>
      <c r="C1700" t="s">
        <v>309</v>
      </c>
      <c r="D1700">
        <v>2</v>
      </c>
      <c r="E1700">
        <v>1532.5236863999999</v>
      </c>
      <c r="F1700">
        <f t="shared" si="26"/>
        <v>3065.0473727999997</v>
      </c>
    </row>
    <row r="1701" spans="1:6" x14ac:dyDescent="0.2">
      <c r="A1701">
        <v>831</v>
      </c>
      <c r="B1701" t="s">
        <v>328</v>
      </c>
      <c r="C1701" t="s">
        <v>329</v>
      </c>
      <c r="D1701">
        <v>1</v>
      </c>
      <c r="E1701">
        <v>155.62307692307695</v>
      </c>
      <c r="F1701">
        <f t="shared" ref="F1701:F1764" si="27">D1701*E1701</f>
        <v>155.62307692307695</v>
      </c>
    </row>
    <row r="1702" spans="1:6" x14ac:dyDescent="0.2">
      <c r="A1702">
        <v>831</v>
      </c>
      <c r="B1702" t="s">
        <v>330</v>
      </c>
      <c r="C1702" t="s">
        <v>331</v>
      </c>
      <c r="D1702">
        <v>5</v>
      </c>
      <c r="E1702">
        <v>710.44615384615395</v>
      </c>
      <c r="F1702">
        <f t="shared" si="27"/>
        <v>3552.2307692307695</v>
      </c>
    </row>
    <row r="1703" spans="1:6" x14ac:dyDescent="0.2">
      <c r="A1703">
        <v>831</v>
      </c>
      <c r="B1703" t="s">
        <v>332</v>
      </c>
      <c r="C1703" t="s">
        <v>333</v>
      </c>
      <c r="D1703">
        <v>1</v>
      </c>
      <c r="E1703">
        <v>167.55384615384617</v>
      </c>
      <c r="F1703">
        <f t="shared" si="27"/>
        <v>167.55384615384617</v>
      </c>
    </row>
    <row r="1704" spans="1:6" x14ac:dyDescent="0.2">
      <c r="A1704">
        <v>831</v>
      </c>
      <c r="B1704" t="s">
        <v>272</v>
      </c>
      <c r="C1704" t="s">
        <v>273</v>
      </c>
      <c r="D1704">
        <v>1</v>
      </c>
      <c r="E1704">
        <v>170.11122239999997</v>
      </c>
      <c r="F1704">
        <f t="shared" si="27"/>
        <v>170.11122239999997</v>
      </c>
    </row>
    <row r="1705" spans="1:6" x14ac:dyDescent="0.2">
      <c r="A1705">
        <v>831</v>
      </c>
      <c r="B1705" t="s">
        <v>275</v>
      </c>
      <c r="C1705" t="s">
        <v>276</v>
      </c>
      <c r="D1705">
        <v>1</v>
      </c>
      <c r="E1705">
        <v>9.0814483199999998</v>
      </c>
      <c r="F1705">
        <f t="shared" si="27"/>
        <v>9.0814483199999998</v>
      </c>
    </row>
    <row r="1706" spans="1:6" x14ac:dyDescent="0.2">
      <c r="A1706">
        <v>831</v>
      </c>
      <c r="B1706" t="s">
        <v>334</v>
      </c>
      <c r="C1706" t="s">
        <v>329</v>
      </c>
      <c r="D1706">
        <v>5</v>
      </c>
      <c r="E1706">
        <v>149.03076923076924</v>
      </c>
      <c r="F1706">
        <f t="shared" si="27"/>
        <v>745.15384615384619</v>
      </c>
    </row>
    <row r="1707" spans="1:6" x14ac:dyDescent="0.2">
      <c r="A1707">
        <v>831</v>
      </c>
      <c r="B1707" t="s">
        <v>335</v>
      </c>
      <c r="C1707" t="s">
        <v>331</v>
      </c>
      <c r="D1707">
        <v>5</v>
      </c>
      <c r="E1707">
        <v>703.1</v>
      </c>
      <c r="F1707">
        <f t="shared" si="27"/>
        <v>3515.5</v>
      </c>
    </row>
    <row r="1708" spans="1:6" x14ac:dyDescent="0.2">
      <c r="A1708">
        <v>831</v>
      </c>
      <c r="B1708" t="s">
        <v>336</v>
      </c>
      <c r="C1708" t="s">
        <v>333</v>
      </c>
      <c r="D1708">
        <v>1</v>
      </c>
      <c r="E1708">
        <v>288.42307692307691</v>
      </c>
      <c r="F1708">
        <f t="shared" si="27"/>
        <v>288.42307692307691</v>
      </c>
    </row>
    <row r="1709" spans="1:6" x14ac:dyDescent="0.2">
      <c r="A1709">
        <v>831</v>
      </c>
      <c r="B1709" t="s">
        <v>337</v>
      </c>
      <c r="C1709" t="s">
        <v>297</v>
      </c>
      <c r="D1709">
        <v>1</v>
      </c>
      <c r="E1709">
        <v>11.761099999999999</v>
      </c>
      <c r="F1709">
        <f t="shared" si="27"/>
        <v>11.761099999999999</v>
      </c>
    </row>
    <row r="1710" spans="1:6" x14ac:dyDescent="0.2">
      <c r="A1710">
        <v>831</v>
      </c>
      <c r="B1710" t="s">
        <v>338</v>
      </c>
      <c r="C1710" t="s">
        <v>297</v>
      </c>
      <c r="D1710">
        <v>4</v>
      </c>
      <c r="E1710">
        <v>11.712959999999999</v>
      </c>
      <c r="F1710">
        <f t="shared" si="27"/>
        <v>46.851839999999996</v>
      </c>
    </row>
    <row r="1711" spans="1:6" x14ac:dyDescent="0.2">
      <c r="A1711">
        <v>831</v>
      </c>
      <c r="B1711" t="s">
        <v>339</v>
      </c>
      <c r="C1711" t="s">
        <v>297</v>
      </c>
      <c r="D1711">
        <v>3</v>
      </c>
      <c r="E1711">
        <v>20.279038079999996</v>
      </c>
      <c r="F1711">
        <f t="shared" si="27"/>
        <v>60.837114239999991</v>
      </c>
    </row>
    <row r="1712" spans="1:6" x14ac:dyDescent="0.2">
      <c r="A1712">
        <v>831</v>
      </c>
      <c r="B1712" t="s">
        <v>340</v>
      </c>
      <c r="C1712" t="s">
        <v>309</v>
      </c>
      <c r="D1712">
        <v>1</v>
      </c>
      <c r="E1712">
        <v>1536.3343027199999</v>
      </c>
      <c r="F1712">
        <f t="shared" si="27"/>
        <v>1536.3343027199999</v>
      </c>
    </row>
    <row r="1713" spans="1:6" x14ac:dyDescent="0.2">
      <c r="A1713">
        <v>831</v>
      </c>
      <c r="B1713" t="s">
        <v>341</v>
      </c>
      <c r="C1713" t="s">
        <v>342</v>
      </c>
      <c r="D1713">
        <v>3</v>
      </c>
      <c r="E1713">
        <v>307.22449999999998</v>
      </c>
      <c r="F1713">
        <f t="shared" si="27"/>
        <v>921.67349999999988</v>
      </c>
    </row>
    <row r="1714" spans="1:6" x14ac:dyDescent="0.2">
      <c r="A1714">
        <v>831</v>
      </c>
      <c r="B1714" t="s">
        <v>284</v>
      </c>
      <c r="C1714" t="s">
        <v>273</v>
      </c>
      <c r="D1714">
        <v>2</v>
      </c>
      <c r="E1714">
        <v>15.547002240000001</v>
      </c>
      <c r="F1714">
        <f t="shared" si="27"/>
        <v>31.094004480000002</v>
      </c>
    </row>
    <row r="1715" spans="1:6" x14ac:dyDescent="0.2">
      <c r="A1715">
        <v>831</v>
      </c>
      <c r="B1715" t="s">
        <v>283</v>
      </c>
      <c r="C1715" t="s">
        <v>278</v>
      </c>
      <c r="D1715">
        <v>4</v>
      </c>
      <c r="E1715">
        <v>101.76219647999997</v>
      </c>
      <c r="F1715">
        <f t="shared" si="27"/>
        <v>407.04878591999989</v>
      </c>
    </row>
    <row r="1716" spans="1:6" x14ac:dyDescent="0.2">
      <c r="A1716">
        <v>831</v>
      </c>
      <c r="B1716" t="s">
        <v>281</v>
      </c>
      <c r="C1716" t="s">
        <v>282</v>
      </c>
      <c r="D1716">
        <v>1</v>
      </c>
      <c r="E1716">
        <v>43.369186559999996</v>
      </c>
      <c r="F1716">
        <f t="shared" si="27"/>
        <v>43.369186559999996</v>
      </c>
    </row>
    <row r="1717" spans="1:6" x14ac:dyDescent="0.2">
      <c r="A1717">
        <v>831</v>
      </c>
      <c r="B1717" t="s">
        <v>279</v>
      </c>
      <c r="C1717" t="s">
        <v>280</v>
      </c>
      <c r="D1717">
        <v>118</v>
      </c>
      <c r="E1717">
        <v>36.786503039999999</v>
      </c>
      <c r="F1717">
        <f t="shared" si="27"/>
        <v>4340.8073587199997</v>
      </c>
    </row>
    <row r="1718" spans="1:6" x14ac:dyDescent="0.2">
      <c r="A1718">
        <v>831</v>
      </c>
      <c r="B1718" t="s">
        <v>343</v>
      </c>
      <c r="C1718" t="s">
        <v>282</v>
      </c>
      <c r="D1718">
        <v>1</v>
      </c>
      <c r="E1718">
        <v>16.807499999999997</v>
      </c>
      <c r="F1718">
        <f t="shared" si="27"/>
        <v>16.807499999999997</v>
      </c>
    </row>
    <row r="1719" spans="1:6" x14ac:dyDescent="0.2">
      <c r="A1719">
        <v>831</v>
      </c>
      <c r="B1719" t="s">
        <v>344</v>
      </c>
      <c r="C1719" t="s">
        <v>282</v>
      </c>
      <c r="D1719">
        <v>1</v>
      </c>
      <c r="E1719">
        <v>12.767126399999999</v>
      </c>
      <c r="F1719">
        <f t="shared" si="27"/>
        <v>12.767126399999999</v>
      </c>
    </row>
    <row r="1720" spans="1:6" x14ac:dyDescent="0.2">
      <c r="A1720">
        <v>831</v>
      </c>
      <c r="B1720" t="s">
        <v>270</v>
      </c>
      <c r="C1720" t="s">
        <v>271</v>
      </c>
      <c r="D1720">
        <v>3</v>
      </c>
      <c r="E1720">
        <v>3027.0973823999993</v>
      </c>
      <c r="F1720">
        <f t="shared" si="27"/>
        <v>9081.292147199998</v>
      </c>
    </row>
    <row r="1721" spans="1:6" x14ac:dyDescent="0.2">
      <c r="A1721">
        <v>831</v>
      </c>
      <c r="B1721" t="s">
        <v>272</v>
      </c>
      <c r="C1721" t="s">
        <v>273</v>
      </c>
      <c r="D1721">
        <v>1</v>
      </c>
      <c r="E1721">
        <v>170.11122239999997</v>
      </c>
      <c r="F1721">
        <f t="shared" si="27"/>
        <v>170.11122239999997</v>
      </c>
    </row>
    <row r="1722" spans="1:6" x14ac:dyDescent="0.2">
      <c r="A1722">
        <v>831</v>
      </c>
      <c r="B1722" t="s">
        <v>274</v>
      </c>
      <c r="C1722" t="s">
        <v>273</v>
      </c>
      <c r="D1722">
        <v>2</v>
      </c>
      <c r="E1722">
        <v>149.23091903999997</v>
      </c>
      <c r="F1722">
        <f t="shared" si="27"/>
        <v>298.46183807999995</v>
      </c>
    </row>
    <row r="1723" spans="1:6" x14ac:dyDescent="0.2">
      <c r="A1723">
        <v>831</v>
      </c>
      <c r="B1723" t="s">
        <v>275</v>
      </c>
      <c r="C1723" t="s">
        <v>276</v>
      </c>
      <c r="D1723">
        <v>3</v>
      </c>
      <c r="E1723">
        <v>9.0814483199999998</v>
      </c>
      <c r="F1723">
        <f t="shared" si="27"/>
        <v>27.244344959999999</v>
      </c>
    </row>
    <row r="1724" spans="1:6" x14ac:dyDescent="0.2">
      <c r="A1724">
        <v>831</v>
      </c>
      <c r="B1724" t="s">
        <v>277</v>
      </c>
      <c r="C1724" t="s">
        <v>278</v>
      </c>
      <c r="D1724">
        <v>6</v>
      </c>
      <c r="E1724">
        <v>41.026594559999999</v>
      </c>
      <c r="F1724">
        <f t="shared" si="27"/>
        <v>246.15956735999998</v>
      </c>
    </row>
    <row r="1725" spans="1:6" x14ac:dyDescent="0.2">
      <c r="A1725">
        <v>831</v>
      </c>
      <c r="B1725" t="s">
        <v>279</v>
      </c>
      <c r="C1725" t="s">
        <v>280</v>
      </c>
      <c r="D1725">
        <v>6</v>
      </c>
      <c r="E1725">
        <v>36.786503039999999</v>
      </c>
      <c r="F1725">
        <f t="shared" si="27"/>
        <v>220.71901824</v>
      </c>
    </row>
    <row r="1726" spans="1:6" x14ac:dyDescent="0.2">
      <c r="A1726">
        <v>831</v>
      </c>
      <c r="B1726" t="s">
        <v>281</v>
      </c>
      <c r="C1726" t="s">
        <v>282</v>
      </c>
      <c r="D1726">
        <v>1</v>
      </c>
      <c r="E1726">
        <v>43.369186559999996</v>
      </c>
      <c r="F1726">
        <f t="shared" si="27"/>
        <v>43.369186559999996</v>
      </c>
    </row>
    <row r="1727" spans="1:6" x14ac:dyDescent="0.2">
      <c r="A1727">
        <v>831</v>
      </c>
      <c r="B1727" t="s">
        <v>283</v>
      </c>
      <c r="C1727" t="s">
        <v>278</v>
      </c>
      <c r="D1727">
        <v>3</v>
      </c>
      <c r="E1727">
        <v>101.76219647999997</v>
      </c>
      <c r="F1727">
        <f t="shared" si="27"/>
        <v>305.28658943999994</v>
      </c>
    </row>
    <row r="1728" spans="1:6" x14ac:dyDescent="0.2">
      <c r="A1728">
        <v>831</v>
      </c>
      <c r="B1728" t="s">
        <v>284</v>
      </c>
      <c r="C1728" t="s">
        <v>273</v>
      </c>
      <c r="D1728">
        <v>1</v>
      </c>
      <c r="E1728">
        <v>15.547002240000001</v>
      </c>
      <c r="F1728">
        <f t="shared" si="27"/>
        <v>15.547002240000001</v>
      </c>
    </row>
    <row r="1729" spans="1:6" x14ac:dyDescent="0.2">
      <c r="A1729">
        <v>831</v>
      </c>
      <c r="B1729" t="s">
        <v>285</v>
      </c>
      <c r="C1729" t="s">
        <v>286</v>
      </c>
      <c r="D1729">
        <v>1</v>
      </c>
      <c r="E1729">
        <v>58.189985279999981</v>
      </c>
      <c r="F1729">
        <f t="shared" si="27"/>
        <v>58.189985279999981</v>
      </c>
    </row>
    <row r="1730" spans="1:6" x14ac:dyDescent="0.2">
      <c r="A1730">
        <v>831</v>
      </c>
      <c r="B1730" t="s">
        <v>287</v>
      </c>
      <c r="C1730" t="s">
        <v>273</v>
      </c>
      <c r="D1730">
        <v>3</v>
      </c>
      <c r="E1730">
        <v>100.66898687999999</v>
      </c>
      <c r="F1730">
        <f t="shared" si="27"/>
        <v>302.00696063999999</v>
      </c>
    </row>
    <row r="1731" spans="1:6" x14ac:dyDescent="0.2">
      <c r="A1731">
        <v>831</v>
      </c>
      <c r="B1731" t="s">
        <v>288</v>
      </c>
      <c r="C1731" t="s">
        <v>289</v>
      </c>
      <c r="D1731">
        <v>2</v>
      </c>
      <c r="E1731">
        <v>7.3401215999999998</v>
      </c>
      <c r="F1731">
        <f t="shared" si="27"/>
        <v>14.6802432</v>
      </c>
    </row>
    <row r="1732" spans="1:6" x14ac:dyDescent="0.2">
      <c r="A1732">
        <v>831</v>
      </c>
      <c r="B1732" t="s">
        <v>290</v>
      </c>
      <c r="C1732" t="s">
        <v>278</v>
      </c>
      <c r="D1732">
        <v>1</v>
      </c>
      <c r="E1732">
        <v>43.751809919999999</v>
      </c>
      <c r="F1732">
        <f t="shared" si="27"/>
        <v>43.751809919999999</v>
      </c>
    </row>
    <row r="1733" spans="1:6" x14ac:dyDescent="0.2">
      <c r="A1733">
        <v>831</v>
      </c>
      <c r="B1733" t="s">
        <v>277</v>
      </c>
      <c r="C1733" t="s">
        <v>278</v>
      </c>
      <c r="D1733">
        <v>5</v>
      </c>
      <c r="E1733">
        <v>41.026594559999999</v>
      </c>
      <c r="F1733">
        <f t="shared" si="27"/>
        <v>205.1329728</v>
      </c>
    </row>
    <row r="1734" spans="1:6" x14ac:dyDescent="0.2">
      <c r="A1734">
        <v>831</v>
      </c>
      <c r="B1734" t="s">
        <v>291</v>
      </c>
      <c r="C1734" t="s">
        <v>278</v>
      </c>
      <c r="D1734">
        <v>1</v>
      </c>
      <c r="E1734">
        <v>24.136399999999998</v>
      </c>
      <c r="F1734">
        <f t="shared" si="27"/>
        <v>24.136399999999998</v>
      </c>
    </row>
    <row r="1735" spans="1:6" x14ac:dyDescent="0.2">
      <c r="A1735">
        <v>831</v>
      </c>
      <c r="B1735" t="s">
        <v>292</v>
      </c>
      <c r="C1735" t="s">
        <v>293</v>
      </c>
      <c r="D1735">
        <v>1</v>
      </c>
      <c r="E1735">
        <v>96.852699999999999</v>
      </c>
      <c r="F1735">
        <f t="shared" si="27"/>
        <v>96.852699999999999</v>
      </c>
    </row>
    <row r="1736" spans="1:6" x14ac:dyDescent="0.2">
      <c r="A1736">
        <v>831</v>
      </c>
      <c r="B1736" t="s">
        <v>294</v>
      </c>
      <c r="C1736" t="s">
        <v>278</v>
      </c>
      <c r="D1736">
        <v>1</v>
      </c>
      <c r="E1736">
        <v>26.221413119999998</v>
      </c>
      <c r="F1736">
        <f t="shared" si="27"/>
        <v>26.221413119999998</v>
      </c>
    </row>
    <row r="1737" spans="1:6" x14ac:dyDescent="0.2">
      <c r="A1737">
        <v>831</v>
      </c>
      <c r="B1737" t="s">
        <v>295</v>
      </c>
      <c r="C1737" t="s">
        <v>273</v>
      </c>
      <c r="D1737">
        <v>5</v>
      </c>
      <c r="E1737">
        <v>54.886930560000003</v>
      </c>
      <c r="F1737">
        <f t="shared" si="27"/>
        <v>274.43465280000004</v>
      </c>
    </row>
    <row r="1738" spans="1:6" x14ac:dyDescent="0.2">
      <c r="A1738">
        <v>831</v>
      </c>
      <c r="B1738" t="s">
        <v>296</v>
      </c>
      <c r="C1738" t="s">
        <v>297</v>
      </c>
      <c r="D1738">
        <v>5</v>
      </c>
      <c r="E1738">
        <v>5.5028999999999995</v>
      </c>
      <c r="F1738">
        <f t="shared" si="27"/>
        <v>27.514499999999998</v>
      </c>
    </row>
    <row r="1739" spans="1:6" x14ac:dyDescent="0.2">
      <c r="A1739">
        <v>831</v>
      </c>
      <c r="B1739" t="s">
        <v>298</v>
      </c>
      <c r="C1739" t="s">
        <v>297</v>
      </c>
      <c r="D1739">
        <v>1</v>
      </c>
      <c r="E1739">
        <v>5.9344999999999999</v>
      </c>
      <c r="F1739">
        <f t="shared" si="27"/>
        <v>5.9344999999999999</v>
      </c>
    </row>
    <row r="1740" spans="1:6" x14ac:dyDescent="0.2">
      <c r="A1740">
        <v>831</v>
      </c>
      <c r="B1740" t="s">
        <v>299</v>
      </c>
      <c r="C1740" t="s">
        <v>297</v>
      </c>
      <c r="D1740">
        <v>1</v>
      </c>
      <c r="E1740">
        <v>4.3574999999999999</v>
      </c>
      <c r="F1740">
        <f t="shared" si="27"/>
        <v>4.3574999999999999</v>
      </c>
    </row>
    <row r="1741" spans="1:6" x14ac:dyDescent="0.2">
      <c r="A1741">
        <v>831</v>
      </c>
      <c r="B1741" t="s">
        <v>122</v>
      </c>
      <c r="C1741" t="s">
        <v>276</v>
      </c>
      <c r="D1741">
        <v>4</v>
      </c>
      <c r="E1741">
        <v>14.915099999999999</v>
      </c>
      <c r="F1741">
        <f t="shared" si="27"/>
        <v>59.660399999999996</v>
      </c>
    </row>
    <row r="1742" spans="1:6" x14ac:dyDescent="0.2">
      <c r="A1742">
        <v>831</v>
      </c>
      <c r="B1742" t="s">
        <v>120</v>
      </c>
      <c r="C1742" t="s">
        <v>278</v>
      </c>
      <c r="D1742">
        <v>3</v>
      </c>
      <c r="E1742">
        <v>1.5603999999999998</v>
      </c>
      <c r="F1742">
        <f t="shared" si="27"/>
        <v>4.6811999999999996</v>
      </c>
    </row>
    <row r="1743" spans="1:6" x14ac:dyDescent="0.2">
      <c r="A1743">
        <v>831</v>
      </c>
      <c r="B1743" t="s">
        <v>300</v>
      </c>
      <c r="C1743" t="s">
        <v>273</v>
      </c>
      <c r="D1743">
        <v>1</v>
      </c>
      <c r="E1743">
        <v>60.589999999999996</v>
      </c>
      <c r="F1743">
        <f t="shared" si="27"/>
        <v>60.589999999999996</v>
      </c>
    </row>
    <row r="1744" spans="1:6" x14ac:dyDescent="0.2">
      <c r="A1744">
        <v>831</v>
      </c>
      <c r="B1744" t="s">
        <v>301</v>
      </c>
      <c r="C1744" t="s">
        <v>302</v>
      </c>
      <c r="D1744">
        <v>3</v>
      </c>
      <c r="E1744">
        <v>104.88565247999999</v>
      </c>
      <c r="F1744">
        <f t="shared" si="27"/>
        <v>314.65695743999999</v>
      </c>
    </row>
    <row r="1745" spans="1:6" x14ac:dyDescent="0.2">
      <c r="A1745">
        <v>831</v>
      </c>
      <c r="B1745" t="s">
        <v>303</v>
      </c>
      <c r="C1745" t="s">
        <v>304</v>
      </c>
      <c r="D1745">
        <v>2</v>
      </c>
      <c r="E1745">
        <v>683.94489999999996</v>
      </c>
      <c r="F1745">
        <f t="shared" si="27"/>
        <v>1367.8897999999999</v>
      </c>
    </row>
    <row r="1746" spans="1:6" x14ac:dyDescent="0.2">
      <c r="A1746">
        <v>831</v>
      </c>
      <c r="B1746" t="s">
        <v>305</v>
      </c>
      <c r="C1746" t="s">
        <v>273</v>
      </c>
      <c r="D1746">
        <v>4</v>
      </c>
      <c r="E1746">
        <v>71.189099999999996</v>
      </c>
      <c r="F1746">
        <f t="shared" si="27"/>
        <v>284.75639999999999</v>
      </c>
    </row>
    <row r="1747" spans="1:6" x14ac:dyDescent="0.2">
      <c r="A1747">
        <v>831</v>
      </c>
      <c r="B1747" t="s">
        <v>294</v>
      </c>
      <c r="C1747" t="s">
        <v>278</v>
      </c>
      <c r="D1747">
        <v>1</v>
      </c>
      <c r="E1747">
        <v>26.221413119999998</v>
      </c>
      <c r="F1747">
        <f t="shared" si="27"/>
        <v>26.221413119999998</v>
      </c>
    </row>
    <row r="1748" spans="1:6" x14ac:dyDescent="0.2">
      <c r="A1748">
        <v>831</v>
      </c>
      <c r="B1748" t="s">
        <v>306</v>
      </c>
      <c r="C1748" t="s">
        <v>273</v>
      </c>
      <c r="D1748">
        <v>118</v>
      </c>
      <c r="E1748">
        <v>99.575777279999997</v>
      </c>
      <c r="F1748">
        <f t="shared" si="27"/>
        <v>11749.94171904</v>
      </c>
    </row>
    <row r="1749" spans="1:6" x14ac:dyDescent="0.2">
      <c r="A1749">
        <v>831</v>
      </c>
      <c r="B1749" t="s">
        <v>294</v>
      </c>
      <c r="C1749" t="s">
        <v>278</v>
      </c>
      <c r="D1749">
        <v>1</v>
      </c>
      <c r="E1749">
        <v>26.221413119999998</v>
      </c>
      <c r="F1749">
        <f t="shared" si="27"/>
        <v>26.221413119999998</v>
      </c>
    </row>
    <row r="1750" spans="1:6" x14ac:dyDescent="0.2">
      <c r="A1750">
        <v>831</v>
      </c>
      <c r="B1750" t="s">
        <v>306</v>
      </c>
      <c r="C1750" t="s">
        <v>273</v>
      </c>
      <c r="D1750">
        <v>1</v>
      </c>
      <c r="E1750">
        <v>99.575777279999997</v>
      </c>
      <c r="F1750">
        <f t="shared" si="27"/>
        <v>99.575777279999997</v>
      </c>
    </row>
    <row r="1751" spans="1:6" x14ac:dyDescent="0.2">
      <c r="A1751">
        <v>831</v>
      </c>
      <c r="B1751" t="s">
        <v>308</v>
      </c>
      <c r="C1751" t="s">
        <v>309</v>
      </c>
      <c r="D1751">
        <v>3</v>
      </c>
      <c r="E1751">
        <v>167.62307692307692</v>
      </c>
      <c r="F1751">
        <f t="shared" si="27"/>
        <v>502.86923076923074</v>
      </c>
    </row>
    <row r="1752" spans="1:6" x14ac:dyDescent="0.2">
      <c r="A1752">
        <v>831</v>
      </c>
      <c r="B1752" t="s">
        <v>310</v>
      </c>
      <c r="C1752" t="s">
        <v>273</v>
      </c>
      <c r="D1752">
        <v>1</v>
      </c>
      <c r="E1752">
        <v>0.33200000000000002</v>
      </c>
      <c r="F1752">
        <f t="shared" si="27"/>
        <v>0.33200000000000002</v>
      </c>
    </row>
    <row r="1753" spans="1:6" x14ac:dyDescent="0.2">
      <c r="A1753">
        <v>831</v>
      </c>
      <c r="B1753" t="s">
        <v>197</v>
      </c>
      <c r="C1753" t="s">
        <v>278</v>
      </c>
      <c r="D1753">
        <v>2</v>
      </c>
      <c r="E1753">
        <v>7.4699999999999989E-2</v>
      </c>
      <c r="F1753">
        <f t="shared" si="27"/>
        <v>0.14939999999999998</v>
      </c>
    </row>
    <row r="1754" spans="1:6" x14ac:dyDescent="0.2">
      <c r="A1754">
        <v>831</v>
      </c>
      <c r="B1754" t="s">
        <v>311</v>
      </c>
      <c r="C1754" t="s">
        <v>273</v>
      </c>
      <c r="D1754">
        <v>3</v>
      </c>
      <c r="E1754">
        <v>1.5935999999999999</v>
      </c>
      <c r="F1754">
        <f t="shared" si="27"/>
        <v>4.7807999999999993</v>
      </c>
    </row>
    <row r="1755" spans="1:6" x14ac:dyDescent="0.2">
      <c r="A1755">
        <v>831</v>
      </c>
      <c r="B1755" t="s">
        <v>312</v>
      </c>
      <c r="C1755" t="s">
        <v>278</v>
      </c>
      <c r="D1755">
        <v>6</v>
      </c>
      <c r="E1755">
        <v>21.040500000000002</v>
      </c>
      <c r="F1755">
        <f t="shared" si="27"/>
        <v>126.24300000000001</v>
      </c>
    </row>
    <row r="1756" spans="1:6" x14ac:dyDescent="0.2">
      <c r="A1756">
        <v>831</v>
      </c>
      <c r="B1756" t="s">
        <v>75</v>
      </c>
      <c r="C1756" t="s">
        <v>313</v>
      </c>
      <c r="D1756">
        <v>6</v>
      </c>
      <c r="E1756">
        <v>0.1153846153846154</v>
      </c>
      <c r="F1756">
        <f t="shared" si="27"/>
        <v>0.6923076923076924</v>
      </c>
    </row>
    <row r="1757" spans="1:6" x14ac:dyDescent="0.2">
      <c r="A1757">
        <v>831</v>
      </c>
      <c r="B1757" t="s">
        <v>314</v>
      </c>
      <c r="C1757" t="s">
        <v>273</v>
      </c>
      <c r="D1757">
        <v>1</v>
      </c>
      <c r="E1757">
        <v>0.45650000000000002</v>
      </c>
      <c r="F1757">
        <f t="shared" si="27"/>
        <v>0.45650000000000002</v>
      </c>
    </row>
    <row r="1758" spans="1:6" x14ac:dyDescent="0.2">
      <c r="A1758">
        <v>831</v>
      </c>
      <c r="B1758" t="s">
        <v>314</v>
      </c>
      <c r="C1758" t="s">
        <v>315</v>
      </c>
      <c r="D1758">
        <v>3</v>
      </c>
      <c r="E1758">
        <v>0.45650000000000002</v>
      </c>
      <c r="F1758">
        <f t="shared" si="27"/>
        <v>1.3694999999999999</v>
      </c>
    </row>
    <row r="1759" spans="1:6" x14ac:dyDescent="0.2">
      <c r="A1759">
        <v>831</v>
      </c>
      <c r="B1759" t="s">
        <v>316</v>
      </c>
      <c r="C1759" t="s">
        <v>317</v>
      </c>
      <c r="D1759">
        <v>1</v>
      </c>
      <c r="E1759">
        <v>92.206615384615375</v>
      </c>
      <c r="F1759">
        <f t="shared" si="27"/>
        <v>92.206615384615375</v>
      </c>
    </row>
    <row r="1760" spans="1:6" x14ac:dyDescent="0.2">
      <c r="A1760">
        <v>831</v>
      </c>
      <c r="B1760" t="s">
        <v>318</v>
      </c>
      <c r="C1760" t="s">
        <v>319</v>
      </c>
      <c r="D1760">
        <v>1</v>
      </c>
      <c r="E1760">
        <v>85.453846153846172</v>
      </c>
      <c r="F1760">
        <f t="shared" si="27"/>
        <v>85.453846153846172</v>
      </c>
    </row>
    <row r="1761" spans="1:6" x14ac:dyDescent="0.2">
      <c r="A1761">
        <v>831</v>
      </c>
      <c r="B1761" t="s">
        <v>320</v>
      </c>
      <c r="C1761" t="s">
        <v>321</v>
      </c>
      <c r="D1761">
        <v>3</v>
      </c>
      <c r="E1761">
        <v>92.206615384615375</v>
      </c>
      <c r="F1761">
        <f t="shared" si="27"/>
        <v>276.61984615384614</v>
      </c>
    </row>
    <row r="1762" spans="1:6" x14ac:dyDescent="0.2">
      <c r="A1762">
        <v>831</v>
      </c>
      <c r="B1762" t="s">
        <v>267</v>
      </c>
      <c r="C1762" t="s">
        <v>268</v>
      </c>
      <c r="D1762">
        <v>2</v>
      </c>
      <c r="E1762">
        <v>84863.132923076919</v>
      </c>
      <c r="F1762">
        <f t="shared" si="27"/>
        <v>169726.26584615384</v>
      </c>
    </row>
    <row r="1763" spans="1:6" x14ac:dyDescent="0.2">
      <c r="A1763">
        <v>831</v>
      </c>
      <c r="B1763" t="s">
        <v>260</v>
      </c>
      <c r="C1763" t="s">
        <v>261</v>
      </c>
      <c r="D1763">
        <v>1</v>
      </c>
      <c r="E1763">
        <v>2908.2944615384613</v>
      </c>
      <c r="F1763">
        <f t="shared" si="27"/>
        <v>2908.2944615384613</v>
      </c>
    </row>
    <row r="1764" spans="1:6" x14ac:dyDescent="0.2">
      <c r="A1764">
        <v>831</v>
      </c>
      <c r="B1764" t="s">
        <v>262</v>
      </c>
      <c r="C1764" t="s">
        <v>263</v>
      </c>
      <c r="D1764">
        <v>5</v>
      </c>
      <c r="E1764">
        <v>3207.1966153846147</v>
      </c>
      <c r="F1764">
        <f t="shared" si="27"/>
        <v>16035.983076923074</v>
      </c>
    </row>
    <row r="1765" spans="1:6" x14ac:dyDescent="0.2">
      <c r="A1765">
        <v>831</v>
      </c>
      <c r="B1765" t="s">
        <v>264</v>
      </c>
      <c r="C1765" t="s">
        <v>265</v>
      </c>
      <c r="D1765">
        <v>1</v>
      </c>
      <c r="E1765">
        <v>3466.73123076923</v>
      </c>
      <c r="F1765">
        <f t="shared" ref="F1765:F1828" si="28">D1765*E1765</f>
        <v>3466.73123076923</v>
      </c>
    </row>
    <row r="1766" spans="1:6" x14ac:dyDescent="0.2">
      <c r="A1766">
        <v>831</v>
      </c>
      <c r="B1766" t="s">
        <v>259</v>
      </c>
      <c r="C1766" t="s">
        <v>258</v>
      </c>
      <c r="D1766">
        <v>1</v>
      </c>
      <c r="E1766">
        <v>3325.9759999999997</v>
      </c>
      <c r="F1766">
        <f t="shared" si="28"/>
        <v>3325.9759999999997</v>
      </c>
    </row>
    <row r="1767" spans="1:6" x14ac:dyDescent="0.2">
      <c r="A1767">
        <v>831</v>
      </c>
      <c r="B1767" t="s">
        <v>257</v>
      </c>
      <c r="C1767" t="s">
        <v>258</v>
      </c>
      <c r="D1767">
        <v>1</v>
      </c>
      <c r="E1767">
        <v>3325.9759999999997</v>
      </c>
      <c r="F1767">
        <f t="shared" si="28"/>
        <v>3325.9759999999997</v>
      </c>
    </row>
    <row r="1768" spans="1:6" x14ac:dyDescent="0.2">
      <c r="A1768">
        <v>831</v>
      </c>
      <c r="B1768" t="s">
        <v>255</v>
      </c>
      <c r="C1768" t="s">
        <v>256</v>
      </c>
      <c r="D1768">
        <v>5</v>
      </c>
      <c r="E1768">
        <v>18546.094615384613</v>
      </c>
      <c r="F1768">
        <f t="shared" si="28"/>
        <v>92730.473076923066</v>
      </c>
    </row>
    <row r="1769" spans="1:6" x14ac:dyDescent="0.2">
      <c r="A1769">
        <v>831</v>
      </c>
      <c r="B1769" t="s">
        <v>253</v>
      </c>
      <c r="C1769" t="s">
        <v>254</v>
      </c>
      <c r="D1769">
        <v>5</v>
      </c>
      <c r="E1769">
        <v>21043.67953846154</v>
      </c>
      <c r="F1769">
        <f t="shared" si="28"/>
        <v>105218.3976923077</v>
      </c>
    </row>
    <row r="1770" spans="1:6" x14ac:dyDescent="0.2">
      <c r="A1770">
        <v>831</v>
      </c>
      <c r="B1770" t="s">
        <v>359</v>
      </c>
      <c r="C1770" t="s">
        <v>360</v>
      </c>
      <c r="D1770">
        <v>1</v>
      </c>
      <c r="E1770">
        <v>1844.9384615384615</v>
      </c>
      <c r="F1770">
        <f t="shared" si="28"/>
        <v>1844.9384615384615</v>
      </c>
    </row>
    <row r="1771" spans="1:6" x14ac:dyDescent="0.2">
      <c r="A1771">
        <v>831</v>
      </c>
      <c r="B1771" t="s">
        <v>389</v>
      </c>
      <c r="C1771" t="s">
        <v>390</v>
      </c>
      <c r="D1771">
        <v>1</v>
      </c>
      <c r="E1771">
        <v>4906</v>
      </c>
      <c r="F1771">
        <f t="shared" si="28"/>
        <v>4906</v>
      </c>
    </row>
    <row r="1772" spans="1:6" x14ac:dyDescent="0.2">
      <c r="A1772">
        <v>832</v>
      </c>
      <c r="B1772" t="s">
        <v>62</v>
      </c>
      <c r="C1772" t="s">
        <v>63</v>
      </c>
      <c r="D1772">
        <v>4</v>
      </c>
      <c r="E1772">
        <v>0.34860000000000002</v>
      </c>
      <c r="F1772">
        <f t="shared" si="28"/>
        <v>1.3944000000000001</v>
      </c>
    </row>
    <row r="1773" spans="1:6" x14ac:dyDescent="0.2">
      <c r="A1773">
        <v>832</v>
      </c>
      <c r="B1773" t="s">
        <v>64</v>
      </c>
      <c r="C1773" t="s">
        <v>65</v>
      </c>
      <c r="D1773">
        <v>3</v>
      </c>
      <c r="E1773">
        <v>803.07692307692309</v>
      </c>
      <c r="F1773">
        <f t="shared" si="28"/>
        <v>2409.2307692307695</v>
      </c>
    </row>
    <row r="1774" spans="1:6" x14ac:dyDescent="0.2">
      <c r="A1774">
        <v>832</v>
      </c>
      <c r="B1774" t="s">
        <v>67</v>
      </c>
      <c r="C1774" t="s">
        <v>68</v>
      </c>
      <c r="D1774">
        <v>1</v>
      </c>
      <c r="E1774">
        <v>49.678567679999993</v>
      </c>
      <c r="F1774">
        <f t="shared" si="28"/>
        <v>49.678567679999993</v>
      </c>
    </row>
    <row r="1775" spans="1:6" x14ac:dyDescent="0.2">
      <c r="A1775">
        <v>832</v>
      </c>
      <c r="B1775" t="s">
        <v>70</v>
      </c>
      <c r="C1775" t="s">
        <v>71</v>
      </c>
      <c r="D1775">
        <v>3</v>
      </c>
      <c r="E1775">
        <v>407.98649999999998</v>
      </c>
      <c r="F1775">
        <f t="shared" si="28"/>
        <v>1223.9594999999999</v>
      </c>
    </row>
    <row r="1776" spans="1:6" x14ac:dyDescent="0.2">
      <c r="A1776">
        <v>832</v>
      </c>
      <c r="B1776" t="s">
        <v>73</v>
      </c>
      <c r="C1776" t="s">
        <v>74</v>
      </c>
      <c r="D1776">
        <v>2</v>
      </c>
      <c r="E1776">
        <v>0.57783935999999991</v>
      </c>
      <c r="F1776">
        <f t="shared" si="28"/>
        <v>1.1556787199999998</v>
      </c>
    </row>
    <row r="1777" spans="1:6" x14ac:dyDescent="0.2">
      <c r="A1777">
        <v>832</v>
      </c>
      <c r="B1777" t="s">
        <v>75</v>
      </c>
      <c r="C1777" t="s">
        <v>76</v>
      </c>
      <c r="D1777">
        <v>4</v>
      </c>
      <c r="E1777">
        <v>0.1153846153846154</v>
      </c>
      <c r="F1777">
        <f t="shared" si="28"/>
        <v>0.46153846153846162</v>
      </c>
    </row>
    <row r="1778" spans="1:6" x14ac:dyDescent="0.2">
      <c r="A1778">
        <v>832</v>
      </c>
      <c r="B1778" t="s">
        <v>77</v>
      </c>
      <c r="C1778" t="s">
        <v>74</v>
      </c>
      <c r="D1778">
        <v>1</v>
      </c>
      <c r="E1778">
        <v>1.3943999999999999</v>
      </c>
      <c r="F1778">
        <f t="shared" si="28"/>
        <v>1.3943999999999999</v>
      </c>
    </row>
    <row r="1779" spans="1:6" x14ac:dyDescent="0.2">
      <c r="A1779">
        <v>832</v>
      </c>
      <c r="B1779" t="s">
        <v>78</v>
      </c>
      <c r="C1779" t="s">
        <v>76</v>
      </c>
      <c r="D1779">
        <v>118</v>
      </c>
      <c r="E1779">
        <v>0.71839487999999996</v>
      </c>
      <c r="F1779">
        <f t="shared" si="28"/>
        <v>84.770595839999999</v>
      </c>
    </row>
    <row r="1780" spans="1:6" x14ac:dyDescent="0.2">
      <c r="A1780">
        <v>832</v>
      </c>
      <c r="B1780" t="s">
        <v>79</v>
      </c>
      <c r="C1780" t="s">
        <v>74</v>
      </c>
      <c r="D1780">
        <v>1</v>
      </c>
      <c r="E1780">
        <v>1.9307692307692308</v>
      </c>
      <c r="F1780">
        <f t="shared" si="28"/>
        <v>1.9307692307692308</v>
      </c>
    </row>
    <row r="1781" spans="1:6" x14ac:dyDescent="0.2">
      <c r="A1781">
        <v>832</v>
      </c>
      <c r="B1781" t="s">
        <v>80</v>
      </c>
      <c r="C1781" t="s">
        <v>74</v>
      </c>
      <c r="D1781">
        <v>1</v>
      </c>
      <c r="E1781">
        <v>0.9544999999999999</v>
      </c>
      <c r="F1781">
        <f t="shared" si="28"/>
        <v>0.9544999999999999</v>
      </c>
    </row>
    <row r="1782" spans="1:6" x14ac:dyDescent="0.2">
      <c r="A1782">
        <v>832</v>
      </c>
      <c r="B1782" t="s">
        <v>81</v>
      </c>
      <c r="C1782" t="s">
        <v>74</v>
      </c>
      <c r="D1782">
        <v>3</v>
      </c>
      <c r="E1782">
        <v>0.76359999999999995</v>
      </c>
      <c r="F1782">
        <f t="shared" si="28"/>
        <v>2.2907999999999999</v>
      </c>
    </row>
    <row r="1783" spans="1:6" x14ac:dyDescent="0.2">
      <c r="A1783">
        <v>832</v>
      </c>
      <c r="B1783" t="s">
        <v>82</v>
      </c>
      <c r="C1783" t="s">
        <v>83</v>
      </c>
      <c r="D1783">
        <v>1</v>
      </c>
      <c r="E1783">
        <v>20.351599999999998</v>
      </c>
      <c r="F1783">
        <f t="shared" si="28"/>
        <v>20.351599999999998</v>
      </c>
    </row>
    <row r="1784" spans="1:6" x14ac:dyDescent="0.2">
      <c r="A1784">
        <v>832</v>
      </c>
      <c r="B1784" t="s">
        <v>84</v>
      </c>
      <c r="C1784" t="s">
        <v>85</v>
      </c>
      <c r="D1784">
        <v>2</v>
      </c>
      <c r="E1784">
        <v>102.33222719999999</v>
      </c>
      <c r="F1784">
        <f t="shared" si="28"/>
        <v>204.66445439999998</v>
      </c>
    </row>
    <row r="1785" spans="1:6" x14ac:dyDescent="0.2">
      <c r="A1785">
        <v>832</v>
      </c>
      <c r="B1785" t="s">
        <v>86</v>
      </c>
      <c r="C1785" t="s">
        <v>85</v>
      </c>
      <c r="D1785">
        <v>3</v>
      </c>
      <c r="E1785">
        <v>144.26462399999997</v>
      </c>
      <c r="F1785">
        <f t="shared" si="28"/>
        <v>432.79387199999991</v>
      </c>
    </row>
    <row r="1786" spans="1:6" x14ac:dyDescent="0.2">
      <c r="A1786">
        <v>832</v>
      </c>
      <c r="B1786" t="s">
        <v>87</v>
      </c>
      <c r="C1786" t="s">
        <v>88</v>
      </c>
      <c r="D1786">
        <v>6</v>
      </c>
      <c r="E1786">
        <v>162.02147135999999</v>
      </c>
      <c r="F1786">
        <f t="shared" si="28"/>
        <v>972.12882816000001</v>
      </c>
    </row>
    <row r="1787" spans="1:6" x14ac:dyDescent="0.2">
      <c r="A1787">
        <v>832</v>
      </c>
      <c r="B1787" t="s">
        <v>89</v>
      </c>
      <c r="C1787" t="s">
        <v>85</v>
      </c>
      <c r="D1787">
        <v>6</v>
      </c>
      <c r="E1787">
        <v>211.01287872</v>
      </c>
      <c r="F1787">
        <f t="shared" si="28"/>
        <v>1266.07727232</v>
      </c>
    </row>
    <row r="1788" spans="1:6" x14ac:dyDescent="0.2">
      <c r="A1788">
        <v>832</v>
      </c>
      <c r="B1788" t="s">
        <v>90</v>
      </c>
      <c r="C1788" t="s">
        <v>88</v>
      </c>
      <c r="D1788">
        <v>1</v>
      </c>
      <c r="E1788">
        <v>238.16351999999995</v>
      </c>
      <c r="F1788">
        <f t="shared" si="28"/>
        <v>238.16351999999995</v>
      </c>
    </row>
    <row r="1789" spans="1:6" x14ac:dyDescent="0.2">
      <c r="A1789">
        <v>832</v>
      </c>
      <c r="B1789" t="s">
        <v>92</v>
      </c>
      <c r="C1789" t="s">
        <v>93</v>
      </c>
      <c r="D1789">
        <v>3</v>
      </c>
      <c r="E1789">
        <v>19.297499999999999</v>
      </c>
      <c r="F1789">
        <f t="shared" si="28"/>
        <v>57.892499999999998</v>
      </c>
    </row>
    <row r="1790" spans="1:6" x14ac:dyDescent="0.2">
      <c r="A1790">
        <v>832</v>
      </c>
      <c r="B1790" t="s">
        <v>94</v>
      </c>
      <c r="C1790" t="s">
        <v>95</v>
      </c>
      <c r="D1790">
        <v>1</v>
      </c>
      <c r="E1790">
        <v>644.46267648000003</v>
      </c>
      <c r="F1790">
        <f t="shared" si="28"/>
        <v>644.46267648000003</v>
      </c>
    </row>
    <row r="1791" spans="1:6" x14ac:dyDescent="0.2">
      <c r="A1791">
        <v>832</v>
      </c>
      <c r="B1791" t="s">
        <v>236</v>
      </c>
      <c r="C1791" t="s">
        <v>237</v>
      </c>
      <c r="D1791">
        <v>1</v>
      </c>
      <c r="E1791">
        <v>132.79999999999998</v>
      </c>
      <c r="F1791">
        <f t="shared" si="28"/>
        <v>132.79999999999998</v>
      </c>
    </row>
    <row r="1792" spans="1:6" x14ac:dyDescent="0.2">
      <c r="A1792">
        <v>832</v>
      </c>
      <c r="B1792" t="s">
        <v>238</v>
      </c>
      <c r="C1792" t="s">
        <v>239</v>
      </c>
      <c r="D1792">
        <v>3</v>
      </c>
      <c r="E1792">
        <v>340.93846153846152</v>
      </c>
      <c r="F1792">
        <f t="shared" si="28"/>
        <v>1022.8153846153846</v>
      </c>
    </row>
    <row r="1793" spans="1:6" x14ac:dyDescent="0.2">
      <c r="A1793">
        <v>832</v>
      </c>
      <c r="B1793" t="s">
        <v>240</v>
      </c>
      <c r="C1793" t="s">
        <v>241</v>
      </c>
      <c r="D1793">
        <v>2</v>
      </c>
      <c r="E1793">
        <v>309.01538461538462</v>
      </c>
      <c r="F1793">
        <f t="shared" si="28"/>
        <v>618.03076923076924</v>
      </c>
    </row>
    <row r="1794" spans="1:6" x14ac:dyDescent="0.2">
      <c r="A1794">
        <v>832</v>
      </c>
      <c r="B1794" t="s">
        <v>242</v>
      </c>
      <c r="C1794" t="s">
        <v>243</v>
      </c>
      <c r="D1794">
        <v>1</v>
      </c>
      <c r="E1794">
        <v>427.76923076923072</v>
      </c>
      <c r="F1794">
        <f t="shared" si="28"/>
        <v>427.76923076923072</v>
      </c>
    </row>
    <row r="1795" spans="1:6" x14ac:dyDescent="0.2">
      <c r="A1795">
        <v>832</v>
      </c>
      <c r="B1795" t="s">
        <v>244</v>
      </c>
      <c r="C1795" t="s">
        <v>184</v>
      </c>
      <c r="D1795">
        <v>5</v>
      </c>
      <c r="E1795">
        <v>18.643076923076922</v>
      </c>
      <c r="F1795">
        <f t="shared" si="28"/>
        <v>93.215384615384608</v>
      </c>
    </row>
    <row r="1796" spans="1:6" x14ac:dyDescent="0.2">
      <c r="A1796">
        <v>832</v>
      </c>
      <c r="B1796" t="s">
        <v>245</v>
      </c>
      <c r="C1796" t="s">
        <v>246</v>
      </c>
      <c r="D1796">
        <v>1</v>
      </c>
      <c r="E1796">
        <v>0.44819999999999999</v>
      </c>
      <c r="F1796">
        <f t="shared" si="28"/>
        <v>0.44819999999999999</v>
      </c>
    </row>
    <row r="1797" spans="1:6" x14ac:dyDescent="0.2">
      <c r="A1797">
        <v>832</v>
      </c>
      <c r="B1797" t="s">
        <v>75</v>
      </c>
      <c r="C1797" t="s">
        <v>247</v>
      </c>
      <c r="D1797">
        <v>1</v>
      </c>
      <c r="E1797">
        <v>0.1153846153846154</v>
      </c>
      <c r="F1797">
        <f t="shared" si="28"/>
        <v>0.1153846153846154</v>
      </c>
    </row>
    <row r="1798" spans="1:6" x14ac:dyDescent="0.2">
      <c r="A1798">
        <v>832</v>
      </c>
      <c r="B1798" t="s">
        <v>197</v>
      </c>
      <c r="C1798" t="s">
        <v>117</v>
      </c>
      <c r="D1798">
        <v>1</v>
      </c>
      <c r="E1798">
        <v>7.4699999999999989E-2</v>
      </c>
      <c r="F1798">
        <f t="shared" si="28"/>
        <v>7.4699999999999989E-2</v>
      </c>
    </row>
    <row r="1799" spans="1:6" x14ac:dyDescent="0.2">
      <c r="A1799">
        <v>832</v>
      </c>
      <c r="B1799" t="s">
        <v>248</v>
      </c>
      <c r="C1799" t="s">
        <v>249</v>
      </c>
      <c r="D1799">
        <v>5</v>
      </c>
      <c r="E1799">
        <v>31064.984615384612</v>
      </c>
      <c r="F1799">
        <f t="shared" si="28"/>
        <v>155324.92307692306</v>
      </c>
    </row>
    <row r="1800" spans="1:6" x14ac:dyDescent="0.2">
      <c r="A1800">
        <v>832</v>
      </c>
      <c r="B1800" t="s">
        <v>250</v>
      </c>
      <c r="C1800" t="s">
        <v>251</v>
      </c>
      <c r="D1800">
        <v>5</v>
      </c>
      <c r="E1800">
        <v>564.54124607999995</v>
      </c>
      <c r="F1800">
        <f t="shared" si="28"/>
        <v>2822.7062303999996</v>
      </c>
    </row>
    <row r="1801" spans="1:6" x14ac:dyDescent="0.2">
      <c r="A1801">
        <v>832</v>
      </c>
      <c r="B1801" t="s">
        <v>146</v>
      </c>
      <c r="C1801" t="s">
        <v>147</v>
      </c>
      <c r="D1801">
        <v>1</v>
      </c>
      <c r="E1801">
        <v>8021.5764999999992</v>
      </c>
      <c r="F1801">
        <f t="shared" si="28"/>
        <v>8021.5764999999992</v>
      </c>
    </row>
    <row r="1802" spans="1:6" x14ac:dyDescent="0.2">
      <c r="A1802">
        <v>832</v>
      </c>
      <c r="B1802" t="s">
        <v>215</v>
      </c>
      <c r="C1802" t="s">
        <v>208</v>
      </c>
      <c r="D1802">
        <v>1</v>
      </c>
      <c r="E1802">
        <v>1.42898112</v>
      </c>
      <c r="F1802">
        <f t="shared" si="28"/>
        <v>1.42898112</v>
      </c>
    </row>
    <row r="1803" spans="1:6" x14ac:dyDescent="0.2">
      <c r="A1803">
        <v>832</v>
      </c>
      <c r="B1803" t="s">
        <v>200</v>
      </c>
      <c r="C1803" t="s">
        <v>199</v>
      </c>
      <c r="D1803">
        <v>4</v>
      </c>
      <c r="E1803">
        <v>0.66373439999999995</v>
      </c>
      <c r="F1803">
        <f t="shared" si="28"/>
        <v>2.6549375999999998</v>
      </c>
    </row>
    <row r="1804" spans="1:6" x14ac:dyDescent="0.2">
      <c r="A1804">
        <v>832</v>
      </c>
      <c r="B1804" t="s">
        <v>216</v>
      </c>
      <c r="C1804" t="s">
        <v>199</v>
      </c>
      <c r="D1804">
        <v>3</v>
      </c>
      <c r="E1804">
        <v>0.66400000000000003</v>
      </c>
      <c r="F1804">
        <f t="shared" si="28"/>
        <v>1.992</v>
      </c>
    </row>
    <row r="1805" spans="1:6" x14ac:dyDescent="0.2">
      <c r="A1805">
        <v>832</v>
      </c>
      <c r="B1805" t="s">
        <v>217</v>
      </c>
      <c r="C1805" t="s">
        <v>199</v>
      </c>
      <c r="D1805">
        <v>1</v>
      </c>
      <c r="E1805">
        <v>4.2164000000000001</v>
      </c>
      <c r="F1805">
        <f t="shared" si="28"/>
        <v>4.2164000000000001</v>
      </c>
    </row>
    <row r="1806" spans="1:6" x14ac:dyDescent="0.2">
      <c r="A1806">
        <v>832</v>
      </c>
      <c r="B1806" t="s">
        <v>218</v>
      </c>
      <c r="C1806" t="s">
        <v>208</v>
      </c>
      <c r="D1806">
        <v>3</v>
      </c>
      <c r="E1806">
        <v>7.3454999999999995</v>
      </c>
      <c r="F1806">
        <f t="shared" si="28"/>
        <v>22.036499999999997</v>
      </c>
    </row>
    <row r="1807" spans="1:6" x14ac:dyDescent="0.2">
      <c r="A1807">
        <v>832</v>
      </c>
      <c r="B1807" t="s">
        <v>219</v>
      </c>
      <c r="C1807" t="s">
        <v>199</v>
      </c>
      <c r="D1807">
        <v>2</v>
      </c>
      <c r="E1807">
        <v>1.4774</v>
      </c>
      <c r="F1807">
        <f t="shared" si="28"/>
        <v>2.9548000000000001</v>
      </c>
    </row>
    <row r="1808" spans="1:6" x14ac:dyDescent="0.2">
      <c r="A1808">
        <v>832</v>
      </c>
      <c r="B1808" t="s">
        <v>220</v>
      </c>
      <c r="C1808" t="s">
        <v>208</v>
      </c>
      <c r="D1808">
        <v>4</v>
      </c>
      <c r="E1808">
        <v>3.7267000000000001</v>
      </c>
      <c r="F1808">
        <f t="shared" si="28"/>
        <v>14.9068</v>
      </c>
    </row>
    <row r="1809" spans="1:6" x14ac:dyDescent="0.2">
      <c r="A1809">
        <v>832</v>
      </c>
      <c r="B1809" t="s">
        <v>221</v>
      </c>
      <c r="C1809" t="s">
        <v>199</v>
      </c>
      <c r="D1809">
        <v>1</v>
      </c>
      <c r="E1809">
        <v>0.97939999999999994</v>
      </c>
      <c r="F1809">
        <f t="shared" si="28"/>
        <v>0.97939999999999994</v>
      </c>
    </row>
    <row r="1810" spans="1:6" x14ac:dyDescent="0.2">
      <c r="A1810">
        <v>832</v>
      </c>
      <c r="B1810" t="s">
        <v>222</v>
      </c>
      <c r="C1810" t="s">
        <v>208</v>
      </c>
      <c r="D1810">
        <v>118</v>
      </c>
      <c r="E1810">
        <v>6.0672999999999995</v>
      </c>
      <c r="F1810">
        <f t="shared" si="28"/>
        <v>715.94139999999993</v>
      </c>
    </row>
    <row r="1811" spans="1:6" x14ac:dyDescent="0.2">
      <c r="A1811">
        <v>832</v>
      </c>
      <c r="B1811" t="s">
        <v>223</v>
      </c>
      <c r="C1811" t="s">
        <v>224</v>
      </c>
      <c r="D1811">
        <v>1</v>
      </c>
      <c r="E1811">
        <v>19.4635</v>
      </c>
      <c r="F1811">
        <f t="shared" si="28"/>
        <v>19.4635</v>
      </c>
    </row>
    <row r="1812" spans="1:6" x14ac:dyDescent="0.2">
      <c r="A1812">
        <v>832</v>
      </c>
      <c r="B1812" t="s">
        <v>225</v>
      </c>
      <c r="C1812" t="s">
        <v>226</v>
      </c>
      <c r="D1812">
        <v>1</v>
      </c>
      <c r="E1812">
        <v>10.221509759999998</v>
      </c>
      <c r="F1812">
        <f t="shared" si="28"/>
        <v>10.221509759999998</v>
      </c>
    </row>
    <row r="1813" spans="1:6" x14ac:dyDescent="0.2">
      <c r="A1813">
        <v>832</v>
      </c>
      <c r="B1813" t="s">
        <v>227</v>
      </c>
      <c r="C1813" t="s">
        <v>208</v>
      </c>
      <c r="D1813">
        <v>3</v>
      </c>
      <c r="E1813">
        <v>3.6307692307692312</v>
      </c>
      <c r="F1813">
        <f t="shared" si="28"/>
        <v>10.892307692307693</v>
      </c>
    </row>
    <row r="1814" spans="1:6" x14ac:dyDescent="0.2">
      <c r="A1814">
        <v>832</v>
      </c>
      <c r="B1814" t="s">
        <v>228</v>
      </c>
      <c r="C1814" t="s">
        <v>229</v>
      </c>
      <c r="D1814">
        <v>1</v>
      </c>
      <c r="E1814">
        <v>306.94982975999994</v>
      </c>
      <c r="F1814">
        <f t="shared" si="28"/>
        <v>306.94982975999994</v>
      </c>
    </row>
    <row r="1815" spans="1:6" x14ac:dyDescent="0.2">
      <c r="A1815">
        <v>832</v>
      </c>
      <c r="B1815" t="s">
        <v>116</v>
      </c>
      <c r="C1815" t="s">
        <v>117</v>
      </c>
      <c r="D1815">
        <v>2</v>
      </c>
      <c r="E1815">
        <v>0.25729999999999997</v>
      </c>
      <c r="F1815">
        <f t="shared" si="28"/>
        <v>0.51459999999999995</v>
      </c>
    </row>
    <row r="1816" spans="1:6" x14ac:dyDescent="0.2">
      <c r="A1816">
        <v>832</v>
      </c>
      <c r="B1816" t="s">
        <v>78</v>
      </c>
      <c r="C1816" t="s">
        <v>76</v>
      </c>
      <c r="D1816">
        <v>3</v>
      </c>
      <c r="E1816">
        <v>0.71839487999999996</v>
      </c>
      <c r="F1816">
        <f t="shared" si="28"/>
        <v>2.1551846399999999</v>
      </c>
    </row>
    <row r="1817" spans="1:6" x14ac:dyDescent="0.2">
      <c r="A1817">
        <v>832</v>
      </c>
      <c r="B1817" t="s">
        <v>231</v>
      </c>
      <c r="C1817" t="s">
        <v>208</v>
      </c>
      <c r="D1817">
        <v>6</v>
      </c>
      <c r="E1817">
        <v>2.0832999999999999</v>
      </c>
      <c r="F1817">
        <f t="shared" si="28"/>
        <v>12.4998</v>
      </c>
    </row>
    <row r="1818" spans="1:6" x14ac:dyDescent="0.2">
      <c r="A1818">
        <v>832</v>
      </c>
      <c r="B1818" t="s">
        <v>232</v>
      </c>
      <c r="C1818" t="s">
        <v>119</v>
      </c>
      <c r="D1818">
        <v>6</v>
      </c>
      <c r="E1818">
        <v>1.5935999999999999</v>
      </c>
      <c r="F1818">
        <f t="shared" si="28"/>
        <v>9.5615999999999985</v>
      </c>
    </row>
    <row r="1819" spans="1:6" x14ac:dyDescent="0.2">
      <c r="A1819">
        <v>832</v>
      </c>
      <c r="B1819" t="s">
        <v>233</v>
      </c>
      <c r="C1819" t="s">
        <v>234</v>
      </c>
      <c r="D1819">
        <v>1</v>
      </c>
      <c r="E1819">
        <v>3989.2954</v>
      </c>
      <c r="F1819">
        <f t="shared" si="28"/>
        <v>3989.2954</v>
      </c>
    </row>
    <row r="1820" spans="1:6" x14ac:dyDescent="0.2">
      <c r="A1820">
        <v>832</v>
      </c>
      <c r="B1820" t="s">
        <v>142</v>
      </c>
      <c r="C1820" t="s">
        <v>143</v>
      </c>
      <c r="D1820">
        <v>3</v>
      </c>
      <c r="E1820">
        <v>18141.642</v>
      </c>
      <c r="F1820">
        <f t="shared" si="28"/>
        <v>54424.925999999999</v>
      </c>
    </row>
    <row r="1821" spans="1:6" x14ac:dyDescent="0.2">
      <c r="A1821">
        <v>832</v>
      </c>
      <c r="B1821" t="s">
        <v>144</v>
      </c>
      <c r="C1821" t="s">
        <v>145</v>
      </c>
      <c r="D1821">
        <v>1</v>
      </c>
      <c r="E1821">
        <v>7346.6769230769241</v>
      </c>
      <c r="F1821">
        <f t="shared" si="28"/>
        <v>7346.6769230769241</v>
      </c>
    </row>
    <row r="1822" spans="1:6" x14ac:dyDescent="0.2">
      <c r="A1822">
        <v>832</v>
      </c>
      <c r="B1822" t="s">
        <v>197</v>
      </c>
      <c r="C1822" t="s">
        <v>117</v>
      </c>
      <c r="D1822">
        <v>1</v>
      </c>
      <c r="E1822">
        <v>7.4699999999999989E-2</v>
      </c>
      <c r="F1822">
        <f t="shared" si="28"/>
        <v>7.4699999999999989E-2</v>
      </c>
    </row>
    <row r="1823" spans="1:6" x14ac:dyDescent="0.2">
      <c r="A1823">
        <v>832</v>
      </c>
      <c r="B1823" t="s">
        <v>198</v>
      </c>
      <c r="C1823" t="s">
        <v>199</v>
      </c>
      <c r="D1823">
        <v>3</v>
      </c>
      <c r="E1823">
        <v>0.66373439999999995</v>
      </c>
      <c r="F1823">
        <f t="shared" si="28"/>
        <v>1.9912031999999997</v>
      </c>
    </row>
    <row r="1824" spans="1:6" x14ac:dyDescent="0.2">
      <c r="A1824">
        <v>832</v>
      </c>
      <c r="B1824" t="s">
        <v>200</v>
      </c>
      <c r="C1824" t="s">
        <v>199</v>
      </c>
      <c r="D1824">
        <v>2</v>
      </c>
      <c r="E1824">
        <v>0.66373439999999995</v>
      </c>
      <c r="F1824">
        <f t="shared" si="28"/>
        <v>1.3274687999999999</v>
      </c>
    </row>
    <row r="1825" spans="1:6" x14ac:dyDescent="0.2">
      <c r="A1825">
        <v>832</v>
      </c>
      <c r="B1825" t="s">
        <v>201</v>
      </c>
      <c r="C1825" t="s">
        <v>76</v>
      </c>
      <c r="D1825">
        <v>1</v>
      </c>
      <c r="E1825">
        <v>0.22645055999999994</v>
      </c>
      <c r="F1825">
        <f t="shared" si="28"/>
        <v>0.22645055999999994</v>
      </c>
    </row>
    <row r="1826" spans="1:6" x14ac:dyDescent="0.2">
      <c r="A1826">
        <v>832</v>
      </c>
      <c r="B1826" t="s">
        <v>202</v>
      </c>
      <c r="C1826" t="s">
        <v>203</v>
      </c>
      <c r="D1826">
        <v>5</v>
      </c>
      <c r="E1826">
        <v>12.45</v>
      </c>
      <c r="F1826">
        <f t="shared" si="28"/>
        <v>62.25</v>
      </c>
    </row>
    <row r="1827" spans="1:6" x14ac:dyDescent="0.2">
      <c r="A1827">
        <v>832</v>
      </c>
      <c r="B1827" t="s">
        <v>204</v>
      </c>
      <c r="C1827" t="s">
        <v>205</v>
      </c>
      <c r="D1827">
        <v>1</v>
      </c>
      <c r="E1827">
        <v>103.72216512</v>
      </c>
      <c r="F1827">
        <f t="shared" si="28"/>
        <v>103.72216512</v>
      </c>
    </row>
    <row r="1828" spans="1:6" x14ac:dyDescent="0.2">
      <c r="A1828">
        <v>832</v>
      </c>
      <c r="B1828" t="s">
        <v>116</v>
      </c>
      <c r="C1828" t="s">
        <v>117</v>
      </c>
      <c r="D1828">
        <v>3</v>
      </c>
      <c r="E1828">
        <v>0.25729999999999997</v>
      </c>
      <c r="F1828">
        <f t="shared" si="28"/>
        <v>0.77189999999999992</v>
      </c>
    </row>
    <row r="1829" spans="1:6" x14ac:dyDescent="0.2">
      <c r="A1829">
        <v>832</v>
      </c>
      <c r="B1829" t="s">
        <v>78</v>
      </c>
      <c r="C1829" t="s">
        <v>76</v>
      </c>
      <c r="D1829">
        <v>6</v>
      </c>
      <c r="E1829">
        <v>0.71839487999999996</v>
      </c>
      <c r="F1829">
        <f t="shared" ref="F1829:F1892" si="29">D1829*E1829</f>
        <v>4.3103692799999997</v>
      </c>
    </row>
    <row r="1830" spans="1:6" x14ac:dyDescent="0.2">
      <c r="A1830">
        <v>832</v>
      </c>
      <c r="B1830" t="s">
        <v>207</v>
      </c>
      <c r="C1830" t="s">
        <v>208</v>
      </c>
      <c r="D1830">
        <v>6</v>
      </c>
      <c r="E1830">
        <v>4.6314000000000002</v>
      </c>
      <c r="F1830">
        <f t="shared" si="29"/>
        <v>27.788400000000003</v>
      </c>
    </row>
    <row r="1831" spans="1:6" x14ac:dyDescent="0.2">
      <c r="A1831">
        <v>832</v>
      </c>
      <c r="B1831" t="s">
        <v>209</v>
      </c>
      <c r="C1831" t="s">
        <v>210</v>
      </c>
      <c r="D1831">
        <v>1</v>
      </c>
      <c r="E1831">
        <v>39.550761599999994</v>
      </c>
      <c r="F1831">
        <f t="shared" si="29"/>
        <v>39.550761599999994</v>
      </c>
    </row>
    <row r="1832" spans="1:6" x14ac:dyDescent="0.2">
      <c r="A1832">
        <v>832</v>
      </c>
      <c r="B1832" t="s">
        <v>211</v>
      </c>
      <c r="C1832" t="s">
        <v>203</v>
      </c>
      <c r="D1832">
        <v>3</v>
      </c>
      <c r="E1832">
        <v>25.754899999999999</v>
      </c>
      <c r="F1832">
        <f t="shared" si="29"/>
        <v>77.264700000000005</v>
      </c>
    </row>
    <row r="1833" spans="1:6" x14ac:dyDescent="0.2">
      <c r="A1833">
        <v>832</v>
      </c>
      <c r="B1833" t="s">
        <v>212</v>
      </c>
      <c r="C1833" t="s">
        <v>213</v>
      </c>
      <c r="D1833">
        <v>1</v>
      </c>
      <c r="E1833">
        <v>272.92059999999998</v>
      </c>
      <c r="F1833">
        <f t="shared" si="29"/>
        <v>272.92059999999998</v>
      </c>
    </row>
    <row r="1834" spans="1:6" x14ac:dyDescent="0.2">
      <c r="A1834">
        <v>832</v>
      </c>
      <c r="B1834" t="s">
        <v>149</v>
      </c>
      <c r="C1834" t="s">
        <v>150</v>
      </c>
      <c r="D1834">
        <v>1</v>
      </c>
      <c r="E1834">
        <v>0.7054999999999999</v>
      </c>
      <c r="F1834">
        <f t="shared" si="29"/>
        <v>0.7054999999999999</v>
      </c>
    </row>
    <row r="1835" spans="1:6" x14ac:dyDescent="0.2">
      <c r="A1835">
        <v>832</v>
      </c>
      <c r="B1835" t="s">
        <v>151</v>
      </c>
      <c r="C1835" t="s">
        <v>152</v>
      </c>
      <c r="D1835">
        <v>3</v>
      </c>
      <c r="E1835">
        <v>5.6190999999999995</v>
      </c>
      <c r="F1835">
        <f t="shared" si="29"/>
        <v>16.857299999999999</v>
      </c>
    </row>
    <row r="1836" spans="1:6" x14ac:dyDescent="0.2">
      <c r="A1836">
        <v>832</v>
      </c>
      <c r="B1836" t="s">
        <v>153</v>
      </c>
      <c r="C1836" t="s">
        <v>119</v>
      </c>
      <c r="D1836">
        <v>2</v>
      </c>
      <c r="E1836">
        <v>1.11663552</v>
      </c>
      <c r="F1836">
        <f t="shared" si="29"/>
        <v>2.23327104</v>
      </c>
    </row>
    <row r="1837" spans="1:6" x14ac:dyDescent="0.2">
      <c r="A1837">
        <v>832</v>
      </c>
      <c r="B1837" t="s">
        <v>154</v>
      </c>
      <c r="C1837" t="s">
        <v>117</v>
      </c>
      <c r="D1837">
        <v>1</v>
      </c>
      <c r="E1837">
        <v>4.3657999999999992</v>
      </c>
      <c r="F1837">
        <f t="shared" si="29"/>
        <v>4.3657999999999992</v>
      </c>
    </row>
    <row r="1838" spans="1:6" x14ac:dyDescent="0.2">
      <c r="A1838">
        <v>832</v>
      </c>
      <c r="B1838" t="s">
        <v>155</v>
      </c>
      <c r="C1838" t="s">
        <v>156</v>
      </c>
      <c r="D1838">
        <v>5</v>
      </c>
      <c r="E1838">
        <v>28.551999999999996</v>
      </c>
      <c r="F1838">
        <f t="shared" si="29"/>
        <v>142.76</v>
      </c>
    </row>
    <row r="1839" spans="1:6" x14ac:dyDescent="0.2">
      <c r="A1839">
        <v>832</v>
      </c>
      <c r="B1839" t="s">
        <v>157</v>
      </c>
      <c r="C1839" t="s">
        <v>158</v>
      </c>
      <c r="D1839">
        <v>1</v>
      </c>
      <c r="E1839">
        <v>29.456700000000001</v>
      </c>
      <c r="F1839">
        <f t="shared" si="29"/>
        <v>29.456700000000001</v>
      </c>
    </row>
    <row r="1840" spans="1:6" x14ac:dyDescent="0.2">
      <c r="A1840">
        <v>832</v>
      </c>
      <c r="B1840" t="s">
        <v>159</v>
      </c>
      <c r="C1840" t="s">
        <v>117</v>
      </c>
      <c r="D1840">
        <v>1</v>
      </c>
      <c r="E1840">
        <v>11.976899999999999</v>
      </c>
      <c r="F1840">
        <f t="shared" si="29"/>
        <v>11.976899999999999</v>
      </c>
    </row>
    <row r="1841" spans="1:6" x14ac:dyDescent="0.2">
      <c r="A1841">
        <v>832</v>
      </c>
      <c r="B1841" t="s">
        <v>116</v>
      </c>
      <c r="C1841" t="s">
        <v>117</v>
      </c>
      <c r="D1841">
        <v>1</v>
      </c>
      <c r="E1841">
        <v>0.25729999999999997</v>
      </c>
      <c r="F1841">
        <f t="shared" si="29"/>
        <v>0.25729999999999997</v>
      </c>
    </row>
    <row r="1842" spans="1:6" x14ac:dyDescent="0.2">
      <c r="A1842">
        <v>832</v>
      </c>
      <c r="B1842" t="s">
        <v>160</v>
      </c>
      <c r="C1842" t="s">
        <v>161</v>
      </c>
      <c r="D1842">
        <v>5</v>
      </c>
      <c r="E1842">
        <v>15.9194</v>
      </c>
      <c r="F1842">
        <f t="shared" si="29"/>
        <v>79.596999999999994</v>
      </c>
    </row>
    <row r="1843" spans="1:6" x14ac:dyDescent="0.2">
      <c r="A1843">
        <v>832</v>
      </c>
      <c r="B1843" t="s">
        <v>162</v>
      </c>
      <c r="C1843" t="s">
        <v>163</v>
      </c>
      <c r="D1843">
        <v>5</v>
      </c>
      <c r="E1843">
        <v>62.822699999999998</v>
      </c>
      <c r="F1843">
        <f t="shared" si="29"/>
        <v>314.11349999999999</v>
      </c>
    </row>
    <row r="1844" spans="1:6" x14ac:dyDescent="0.2">
      <c r="A1844">
        <v>832</v>
      </c>
      <c r="B1844" t="s">
        <v>164</v>
      </c>
      <c r="C1844" t="s">
        <v>165</v>
      </c>
      <c r="D1844">
        <v>1</v>
      </c>
      <c r="E1844">
        <v>29.381999999999998</v>
      </c>
      <c r="F1844">
        <f t="shared" si="29"/>
        <v>29.381999999999998</v>
      </c>
    </row>
    <row r="1845" spans="1:6" x14ac:dyDescent="0.2">
      <c r="A1845">
        <v>832</v>
      </c>
      <c r="B1845" t="s">
        <v>166</v>
      </c>
      <c r="C1845" t="s">
        <v>76</v>
      </c>
      <c r="D1845">
        <v>1</v>
      </c>
      <c r="E1845">
        <v>0.97109999999999985</v>
      </c>
      <c r="F1845">
        <f t="shared" si="29"/>
        <v>0.97109999999999985</v>
      </c>
    </row>
    <row r="1846" spans="1:6" x14ac:dyDescent="0.2">
      <c r="A1846">
        <v>832</v>
      </c>
      <c r="B1846" t="s">
        <v>167</v>
      </c>
      <c r="C1846" t="s">
        <v>168</v>
      </c>
      <c r="D1846">
        <v>4</v>
      </c>
      <c r="E1846">
        <v>68.201099999999997</v>
      </c>
      <c r="F1846">
        <f t="shared" si="29"/>
        <v>272.80439999999999</v>
      </c>
    </row>
    <row r="1847" spans="1:6" x14ac:dyDescent="0.2">
      <c r="A1847">
        <v>832</v>
      </c>
      <c r="B1847" t="s">
        <v>169</v>
      </c>
      <c r="C1847" t="s">
        <v>119</v>
      </c>
      <c r="D1847">
        <v>3</v>
      </c>
      <c r="E1847">
        <v>26.078600000000002</v>
      </c>
      <c r="F1847">
        <f t="shared" si="29"/>
        <v>78.235800000000012</v>
      </c>
    </row>
    <row r="1848" spans="1:6" x14ac:dyDescent="0.2">
      <c r="A1848">
        <v>832</v>
      </c>
      <c r="B1848" t="s">
        <v>170</v>
      </c>
      <c r="C1848" t="s">
        <v>171</v>
      </c>
      <c r="D1848">
        <v>1</v>
      </c>
      <c r="E1848">
        <v>15.438000000000001</v>
      </c>
      <c r="F1848">
        <f t="shared" si="29"/>
        <v>15.438000000000001</v>
      </c>
    </row>
    <row r="1849" spans="1:6" x14ac:dyDescent="0.2">
      <c r="A1849">
        <v>832</v>
      </c>
      <c r="B1849" t="s">
        <v>172</v>
      </c>
      <c r="C1849" t="s">
        <v>173</v>
      </c>
      <c r="D1849">
        <v>3</v>
      </c>
      <c r="E1849">
        <v>158.41380000000001</v>
      </c>
      <c r="F1849">
        <f t="shared" si="29"/>
        <v>475.2414</v>
      </c>
    </row>
    <row r="1850" spans="1:6" x14ac:dyDescent="0.2">
      <c r="A1850">
        <v>832</v>
      </c>
      <c r="B1850" t="s">
        <v>174</v>
      </c>
      <c r="C1850" t="s">
        <v>119</v>
      </c>
      <c r="D1850">
        <v>2</v>
      </c>
      <c r="E1850">
        <v>1.2616000000000001</v>
      </c>
      <c r="F1850">
        <f t="shared" si="29"/>
        <v>2.5232000000000001</v>
      </c>
    </row>
    <row r="1851" spans="1:6" x14ac:dyDescent="0.2">
      <c r="A1851">
        <v>832</v>
      </c>
      <c r="B1851" t="s">
        <v>175</v>
      </c>
      <c r="C1851" t="s">
        <v>176</v>
      </c>
      <c r="D1851">
        <v>4</v>
      </c>
      <c r="E1851">
        <v>194.7595</v>
      </c>
      <c r="F1851">
        <f t="shared" si="29"/>
        <v>779.03800000000001</v>
      </c>
    </row>
    <row r="1852" spans="1:6" x14ac:dyDescent="0.2">
      <c r="A1852">
        <v>832</v>
      </c>
      <c r="B1852" t="s">
        <v>177</v>
      </c>
      <c r="C1852" t="s">
        <v>178</v>
      </c>
      <c r="D1852">
        <v>1</v>
      </c>
      <c r="E1852">
        <v>1660.6244256000002</v>
      </c>
      <c r="F1852">
        <f t="shared" si="29"/>
        <v>1660.6244256000002</v>
      </c>
    </row>
    <row r="1853" spans="1:6" x14ac:dyDescent="0.2">
      <c r="A1853">
        <v>832</v>
      </c>
      <c r="B1853" t="s">
        <v>179</v>
      </c>
      <c r="C1853" t="s">
        <v>119</v>
      </c>
      <c r="D1853">
        <v>118</v>
      </c>
      <c r="E1853">
        <v>32.444700000000005</v>
      </c>
      <c r="F1853">
        <f t="shared" si="29"/>
        <v>3828.4746000000005</v>
      </c>
    </row>
    <row r="1854" spans="1:6" x14ac:dyDescent="0.2">
      <c r="A1854">
        <v>832</v>
      </c>
      <c r="B1854" t="s">
        <v>180</v>
      </c>
      <c r="C1854" t="s">
        <v>181</v>
      </c>
      <c r="D1854">
        <v>1</v>
      </c>
      <c r="E1854">
        <v>64.117499999999993</v>
      </c>
      <c r="F1854">
        <f t="shared" si="29"/>
        <v>64.117499999999993</v>
      </c>
    </row>
    <row r="1855" spans="1:6" x14ac:dyDescent="0.2">
      <c r="A1855">
        <v>832</v>
      </c>
      <c r="B1855" t="s">
        <v>182</v>
      </c>
      <c r="C1855" t="s">
        <v>158</v>
      </c>
      <c r="D1855">
        <v>1</v>
      </c>
      <c r="E1855">
        <v>80.788189439999996</v>
      </c>
      <c r="F1855">
        <f t="shared" si="29"/>
        <v>80.788189439999996</v>
      </c>
    </row>
    <row r="1856" spans="1:6" x14ac:dyDescent="0.2">
      <c r="A1856">
        <v>832</v>
      </c>
      <c r="B1856" t="s">
        <v>183</v>
      </c>
      <c r="C1856" t="s">
        <v>184</v>
      </c>
      <c r="D1856">
        <v>3</v>
      </c>
      <c r="E1856">
        <v>548.61538461538476</v>
      </c>
      <c r="F1856">
        <f t="shared" si="29"/>
        <v>1645.8461538461543</v>
      </c>
    </row>
    <row r="1857" spans="1:6" x14ac:dyDescent="0.2">
      <c r="A1857">
        <v>832</v>
      </c>
      <c r="B1857" t="s">
        <v>185</v>
      </c>
      <c r="C1857" t="s">
        <v>186</v>
      </c>
      <c r="D1857">
        <v>1</v>
      </c>
      <c r="E1857">
        <v>278.05</v>
      </c>
      <c r="F1857">
        <f t="shared" si="29"/>
        <v>278.05</v>
      </c>
    </row>
    <row r="1858" spans="1:6" x14ac:dyDescent="0.2">
      <c r="A1858">
        <v>832</v>
      </c>
      <c r="B1858" t="s">
        <v>187</v>
      </c>
      <c r="C1858" t="s">
        <v>188</v>
      </c>
      <c r="D1858">
        <v>2</v>
      </c>
      <c r="E1858">
        <v>105.03649999999999</v>
      </c>
      <c r="F1858">
        <f t="shared" si="29"/>
        <v>210.07299999999998</v>
      </c>
    </row>
    <row r="1859" spans="1:6" x14ac:dyDescent="0.2">
      <c r="A1859">
        <v>832</v>
      </c>
      <c r="B1859" t="s">
        <v>189</v>
      </c>
      <c r="C1859" t="s">
        <v>163</v>
      </c>
      <c r="D1859">
        <v>3</v>
      </c>
      <c r="E1859">
        <v>154.25968320000001</v>
      </c>
      <c r="F1859">
        <f t="shared" si="29"/>
        <v>462.77904960000001</v>
      </c>
    </row>
    <row r="1860" spans="1:6" x14ac:dyDescent="0.2">
      <c r="A1860">
        <v>832</v>
      </c>
      <c r="B1860" t="s">
        <v>190</v>
      </c>
      <c r="C1860" t="s">
        <v>191</v>
      </c>
      <c r="D1860">
        <v>6</v>
      </c>
      <c r="E1860">
        <v>1397.886</v>
      </c>
      <c r="F1860">
        <f t="shared" si="29"/>
        <v>8387.3159999999989</v>
      </c>
    </row>
    <row r="1861" spans="1:6" x14ac:dyDescent="0.2">
      <c r="A1861">
        <v>832</v>
      </c>
      <c r="B1861" t="s">
        <v>192</v>
      </c>
      <c r="C1861" t="s">
        <v>193</v>
      </c>
      <c r="D1861">
        <v>6</v>
      </c>
      <c r="E1861">
        <v>843.03639167999984</v>
      </c>
      <c r="F1861">
        <f t="shared" si="29"/>
        <v>5058.2183500799993</v>
      </c>
    </row>
    <row r="1862" spans="1:6" x14ac:dyDescent="0.2">
      <c r="A1862">
        <v>832</v>
      </c>
      <c r="B1862" t="s">
        <v>194</v>
      </c>
      <c r="C1862" t="s">
        <v>193</v>
      </c>
      <c r="D1862">
        <v>1</v>
      </c>
      <c r="E1862">
        <v>868.20489999999995</v>
      </c>
      <c r="F1862">
        <f t="shared" si="29"/>
        <v>868.20489999999995</v>
      </c>
    </row>
    <row r="1863" spans="1:6" x14ac:dyDescent="0.2">
      <c r="A1863">
        <v>832</v>
      </c>
      <c r="B1863" t="s">
        <v>195</v>
      </c>
      <c r="C1863" t="s">
        <v>117</v>
      </c>
      <c r="D1863">
        <v>3</v>
      </c>
      <c r="E1863">
        <v>1.0374999999999999</v>
      </c>
      <c r="F1863">
        <f t="shared" si="29"/>
        <v>3.1124999999999998</v>
      </c>
    </row>
    <row r="1864" spans="1:6" x14ac:dyDescent="0.2">
      <c r="A1864">
        <v>832</v>
      </c>
      <c r="B1864" t="s">
        <v>135</v>
      </c>
      <c r="C1864" t="s">
        <v>136</v>
      </c>
      <c r="D1864">
        <v>1</v>
      </c>
      <c r="E1864">
        <v>395.04690624</v>
      </c>
      <c r="F1864">
        <f t="shared" si="29"/>
        <v>395.04690624</v>
      </c>
    </row>
    <row r="1865" spans="1:6" x14ac:dyDescent="0.2">
      <c r="A1865">
        <v>832</v>
      </c>
      <c r="B1865" t="s">
        <v>137</v>
      </c>
      <c r="C1865" t="s">
        <v>138</v>
      </c>
      <c r="D1865">
        <v>1</v>
      </c>
      <c r="E1865">
        <v>252.98431871999998</v>
      </c>
      <c r="F1865">
        <f t="shared" si="29"/>
        <v>252.98431871999998</v>
      </c>
    </row>
    <row r="1866" spans="1:6" x14ac:dyDescent="0.2">
      <c r="A1866">
        <v>832</v>
      </c>
      <c r="B1866" t="s">
        <v>139</v>
      </c>
      <c r="C1866" t="s">
        <v>140</v>
      </c>
      <c r="D1866">
        <v>3</v>
      </c>
      <c r="E1866">
        <v>2054.4575</v>
      </c>
      <c r="F1866">
        <f t="shared" si="29"/>
        <v>6163.3724999999995</v>
      </c>
    </row>
    <row r="1867" spans="1:6" x14ac:dyDescent="0.2">
      <c r="A1867">
        <v>832</v>
      </c>
      <c r="B1867" t="s">
        <v>116</v>
      </c>
      <c r="C1867" t="s">
        <v>117</v>
      </c>
      <c r="D1867">
        <v>2</v>
      </c>
      <c r="E1867">
        <v>0.25729999999999997</v>
      </c>
      <c r="F1867">
        <f t="shared" si="29"/>
        <v>0.51459999999999995</v>
      </c>
    </row>
    <row r="1868" spans="1:6" x14ac:dyDescent="0.2">
      <c r="A1868">
        <v>832</v>
      </c>
      <c r="B1868" t="s">
        <v>118</v>
      </c>
      <c r="C1868" t="s">
        <v>119</v>
      </c>
      <c r="D1868">
        <v>1</v>
      </c>
      <c r="E1868">
        <v>0.83</v>
      </c>
      <c r="F1868">
        <f t="shared" si="29"/>
        <v>0.83</v>
      </c>
    </row>
    <row r="1869" spans="1:6" x14ac:dyDescent="0.2">
      <c r="A1869">
        <v>832</v>
      </c>
      <c r="B1869" t="s">
        <v>120</v>
      </c>
      <c r="C1869" t="s">
        <v>117</v>
      </c>
      <c r="D1869">
        <v>5</v>
      </c>
      <c r="E1869">
        <v>1.5603999999999998</v>
      </c>
      <c r="F1869">
        <f t="shared" si="29"/>
        <v>7.8019999999999987</v>
      </c>
    </row>
    <row r="1870" spans="1:6" x14ac:dyDescent="0.2">
      <c r="A1870">
        <v>832</v>
      </c>
      <c r="B1870" t="s">
        <v>121</v>
      </c>
      <c r="C1870" t="s">
        <v>117</v>
      </c>
      <c r="D1870">
        <v>1</v>
      </c>
      <c r="E1870">
        <v>270.83729999999997</v>
      </c>
      <c r="F1870">
        <f t="shared" si="29"/>
        <v>270.83729999999997</v>
      </c>
    </row>
    <row r="1871" spans="1:6" x14ac:dyDescent="0.2">
      <c r="A1871">
        <v>832</v>
      </c>
      <c r="B1871" t="s">
        <v>122</v>
      </c>
      <c r="C1871" t="s">
        <v>76</v>
      </c>
      <c r="D1871">
        <v>1</v>
      </c>
      <c r="E1871">
        <v>14.915099999999999</v>
      </c>
      <c r="F1871">
        <f t="shared" si="29"/>
        <v>14.915099999999999</v>
      </c>
    </row>
    <row r="1872" spans="1:6" x14ac:dyDescent="0.2">
      <c r="A1872">
        <v>832</v>
      </c>
      <c r="B1872" t="s">
        <v>123</v>
      </c>
      <c r="C1872" t="s">
        <v>119</v>
      </c>
      <c r="D1872">
        <v>1</v>
      </c>
      <c r="E1872">
        <v>122.52459999999999</v>
      </c>
      <c r="F1872">
        <f t="shared" si="29"/>
        <v>122.52459999999999</v>
      </c>
    </row>
    <row r="1873" spans="1:6" x14ac:dyDescent="0.2">
      <c r="A1873">
        <v>832</v>
      </c>
      <c r="B1873" t="s">
        <v>124</v>
      </c>
      <c r="C1873" t="s">
        <v>119</v>
      </c>
      <c r="D1873">
        <v>5</v>
      </c>
      <c r="E1873">
        <v>65.877099999999999</v>
      </c>
      <c r="F1873">
        <f t="shared" si="29"/>
        <v>329.38549999999998</v>
      </c>
    </row>
    <row r="1874" spans="1:6" x14ac:dyDescent="0.2">
      <c r="A1874">
        <v>832</v>
      </c>
      <c r="B1874" t="s">
        <v>125</v>
      </c>
      <c r="C1874" t="s">
        <v>117</v>
      </c>
      <c r="D1874">
        <v>5</v>
      </c>
      <c r="E1874">
        <v>45.957099999999997</v>
      </c>
      <c r="F1874">
        <f t="shared" si="29"/>
        <v>229.78549999999998</v>
      </c>
    </row>
    <row r="1875" spans="1:6" x14ac:dyDescent="0.2">
      <c r="A1875">
        <v>832</v>
      </c>
      <c r="B1875" t="s">
        <v>126</v>
      </c>
      <c r="C1875" t="s">
        <v>127</v>
      </c>
      <c r="D1875">
        <v>1</v>
      </c>
      <c r="E1875">
        <v>411.49739999999997</v>
      </c>
      <c r="F1875">
        <f t="shared" si="29"/>
        <v>411.49739999999997</v>
      </c>
    </row>
    <row r="1876" spans="1:6" x14ac:dyDescent="0.2">
      <c r="A1876">
        <v>832</v>
      </c>
      <c r="B1876" t="s">
        <v>129</v>
      </c>
      <c r="C1876" t="s">
        <v>130</v>
      </c>
      <c r="D1876">
        <v>1</v>
      </c>
      <c r="E1876">
        <v>6724.2781999999997</v>
      </c>
      <c r="F1876">
        <f t="shared" si="29"/>
        <v>6724.2781999999997</v>
      </c>
    </row>
    <row r="1877" spans="1:6" x14ac:dyDescent="0.2">
      <c r="A1877">
        <v>832</v>
      </c>
      <c r="B1877" t="s">
        <v>132</v>
      </c>
      <c r="C1877" t="s">
        <v>133</v>
      </c>
      <c r="D1877">
        <v>4</v>
      </c>
      <c r="E1877">
        <v>1168.0257999999999</v>
      </c>
      <c r="F1877">
        <f t="shared" si="29"/>
        <v>4672.1031999999996</v>
      </c>
    </row>
    <row r="1878" spans="1:6" x14ac:dyDescent="0.2">
      <c r="A1878">
        <v>832</v>
      </c>
      <c r="B1878" t="s">
        <v>110</v>
      </c>
      <c r="C1878" t="s">
        <v>111</v>
      </c>
      <c r="D1878">
        <v>3</v>
      </c>
      <c r="E1878">
        <v>119.83539999999999</v>
      </c>
      <c r="F1878">
        <f t="shared" si="29"/>
        <v>359.50619999999998</v>
      </c>
    </row>
    <row r="1879" spans="1:6" x14ac:dyDescent="0.2">
      <c r="A1879">
        <v>832</v>
      </c>
      <c r="B1879" t="s">
        <v>112</v>
      </c>
      <c r="C1879" t="s">
        <v>113</v>
      </c>
      <c r="D1879">
        <v>1</v>
      </c>
      <c r="E1879">
        <v>97.646153846153851</v>
      </c>
      <c r="F1879">
        <f t="shared" si="29"/>
        <v>97.646153846153851</v>
      </c>
    </row>
    <row r="1880" spans="1:6" x14ac:dyDescent="0.2">
      <c r="A1880">
        <v>832</v>
      </c>
      <c r="B1880" t="s">
        <v>110</v>
      </c>
      <c r="C1880" t="s">
        <v>111</v>
      </c>
      <c r="D1880">
        <v>3</v>
      </c>
      <c r="E1880">
        <v>119.83539999999999</v>
      </c>
      <c r="F1880">
        <f t="shared" si="29"/>
        <v>359.50619999999998</v>
      </c>
    </row>
    <row r="1881" spans="1:6" x14ac:dyDescent="0.2">
      <c r="A1881">
        <v>832</v>
      </c>
      <c r="B1881" t="s">
        <v>112</v>
      </c>
      <c r="C1881" t="s">
        <v>113</v>
      </c>
      <c r="D1881">
        <v>2</v>
      </c>
      <c r="E1881">
        <v>97.646153846153851</v>
      </c>
      <c r="F1881">
        <f t="shared" si="29"/>
        <v>195.2923076923077</v>
      </c>
    </row>
    <row r="1882" spans="1:6" x14ac:dyDescent="0.2">
      <c r="A1882">
        <v>832</v>
      </c>
      <c r="B1882" t="s">
        <v>97</v>
      </c>
      <c r="C1882" t="s">
        <v>98</v>
      </c>
      <c r="D1882">
        <v>4</v>
      </c>
      <c r="E1882">
        <v>189.87909999999999</v>
      </c>
      <c r="F1882">
        <f t="shared" si="29"/>
        <v>759.51639999999998</v>
      </c>
    </row>
    <row r="1883" spans="1:6" x14ac:dyDescent="0.2">
      <c r="A1883">
        <v>832</v>
      </c>
      <c r="B1883" t="s">
        <v>99</v>
      </c>
      <c r="C1883" t="s">
        <v>100</v>
      </c>
      <c r="D1883">
        <v>1</v>
      </c>
      <c r="E1883">
        <v>1287.1384615384613</v>
      </c>
      <c r="F1883">
        <f t="shared" si="29"/>
        <v>1287.1384615384613</v>
      </c>
    </row>
    <row r="1884" spans="1:6" x14ac:dyDescent="0.2">
      <c r="A1884">
        <v>832</v>
      </c>
      <c r="B1884" t="s">
        <v>101</v>
      </c>
      <c r="C1884" t="s">
        <v>102</v>
      </c>
      <c r="D1884">
        <v>118</v>
      </c>
      <c r="E1884">
        <v>1363.0371551999999</v>
      </c>
      <c r="F1884">
        <f t="shared" si="29"/>
        <v>160838.38431359999</v>
      </c>
    </row>
    <row r="1885" spans="1:6" x14ac:dyDescent="0.2">
      <c r="A1885">
        <v>832</v>
      </c>
      <c r="B1885" t="s">
        <v>103</v>
      </c>
      <c r="C1885" t="s">
        <v>104</v>
      </c>
      <c r="D1885">
        <v>1</v>
      </c>
      <c r="E1885">
        <v>423.58219999999994</v>
      </c>
      <c r="F1885">
        <f t="shared" si="29"/>
        <v>423.58219999999994</v>
      </c>
    </row>
    <row r="1886" spans="1:6" x14ac:dyDescent="0.2">
      <c r="A1886">
        <v>832</v>
      </c>
      <c r="B1886" t="s">
        <v>105</v>
      </c>
      <c r="C1886" t="s">
        <v>106</v>
      </c>
      <c r="D1886">
        <v>1</v>
      </c>
      <c r="E1886">
        <v>36.470199999999998</v>
      </c>
      <c r="F1886">
        <f t="shared" si="29"/>
        <v>36.470199999999998</v>
      </c>
    </row>
    <row r="1887" spans="1:6" x14ac:dyDescent="0.2">
      <c r="A1887">
        <v>832</v>
      </c>
      <c r="B1887" t="s">
        <v>107</v>
      </c>
      <c r="C1887" t="s">
        <v>108</v>
      </c>
      <c r="D1887">
        <v>3</v>
      </c>
      <c r="E1887">
        <v>61.492307692307698</v>
      </c>
      <c r="F1887">
        <f t="shared" si="29"/>
        <v>184.4769230769231</v>
      </c>
    </row>
    <row r="1888" spans="1:6" x14ac:dyDescent="0.2">
      <c r="A1888">
        <v>832</v>
      </c>
      <c r="B1888" t="s">
        <v>62</v>
      </c>
      <c r="C1888" t="s">
        <v>323</v>
      </c>
      <c r="D1888">
        <v>1</v>
      </c>
      <c r="E1888">
        <v>0.34859999999999997</v>
      </c>
      <c r="F1888">
        <f t="shared" si="29"/>
        <v>0.34859999999999997</v>
      </c>
    </row>
    <row r="1889" spans="1:6" x14ac:dyDescent="0.2">
      <c r="A1889">
        <v>832</v>
      </c>
      <c r="B1889" t="s">
        <v>324</v>
      </c>
      <c r="C1889" t="s">
        <v>273</v>
      </c>
      <c r="D1889">
        <v>2</v>
      </c>
      <c r="E1889">
        <v>0.9544999999999999</v>
      </c>
      <c r="F1889">
        <f t="shared" si="29"/>
        <v>1.9089999999999998</v>
      </c>
    </row>
    <row r="1890" spans="1:6" x14ac:dyDescent="0.2">
      <c r="A1890">
        <v>832</v>
      </c>
      <c r="B1890" t="s">
        <v>325</v>
      </c>
      <c r="C1890" t="s">
        <v>273</v>
      </c>
      <c r="D1890">
        <v>3</v>
      </c>
      <c r="E1890">
        <v>3.3692307692307697</v>
      </c>
      <c r="F1890">
        <f t="shared" si="29"/>
        <v>10.107692307692309</v>
      </c>
    </row>
    <row r="1891" spans="1:6" x14ac:dyDescent="0.2">
      <c r="A1891">
        <v>832</v>
      </c>
      <c r="B1891" t="s">
        <v>154</v>
      </c>
      <c r="C1891" t="s">
        <v>278</v>
      </c>
      <c r="D1891">
        <v>6</v>
      </c>
      <c r="E1891">
        <v>4.3657999999999992</v>
      </c>
      <c r="F1891">
        <f t="shared" si="29"/>
        <v>26.194799999999994</v>
      </c>
    </row>
    <row r="1892" spans="1:6" x14ac:dyDescent="0.2">
      <c r="A1892">
        <v>832</v>
      </c>
      <c r="B1892" t="s">
        <v>290</v>
      </c>
      <c r="C1892" t="s">
        <v>278</v>
      </c>
      <c r="D1892">
        <v>6</v>
      </c>
      <c r="E1892">
        <v>43.751809919999999</v>
      </c>
      <c r="F1892">
        <f t="shared" si="29"/>
        <v>262.51085952</v>
      </c>
    </row>
    <row r="1893" spans="1:6" x14ac:dyDescent="0.2">
      <c r="A1893">
        <v>832</v>
      </c>
      <c r="B1893" t="s">
        <v>288</v>
      </c>
      <c r="C1893" t="s">
        <v>289</v>
      </c>
      <c r="D1893">
        <v>1</v>
      </c>
      <c r="E1893">
        <v>7.3401215999999998</v>
      </c>
      <c r="F1893">
        <f t="shared" ref="F1893:F1956" si="30">D1893*E1893</f>
        <v>7.3401215999999998</v>
      </c>
    </row>
    <row r="1894" spans="1:6" x14ac:dyDescent="0.2">
      <c r="A1894">
        <v>832</v>
      </c>
      <c r="B1894" t="s">
        <v>287</v>
      </c>
      <c r="C1894" t="s">
        <v>273</v>
      </c>
      <c r="D1894">
        <v>3</v>
      </c>
      <c r="E1894">
        <v>100.66898687999999</v>
      </c>
      <c r="F1894">
        <f t="shared" si="30"/>
        <v>302.00696063999999</v>
      </c>
    </row>
    <row r="1895" spans="1:6" x14ac:dyDescent="0.2">
      <c r="A1895">
        <v>832</v>
      </c>
      <c r="B1895" t="s">
        <v>285</v>
      </c>
      <c r="C1895" t="s">
        <v>286</v>
      </c>
      <c r="D1895">
        <v>1</v>
      </c>
      <c r="E1895">
        <v>58.189985279999981</v>
      </c>
      <c r="F1895">
        <f t="shared" si="30"/>
        <v>58.189985279999981</v>
      </c>
    </row>
    <row r="1896" spans="1:6" x14ac:dyDescent="0.2">
      <c r="A1896">
        <v>832</v>
      </c>
      <c r="B1896" t="s">
        <v>291</v>
      </c>
      <c r="C1896" t="s">
        <v>278</v>
      </c>
      <c r="D1896">
        <v>1</v>
      </c>
      <c r="E1896">
        <v>24.136399999999998</v>
      </c>
      <c r="F1896">
        <f t="shared" si="30"/>
        <v>24.136399999999998</v>
      </c>
    </row>
    <row r="1897" spans="1:6" x14ac:dyDescent="0.2">
      <c r="A1897">
        <v>832</v>
      </c>
      <c r="B1897" t="s">
        <v>277</v>
      </c>
      <c r="C1897" t="s">
        <v>278</v>
      </c>
      <c r="D1897">
        <v>3</v>
      </c>
      <c r="E1897">
        <v>41.026594559999999</v>
      </c>
      <c r="F1897">
        <f t="shared" si="30"/>
        <v>123.07978367999999</v>
      </c>
    </row>
    <row r="1898" spans="1:6" x14ac:dyDescent="0.2">
      <c r="A1898">
        <v>832</v>
      </c>
      <c r="B1898" t="s">
        <v>326</v>
      </c>
      <c r="C1898" t="s">
        <v>278</v>
      </c>
      <c r="D1898">
        <v>2</v>
      </c>
      <c r="E1898">
        <v>3.97459776</v>
      </c>
      <c r="F1898">
        <f t="shared" si="30"/>
        <v>7.94919552</v>
      </c>
    </row>
    <row r="1899" spans="1:6" x14ac:dyDescent="0.2">
      <c r="A1899">
        <v>832</v>
      </c>
      <c r="B1899" t="s">
        <v>274</v>
      </c>
      <c r="C1899" t="s">
        <v>273</v>
      </c>
      <c r="D1899">
        <v>1</v>
      </c>
      <c r="E1899">
        <v>149.23091903999997</v>
      </c>
      <c r="F1899">
        <f t="shared" si="30"/>
        <v>149.23091903999997</v>
      </c>
    </row>
    <row r="1900" spans="1:6" x14ac:dyDescent="0.2">
      <c r="A1900">
        <v>832</v>
      </c>
      <c r="B1900" t="s">
        <v>327</v>
      </c>
      <c r="C1900" t="s">
        <v>309</v>
      </c>
      <c r="D1900">
        <v>5</v>
      </c>
      <c r="E1900">
        <v>1532.5236863999999</v>
      </c>
      <c r="F1900">
        <f t="shared" si="30"/>
        <v>7662.6184319999993</v>
      </c>
    </row>
    <row r="1901" spans="1:6" x14ac:dyDescent="0.2">
      <c r="A1901">
        <v>832</v>
      </c>
      <c r="B1901" t="s">
        <v>328</v>
      </c>
      <c r="C1901" t="s">
        <v>329</v>
      </c>
      <c r="D1901">
        <v>1</v>
      </c>
      <c r="E1901">
        <v>155.62307692307695</v>
      </c>
      <c r="F1901">
        <f t="shared" si="30"/>
        <v>155.62307692307695</v>
      </c>
    </row>
    <row r="1902" spans="1:6" x14ac:dyDescent="0.2">
      <c r="A1902">
        <v>832</v>
      </c>
      <c r="B1902" t="s">
        <v>330</v>
      </c>
      <c r="C1902" t="s">
        <v>331</v>
      </c>
      <c r="D1902">
        <v>3</v>
      </c>
      <c r="E1902">
        <v>710.44615384615395</v>
      </c>
      <c r="F1902">
        <f t="shared" si="30"/>
        <v>2131.3384615384621</v>
      </c>
    </row>
    <row r="1903" spans="1:6" x14ac:dyDescent="0.2">
      <c r="A1903">
        <v>832</v>
      </c>
      <c r="B1903" t="s">
        <v>332</v>
      </c>
      <c r="C1903" t="s">
        <v>333</v>
      </c>
      <c r="D1903">
        <v>6</v>
      </c>
      <c r="E1903">
        <v>167.55384615384617</v>
      </c>
      <c r="F1903">
        <f t="shared" si="30"/>
        <v>1005.323076923077</v>
      </c>
    </row>
    <row r="1904" spans="1:6" x14ac:dyDescent="0.2">
      <c r="A1904">
        <v>832</v>
      </c>
      <c r="B1904" t="s">
        <v>272</v>
      </c>
      <c r="C1904" t="s">
        <v>273</v>
      </c>
      <c r="D1904">
        <v>6</v>
      </c>
      <c r="E1904">
        <v>170.11122239999997</v>
      </c>
      <c r="F1904">
        <f t="shared" si="30"/>
        <v>1020.6673343999998</v>
      </c>
    </row>
    <row r="1905" spans="1:6" x14ac:dyDescent="0.2">
      <c r="A1905">
        <v>832</v>
      </c>
      <c r="B1905" t="s">
        <v>275</v>
      </c>
      <c r="C1905" t="s">
        <v>276</v>
      </c>
      <c r="D1905">
        <v>1</v>
      </c>
      <c r="E1905">
        <v>9.0814483199999998</v>
      </c>
      <c r="F1905">
        <f t="shared" si="30"/>
        <v>9.0814483199999998</v>
      </c>
    </row>
    <row r="1906" spans="1:6" x14ac:dyDescent="0.2">
      <c r="A1906">
        <v>832</v>
      </c>
      <c r="B1906" t="s">
        <v>334</v>
      </c>
      <c r="C1906" t="s">
        <v>329</v>
      </c>
      <c r="D1906">
        <v>3</v>
      </c>
      <c r="E1906">
        <v>149.03076923076924</v>
      </c>
      <c r="F1906">
        <f t="shared" si="30"/>
        <v>447.09230769230771</v>
      </c>
    </row>
    <row r="1907" spans="1:6" x14ac:dyDescent="0.2">
      <c r="A1907">
        <v>832</v>
      </c>
      <c r="B1907" t="s">
        <v>335</v>
      </c>
      <c r="C1907" t="s">
        <v>331</v>
      </c>
      <c r="D1907">
        <v>1</v>
      </c>
      <c r="E1907">
        <v>703.1</v>
      </c>
      <c r="F1907">
        <f t="shared" si="30"/>
        <v>703.1</v>
      </c>
    </row>
    <row r="1908" spans="1:6" x14ac:dyDescent="0.2">
      <c r="A1908">
        <v>832</v>
      </c>
      <c r="B1908" t="s">
        <v>336</v>
      </c>
      <c r="C1908" t="s">
        <v>333</v>
      </c>
      <c r="D1908">
        <v>1</v>
      </c>
      <c r="E1908">
        <v>288.42307692307691</v>
      </c>
      <c r="F1908">
        <f t="shared" si="30"/>
        <v>288.42307692307691</v>
      </c>
    </row>
    <row r="1909" spans="1:6" x14ac:dyDescent="0.2">
      <c r="A1909">
        <v>832</v>
      </c>
      <c r="B1909" t="s">
        <v>337</v>
      </c>
      <c r="C1909" t="s">
        <v>297</v>
      </c>
      <c r="D1909">
        <v>3</v>
      </c>
      <c r="E1909">
        <v>11.761099999999999</v>
      </c>
      <c r="F1909">
        <f t="shared" si="30"/>
        <v>35.283299999999997</v>
      </c>
    </row>
    <row r="1910" spans="1:6" x14ac:dyDescent="0.2">
      <c r="A1910">
        <v>832</v>
      </c>
      <c r="B1910" t="s">
        <v>338</v>
      </c>
      <c r="C1910" t="s">
        <v>297</v>
      </c>
      <c r="D1910">
        <v>2</v>
      </c>
      <c r="E1910">
        <v>11.712959999999999</v>
      </c>
      <c r="F1910">
        <f t="shared" si="30"/>
        <v>23.425919999999998</v>
      </c>
    </row>
    <row r="1911" spans="1:6" x14ac:dyDescent="0.2">
      <c r="A1911">
        <v>832</v>
      </c>
      <c r="B1911" t="s">
        <v>339</v>
      </c>
      <c r="C1911" t="s">
        <v>297</v>
      </c>
      <c r="D1911">
        <v>1</v>
      </c>
      <c r="E1911">
        <v>20.279038079999996</v>
      </c>
      <c r="F1911">
        <f t="shared" si="30"/>
        <v>20.279038079999996</v>
      </c>
    </row>
    <row r="1912" spans="1:6" x14ac:dyDescent="0.2">
      <c r="A1912">
        <v>832</v>
      </c>
      <c r="B1912" t="s">
        <v>340</v>
      </c>
      <c r="C1912" t="s">
        <v>309</v>
      </c>
      <c r="D1912">
        <v>5</v>
      </c>
      <c r="E1912">
        <v>1536.3343027199999</v>
      </c>
      <c r="F1912">
        <f t="shared" si="30"/>
        <v>7681.6715135999993</v>
      </c>
    </row>
    <row r="1913" spans="1:6" x14ac:dyDescent="0.2">
      <c r="A1913">
        <v>832</v>
      </c>
      <c r="B1913" t="s">
        <v>341</v>
      </c>
      <c r="C1913" t="s">
        <v>342</v>
      </c>
      <c r="D1913">
        <v>1</v>
      </c>
      <c r="E1913">
        <v>307.22449999999998</v>
      </c>
      <c r="F1913">
        <f t="shared" si="30"/>
        <v>307.22449999999998</v>
      </c>
    </row>
    <row r="1914" spans="1:6" x14ac:dyDescent="0.2">
      <c r="A1914">
        <v>832</v>
      </c>
      <c r="B1914" t="s">
        <v>284</v>
      </c>
      <c r="C1914" t="s">
        <v>273</v>
      </c>
      <c r="D1914">
        <v>1</v>
      </c>
      <c r="E1914">
        <v>15.547002240000001</v>
      </c>
      <c r="F1914">
        <f t="shared" si="30"/>
        <v>15.547002240000001</v>
      </c>
    </row>
    <row r="1915" spans="1:6" x14ac:dyDescent="0.2">
      <c r="A1915">
        <v>832</v>
      </c>
      <c r="B1915" t="s">
        <v>283</v>
      </c>
      <c r="C1915" t="s">
        <v>278</v>
      </c>
      <c r="D1915">
        <v>1</v>
      </c>
      <c r="E1915">
        <v>101.76219647999997</v>
      </c>
      <c r="F1915">
        <f t="shared" si="30"/>
        <v>101.76219647999997</v>
      </c>
    </row>
    <row r="1916" spans="1:6" x14ac:dyDescent="0.2">
      <c r="A1916">
        <v>832</v>
      </c>
      <c r="B1916" t="s">
        <v>281</v>
      </c>
      <c r="C1916" t="s">
        <v>282</v>
      </c>
      <c r="D1916">
        <v>5</v>
      </c>
      <c r="E1916">
        <v>43.369186559999996</v>
      </c>
      <c r="F1916">
        <f t="shared" si="30"/>
        <v>216.84593279999999</v>
      </c>
    </row>
    <row r="1917" spans="1:6" x14ac:dyDescent="0.2">
      <c r="A1917">
        <v>832</v>
      </c>
      <c r="B1917" t="s">
        <v>279</v>
      </c>
      <c r="C1917" t="s">
        <v>280</v>
      </c>
      <c r="D1917">
        <v>5</v>
      </c>
      <c r="E1917">
        <v>36.786503039999999</v>
      </c>
      <c r="F1917">
        <f t="shared" si="30"/>
        <v>183.93251520000001</v>
      </c>
    </row>
    <row r="1918" spans="1:6" x14ac:dyDescent="0.2">
      <c r="A1918">
        <v>832</v>
      </c>
      <c r="B1918" t="s">
        <v>343</v>
      </c>
      <c r="C1918" t="s">
        <v>282</v>
      </c>
      <c r="D1918">
        <v>1</v>
      </c>
      <c r="E1918">
        <v>16.807499999999997</v>
      </c>
      <c r="F1918">
        <f t="shared" si="30"/>
        <v>16.807499999999997</v>
      </c>
    </row>
    <row r="1919" spans="1:6" x14ac:dyDescent="0.2">
      <c r="A1919">
        <v>832</v>
      </c>
      <c r="B1919" t="s">
        <v>344</v>
      </c>
      <c r="C1919" t="s">
        <v>282</v>
      </c>
      <c r="D1919">
        <v>1</v>
      </c>
      <c r="E1919">
        <v>12.767126399999999</v>
      </c>
      <c r="F1919">
        <f t="shared" si="30"/>
        <v>12.767126399999999</v>
      </c>
    </row>
    <row r="1920" spans="1:6" x14ac:dyDescent="0.2">
      <c r="A1920">
        <v>832</v>
      </c>
      <c r="B1920" t="s">
        <v>270</v>
      </c>
      <c r="C1920" t="s">
        <v>271</v>
      </c>
      <c r="D1920">
        <v>4</v>
      </c>
      <c r="E1920">
        <v>3027.0973823999993</v>
      </c>
      <c r="F1920">
        <f t="shared" si="30"/>
        <v>12108.389529599997</v>
      </c>
    </row>
    <row r="1921" spans="1:6" x14ac:dyDescent="0.2">
      <c r="A1921">
        <v>832</v>
      </c>
      <c r="B1921" t="s">
        <v>272</v>
      </c>
      <c r="C1921" t="s">
        <v>273</v>
      </c>
      <c r="D1921">
        <v>3</v>
      </c>
      <c r="E1921">
        <v>170.11122239999997</v>
      </c>
      <c r="F1921">
        <f t="shared" si="30"/>
        <v>510.33366719999992</v>
      </c>
    </row>
    <row r="1922" spans="1:6" x14ac:dyDescent="0.2">
      <c r="A1922">
        <v>832</v>
      </c>
      <c r="B1922" t="s">
        <v>274</v>
      </c>
      <c r="C1922" t="s">
        <v>273</v>
      </c>
      <c r="D1922">
        <v>1</v>
      </c>
      <c r="E1922">
        <v>149.23091903999997</v>
      </c>
      <c r="F1922">
        <f t="shared" si="30"/>
        <v>149.23091903999997</v>
      </c>
    </row>
    <row r="1923" spans="1:6" x14ac:dyDescent="0.2">
      <c r="A1923">
        <v>832</v>
      </c>
      <c r="B1923" t="s">
        <v>275</v>
      </c>
      <c r="C1923" t="s">
        <v>276</v>
      </c>
      <c r="D1923">
        <v>3</v>
      </c>
      <c r="E1923">
        <v>9.0814483199999998</v>
      </c>
      <c r="F1923">
        <f t="shared" si="30"/>
        <v>27.244344959999999</v>
      </c>
    </row>
    <row r="1924" spans="1:6" x14ac:dyDescent="0.2">
      <c r="A1924">
        <v>832</v>
      </c>
      <c r="B1924" t="s">
        <v>277</v>
      </c>
      <c r="C1924" t="s">
        <v>278</v>
      </c>
      <c r="D1924">
        <v>2</v>
      </c>
      <c r="E1924">
        <v>41.026594559999999</v>
      </c>
      <c r="F1924">
        <f t="shared" si="30"/>
        <v>82.053189119999999</v>
      </c>
    </row>
    <row r="1925" spans="1:6" x14ac:dyDescent="0.2">
      <c r="A1925">
        <v>832</v>
      </c>
      <c r="B1925" t="s">
        <v>279</v>
      </c>
      <c r="C1925" t="s">
        <v>280</v>
      </c>
      <c r="D1925">
        <v>4</v>
      </c>
      <c r="E1925">
        <v>36.786503039999999</v>
      </c>
      <c r="F1925">
        <f t="shared" si="30"/>
        <v>147.14601216</v>
      </c>
    </row>
    <row r="1926" spans="1:6" x14ac:dyDescent="0.2">
      <c r="A1926">
        <v>832</v>
      </c>
      <c r="B1926" t="s">
        <v>281</v>
      </c>
      <c r="C1926" t="s">
        <v>282</v>
      </c>
      <c r="D1926">
        <v>1</v>
      </c>
      <c r="E1926">
        <v>43.369186559999996</v>
      </c>
      <c r="F1926">
        <f t="shared" si="30"/>
        <v>43.369186559999996</v>
      </c>
    </row>
    <row r="1927" spans="1:6" x14ac:dyDescent="0.2">
      <c r="A1927">
        <v>832</v>
      </c>
      <c r="B1927" t="s">
        <v>283</v>
      </c>
      <c r="C1927" t="s">
        <v>278</v>
      </c>
      <c r="D1927">
        <v>118</v>
      </c>
      <c r="E1927">
        <v>101.76219647999997</v>
      </c>
      <c r="F1927">
        <f t="shared" si="30"/>
        <v>12007.939184639996</v>
      </c>
    </row>
    <row r="1928" spans="1:6" x14ac:dyDescent="0.2">
      <c r="A1928">
        <v>832</v>
      </c>
      <c r="B1928" t="s">
        <v>284</v>
      </c>
      <c r="C1928" t="s">
        <v>273</v>
      </c>
      <c r="D1928">
        <v>1</v>
      </c>
      <c r="E1928">
        <v>15.547002240000001</v>
      </c>
      <c r="F1928">
        <f t="shared" si="30"/>
        <v>15.547002240000001</v>
      </c>
    </row>
    <row r="1929" spans="1:6" x14ac:dyDescent="0.2">
      <c r="A1929">
        <v>832</v>
      </c>
      <c r="B1929" t="s">
        <v>285</v>
      </c>
      <c r="C1929" t="s">
        <v>286</v>
      </c>
      <c r="D1929">
        <v>1</v>
      </c>
      <c r="E1929">
        <v>58.189985279999981</v>
      </c>
      <c r="F1929">
        <f t="shared" si="30"/>
        <v>58.189985279999981</v>
      </c>
    </row>
    <row r="1930" spans="1:6" x14ac:dyDescent="0.2">
      <c r="A1930">
        <v>832</v>
      </c>
      <c r="B1930" t="s">
        <v>287</v>
      </c>
      <c r="C1930" t="s">
        <v>273</v>
      </c>
      <c r="D1930">
        <v>3</v>
      </c>
      <c r="E1930">
        <v>100.66898687999999</v>
      </c>
      <c r="F1930">
        <f t="shared" si="30"/>
        <v>302.00696063999999</v>
      </c>
    </row>
    <row r="1931" spans="1:6" x14ac:dyDescent="0.2">
      <c r="A1931">
        <v>832</v>
      </c>
      <c r="B1931" t="s">
        <v>288</v>
      </c>
      <c r="C1931" t="s">
        <v>289</v>
      </c>
      <c r="D1931">
        <v>1</v>
      </c>
      <c r="E1931">
        <v>7.3401215999999998</v>
      </c>
      <c r="F1931">
        <f t="shared" si="30"/>
        <v>7.3401215999999998</v>
      </c>
    </row>
    <row r="1932" spans="1:6" x14ac:dyDescent="0.2">
      <c r="A1932">
        <v>832</v>
      </c>
      <c r="B1932" t="s">
        <v>290</v>
      </c>
      <c r="C1932" t="s">
        <v>278</v>
      </c>
      <c r="D1932">
        <v>2</v>
      </c>
      <c r="E1932">
        <v>43.751809919999999</v>
      </c>
      <c r="F1932">
        <f t="shared" si="30"/>
        <v>87.503619839999999</v>
      </c>
    </row>
    <row r="1933" spans="1:6" x14ac:dyDescent="0.2">
      <c r="A1933">
        <v>832</v>
      </c>
      <c r="B1933" t="s">
        <v>277</v>
      </c>
      <c r="C1933" t="s">
        <v>278</v>
      </c>
      <c r="D1933">
        <v>3</v>
      </c>
      <c r="E1933">
        <v>41.026594559999999</v>
      </c>
      <c r="F1933">
        <f t="shared" si="30"/>
        <v>123.07978367999999</v>
      </c>
    </row>
    <row r="1934" spans="1:6" x14ac:dyDescent="0.2">
      <c r="A1934">
        <v>832</v>
      </c>
      <c r="B1934" t="s">
        <v>291</v>
      </c>
      <c r="C1934" t="s">
        <v>278</v>
      </c>
      <c r="D1934">
        <v>6</v>
      </c>
      <c r="E1934">
        <v>24.136399999999998</v>
      </c>
      <c r="F1934">
        <f t="shared" si="30"/>
        <v>144.8184</v>
      </c>
    </row>
    <row r="1935" spans="1:6" x14ac:dyDescent="0.2">
      <c r="A1935">
        <v>832</v>
      </c>
      <c r="B1935" t="s">
        <v>292</v>
      </c>
      <c r="C1935" t="s">
        <v>293</v>
      </c>
      <c r="D1935">
        <v>6</v>
      </c>
      <c r="E1935">
        <v>96.852699999999999</v>
      </c>
      <c r="F1935">
        <f t="shared" si="30"/>
        <v>581.11619999999994</v>
      </c>
    </row>
    <row r="1936" spans="1:6" x14ac:dyDescent="0.2">
      <c r="A1936">
        <v>832</v>
      </c>
      <c r="B1936" t="s">
        <v>294</v>
      </c>
      <c r="C1936" t="s">
        <v>278</v>
      </c>
      <c r="D1936">
        <v>1</v>
      </c>
      <c r="E1936">
        <v>26.221413119999998</v>
      </c>
      <c r="F1936">
        <f t="shared" si="30"/>
        <v>26.221413119999998</v>
      </c>
    </row>
    <row r="1937" spans="1:6" x14ac:dyDescent="0.2">
      <c r="A1937">
        <v>832</v>
      </c>
      <c r="B1937" t="s">
        <v>295</v>
      </c>
      <c r="C1937" t="s">
        <v>273</v>
      </c>
      <c r="D1937">
        <v>3</v>
      </c>
      <c r="E1937">
        <v>54.886930560000003</v>
      </c>
      <c r="F1937">
        <f t="shared" si="30"/>
        <v>164.66079168000002</v>
      </c>
    </row>
    <row r="1938" spans="1:6" x14ac:dyDescent="0.2">
      <c r="A1938">
        <v>832</v>
      </c>
      <c r="B1938" t="s">
        <v>296</v>
      </c>
      <c r="C1938" t="s">
        <v>297</v>
      </c>
      <c r="D1938">
        <v>1</v>
      </c>
      <c r="E1938">
        <v>5.5028999999999995</v>
      </c>
      <c r="F1938">
        <f t="shared" si="30"/>
        <v>5.5028999999999995</v>
      </c>
    </row>
    <row r="1939" spans="1:6" x14ac:dyDescent="0.2">
      <c r="A1939">
        <v>832</v>
      </c>
      <c r="B1939" t="s">
        <v>298</v>
      </c>
      <c r="C1939" t="s">
        <v>297</v>
      </c>
      <c r="D1939">
        <v>1</v>
      </c>
      <c r="E1939">
        <v>5.9344999999999999</v>
      </c>
      <c r="F1939">
        <f t="shared" si="30"/>
        <v>5.9344999999999999</v>
      </c>
    </row>
    <row r="1940" spans="1:6" x14ac:dyDescent="0.2">
      <c r="A1940">
        <v>832</v>
      </c>
      <c r="B1940" t="s">
        <v>299</v>
      </c>
      <c r="C1940" t="s">
        <v>297</v>
      </c>
      <c r="D1940">
        <v>3</v>
      </c>
      <c r="E1940">
        <v>4.3574999999999999</v>
      </c>
      <c r="F1940">
        <f t="shared" si="30"/>
        <v>13.0725</v>
      </c>
    </row>
    <row r="1941" spans="1:6" x14ac:dyDescent="0.2">
      <c r="A1941">
        <v>832</v>
      </c>
      <c r="B1941" t="s">
        <v>122</v>
      </c>
      <c r="C1941" t="s">
        <v>276</v>
      </c>
      <c r="D1941">
        <v>2</v>
      </c>
      <c r="E1941">
        <v>14.915099999999999</v>
      </c>
      <c r="F1941">
        <f t="shared" si="30"/>
        <v>29.830199999999998</v>
      </c>
    </row>
    <row r="1942" spans="1:6" x14ac:dyDescent="0.2">
      <c r="A1942">
        <v>832</v>
      </c>
      <c r="B1942" t="s">
        <v>120</v>
      </c>
      <c r="C1942" t="s">
        <v>278</v>
      </c>
      <c r="D1942">
        <v>1</v>
      </c>
      <c r="E1942">
        <v>1.5603999999999998</v>
      </c>
      <c r="F1942">
        <f t="shared" si="30"/>
        <v>1.5603999999999998</v>
      </c>
    </row>
    <row r="1943" spans="1:6" x14ac:dyDescent="0.2">
      <c r="A1943">
        <v>832</v>
      </c>
      <c r="B1943" t="s">
        <v>300</v>
      </c>
      <c r="C1943" t="s">
        <v>273</v>
      </c>
      <c r="D1943">
        <v>5</v>
      </c>
      <c r="E1943">
        <v>60.589999999999996</v>
      </c>
      <c r="F1943">
        <f t="shared" si="30"/>
        <v>302.95</v>
      </c>
    </row>
    <row r="1944" spans="1:6" x14ac:dyDescent="0.2">
      <c r="A1944">
        <v>832</v>
      </c>
      <c r="B1944" t="s">
        <v>301</v>
      </c>
      <c r="C1944" t="s">
        <v>302</v>
      </c>
      <c r="D1944">
        <v>1</v>
      </c>
      <c r="E1944">
        <v>104.88565247999999</v>
      </c>
      <c r="F1944">
        <f t="shared" si="30"/>
        <v>104.88565247999999</v>
      </c>
    </row>
    <row r="1945" spans="1:6" x14ac:dyDescent="0.2">
      <c r="A1945">
        <v>832</v>
      </c>
      <c r="B1945" t="s">
        <v>303</v>
      </c>
      <c r="C1945" t="s">
        <v>304</v>
      </c>
      <c r="D1945">
        <v>1</v>
      </c>
      <c r="E1945">
        <v>683.94489999999996</v>
      </c>
      <c r="F1945">
        <f t="shared" si="30"/>
        <v>683.94489999999996</v>
      </c>
    </row>
    <row r="1946" spans="1:6" x14ac:dyDescent="0.2">
      <c r="A1946">
        <v>832</v>
      </c>
      <c r="B1946" t="s">
        <v>305</v>
      </c>
      <c r="C1946" t="s">
        <v>273</v>
      </c>
      <c r="D1946">
        <v>1</v>
      </c>
      <c r="E1946">
        <v>71.189099999999996</v>
      </c>
      <c r="F1946">
        <f t="shared" si="30"/>
        <v>71.189099999999996</v>
      </c>
    </row>
    <row r="1947" spans="1:6" x14ac:dyDescent="0.2">
      <c r="A1947">
        <v>832</v>
      </c>
      <c r="B1947" t="s">
        <v>294</v>
      </c>
      <c r="C1947" t="s">
        <v>278</v>
      </c>
      <c r="D1947">
        <v>5</v>
      </c>
      <c r="E1947">
        <v>26.221413119999998</v>
      </c>
      <c r="F1947">
        <f t="shared" si="30"/>
        <v>131.1070656</v>
      </c>
    </row>
    <row r="1948" spans="1:6" x14ac:dyDescent="0.2">
      <c r="A1948">
        <v>832</v>
      </c>
      <c r="B1948" t="s">
        <v>306</v>
      </c>
      <c r="C1948" t="s">
        <v>273</v>
      </c>
      <c r="D1948">
        <v>5</v>
      </c>
      <c r="E1948">
        <v>99.575777279999997</v>
      </c>
      <c r="F1948">
        <f t="shared" si="30"/>
        <v>497.8788864</v>
      </c>
    </row>
    <row r="1949" spans="1:6" x14ac:dyDescent="0.2">
      <c r="A1949">
        <v>832</v>
      </c>
      <c r="B1949" t="s">
        <v>294</v>
      </c>
      <c r="C1949" t="s">
        <v>278</v>
      </c>
      <c r="D1949">
        <v>1</v>
      </c>
      <c r="E1949">
        <v>26.221413119999998</v>
      </c>
      <c r="F1949">
        <f t="shared" si="30"/>
        <v>26.221413119999998</v>
      </c>
    </row>
    <row r="1950" spans="1:6" x14ac:dyDescent="0.2">
      <c r="A1950">
        <v>832</v>
      </c>
      <c r="B1950" t="s">
        <v>306</v>
      </c>
      <c r="C1950" t="s">
        <v>273</v>
      </c>
      <c r="D1950">
        <v>1</v>
      </c>
      <c r="E1950">
        <v>99.575777279999997</v>
      </c>
      <c r="F1950">
        <f t="shared" si="30"/>
        <v>99.575777279999997</v>
      </c>
    </row>
    <row r="1951" spans="1:6" x14ac:dyDescent="0.2">
      <c r="A1951">
        <v>832</v>
      </c>
      <c r="B1951" t="s">
        <v>308</v>
      </c>
      <c r="C1951" t="s">
        <v>309</v>
      </c>
      <c r="D1951">
        <v>4</v>
      </c>
      <c r="E1951">
        <v>167.62307692307692</v>
      </c>
      <c r="F1951">
        <f t="shared" si="30"/>
        <v>670.49230769230769</v>
      </c>
    </row>
    <row r="1952" spans="1:6" x14ac:dyDescent="0.2">
      <c r="A1952">
        <v>832</v>
      </c>
      <c r="B1952" t="s">
        <v>310</v>
      </c>
      <c r="C1952" t="s">
        <v>273</v>
      </c>
      <c r="D1952">
        <v>3</v>
      </c>
      <c r="E1952">
        <v>0.33200000000000002</v>
      </c>
      <c r="F1952">
        <f t="shared" si="30"/>
        <v>0.996</v>
      </c>
    </row>
    <row r="1953" spans="1:6" x14ac:dyDescent="0.2">
      <c r="A1953">
        <v>832</v>
      </c>
      <c r="B1953" t="s">
        <v>197</v>
      </c>
      <c r="C1953" t="s">
        <v>278</v>
      </c>
      <c r="D1953">
        <v>1</v>
      </c>
      <c r="E1953">
        <v>7.4699999999999989E-2</v>
      </c>
      <c r="F1953">
        <f t="shared" si="30"/>
        <v>7.4699999999999989E-2</v>
      </c>
    </row>
    <row r="1954" spans="1:6" x14ac:dyDescent="0.2">
      <c r="A1954">
        <v>832</v>
      </c>
      <c r="B1954" t="s">
        <v>311</v>
      </c>
      <c r="C1954" t="s">
        <v>273</v>
      </c>
      <c r="D1954">
        <v>3</v>
      </c>
      <c r="E1954">
        <v>1.5935999999999999</v>
      </c>
      <c r="F1954">
        <f t="shared" si="30"/>
        <v>4.7807999999999993</v>
      </c>
    </row>
    <row r="1955" spans="1:6" x14ac:dyDescent="0.2">
      <c r="A1955">
        <v>832</v>
      </c>
      <c r="B1955" t="s">
        <v>312</v>
      </c>
      <c r="C1955" t="s">
        <v>278</v>
      </c>
      <c r="D1955">
        <v>2</v>
      </c>
      <c r="E1955">
        <v>21.040500000000002</v>
      </c>
      <c r="F1955">
        <f t="shared" si="30"/>
        <v>42.081000000000003</v>
      </c>
    </row>
    <row r="1956" spans="1:6" x14ac:dyDescent="0.2">
      <c r="A1956">
        <v>832</v>
      </c>
      <c r="B1956" t="s">
        <v>75</v>
      </c>
      <c r="C1956" t="s">
        <v>313</v>
      </c>
      <c r="D1956">
        <v>4</v>
      </c>
      <c r="E1956">
        <v>0.1153846153846154</v>
      </c>
      <c r="F1956">
        <f t="shared" si="30"/>
        <v>0.46153846153846162</v>
      </c>
    </row>
    <row r="1957" spans="1:6" x14ac:dyDescent="0.2">
      <c r="A1957">
        <v>832</v>
      </c>
      <c r="B1957" t="s">
        <v>314</v>
      </c>
      <c r="C1957" t="s">
        <v>273</v>
      </c>
      <c r="D1957">
        <v>1</v>
      </c>
      <c r="E1957">
        <v>0.45650000000000002</v>
      </c>
      <c r="F1957">
        <f t="shared" ref="F1957:F2020" si="31">D1957*E1957</f>
        <v>0.45650000000000002</v>
      </c>
    </row>
    <row r="1958" spans="1:6" x14ac:dyDescent="0.2">
      <c r="A1958">
        <v>832</v>
      </c>
      <c r="B1958" t="s">
        <v>314</v>
      </c>
      <c r="C1958" t="s">
        <v>315</v>
      </c>
      <c r="D1958">
        <v>118</v>
      </c>
      <c r="E1958">
        <v>0.45650000000000002</v>
      </c>
      <c r="F1958">
        <f t="shared" si="31"/>
        <v>53.867000000000004</v>
      </c>
    </row>
    <row r="1959" spans="1:6" x14ac:dyDescent="0.2">
      <c r="A1959">
        <v>832</v>
      </c>
      <c r="B1959" t="s">
        <v>316</v>
      </c>
      <c r="C1959" t="s">
        <v>317</v>
      </c>
      <c r="D1959">
        <v>1</v>
      </c>
      <c r="E1959">
        <v>92.206615384615375</v>
      </c>
      <c r="F1959">
        <f t="shared" si="31"/>
        <v>92.206615384615375</v>
      </c>
    </row>
    <row r="1960" spans="1:6" x14ac:dyDescent="0.2">
      <c r="A1960">
        <v>832</v>
      </c>
      <c r="B1960" t="s">
        <v>318</v>
      </c>
      <c r="C1960" t="s">
        <v>319</v>
      </c>
      <c r="D1960">
        <v>1</v>
      </c>
      <c r="E1960">
        <v>85.453846153846172</v>
      </c>
      <c r="F1960">
        <f t="shared" si="31"/>
        <v>85.453846153846172</v>
      </c>
    </row>
    <row r="1961" spans="1:6" x14ac:dyDescent="0.2">
      <c r="A1961">
        <v>832</v>
      </c>
      <c r="B1961" t="s">
        <v>320</v>
      </c>
      <c r="C1961" t="s">
        <v>321</v>
      </c>
      <c r="D1961">
        <v>3</v>
      </c>
      <c r="E1961">
        <v>92.206615384615375</v>
      </c>
      <c r="F1961">
        <f t="shared" si="31"/>
        <v>276.61984615384614</v>
      </c>
    </row>
    <row r="1962" spans="1:6" x14ac:dyDescent="0.2">
      <c r="A1962">
        <v>832</v>
      </c>
      <c r="B1962" t="s">
        <v>267</v>
      </c>
      <c r="C1962" t="s">
        <v>268</v>
      </c>
      <c r="D1962">
        <v>1</v>
      </c>
      <c r="E1962">
        <v>84863.132923076919</v>
      </c>
      <c r="F1962">
        <f t="shared" si="31"/>
        <v>84863.132923076919</v>
      </c>
    </row>
    <row r="1963" spans="1:6" x14ac:dyDescent="0.2">
      <c r="A1963">
        <v>832</v>
      </c>
      <c r="B1963" t="s">
        <v>260</v>
      </c>
      <c r="C1963" t="s">
        <v>261</v>
      </c>
      <c r="D1963">
        <v>2</v>
      </c>
      <c r="E1963">
        <v>2908.2944615384613</v>
      </c>
      <c r="F1963">
        <f t="shared" si="31"/>
        <v>5816.5889230769226</v>
      </c>
    </row>
    <row r="1964" spans="1:6" x14ac:dyDescent="0.2">
      <c r="A1964">
        <v>832</v>
      </c>
      <c r="B1964" t="s">
        <v>262</v>
      </c>
      <c r="C1964" t="s">
        <v>263</v>
      </c>
      <c r="D1964">
        <v>3</v>
      </c>
      <c r="E1964">
        <v>3207.1966153846147</v>
      </c>
      <c r="F1964">
        <f t="shared" si="31"/>
        <v>9621.5898461538436</v>
      </c>
    </row>
    <row r="1965" spans="1:6" x14ac:dyDescent="0.2">
      <c r="A1965">
        <v>832</v>
      </c>
      <c r="B1965" t="s">
        <v>264</v>
      </c>
      <c r="C1965" t="s">
        <v>265</v>
      </c>
      <c r="D1965">
        <v>6</v>
      </c>
      <c r="E1965">
        <v>3466.73123076923</v>
      </c>
      <c r="F1965">
        <f t="shared" si="31"/>
        <v>20800.38738461538</v>
      </c>
    </row>
    <row r="1966" spans="1:6" x14ac:dyDescent="0.2">
      <c r="A1966">
        <v>832</v>
      </c>
      <c r="B1966" t="s">
        <v>259</v>
      </c>
      <c r="C1966" t="s">
        <v>258</v>
      </c>
      <c r="D1966">
        <v>6</v>
      </c>
      <c r="E1966">
        <v>3325.9759999999997</v>
      </c>
      <c r="F1966">
        <f t="shared" si="31"/>
        <v>19955.856</v>
      </c>
    </row>
    <row r="1967" spans="1:6" x14ac:dyDescent="0.2">
      <c r="A1967">
        <v>832</v>
      </c>
      <c r="B1967" t="s">
        <v>257</v>
      </c>
      <c r="C1967" t="s">
        <v>258</v>
      </c>
      <c r="D1967">
        <v>1</v>
      </c>
      <c r="E1967">
        <v>3325.9759999999997</v>
      </c>
      <c r="F1967">
        <f t="shared" si="31"/>
        <v>3325.9759999999997</v>
      </c>
    </row>
    <row r="1968" spans="1:6" x14ac:dyDescent="0.2">
      <c r="A1968">
        <v>832</v>
      </c>
      <c r="B1968" t="s">
        <v>255</v>
      </c>
      <c r="C1968" t="s">
        <v>256</v>
      </c>
      <c r="D1968">
        <v>3</v>
      </c>
      <c r="E1968">
        <v>18546.094615384613</v>
      </c>
      <c r="F1968">
        <f t="shared" si="31"/>
        <v>55638.283846153834</v>
      </c>
    </row>
    <row r="1969" spans="1:6" x14ac:dyDescent="0.2">
      <c r="A1969">
        <v>832</v>
      </c>
      <c r="B1969" t="s">
        <v>253</v>
      </c>
      <c r="C1969" t="s">
        <v>254</v>
      </c>
      <c r="D1969">
        <v>1</v>
      </c>
      <c r="E1969">
        <v>21043.67953846154</v>
      </c>
      <c r="F1969">
        <f t="shared" si="31"/>
        <v>21043.67953846154</v>
      </c>
    </row>
    <row r="1970" spans="1:6" x14ac:dyDescent="0.2">
      <c r="A1970">
        <v>832</v>
      </c>
      <c r="B1970" t="s">
        <v>359</v>
      </c>
      <c r="C1970" t="s">
        <v>360</v>
      </c>
      <c r="D1970">
        <v>1</v>
      </c>
      <c r="E1970">
        <v>1844.9384615384615</v>
      </c>
      <c r="F1970">
        <f t="shared" si="31"/>
        <v>1844.9384615384615</v>
      </c>
    </row>
    <row r="1971" spans="1:6" x14ac:dyDescent="0.2">
      <c r="A1971">
        <v>832</v>
      </c>
      <c r="B1971" t="s">
        <v>389</v>
      </c>
      <c r="C1971" t="s">
        <v>390</v>
      </c>
      <c r="D1971">
        <v>1</v>
      </c>
      <c r="E1971">
        <v>4906</v>
      </c>
      <c r="F1971">
        <f t="shared" si="31"/>
        <v>4906</v>
      </c>
    </row>
    <row r="1972" spans="1:6" x14ac:dyDescent="0.2">
      <c r="A1972">
        <v>833</v>
      </c>
      <c r="B1972" t="s">
        <v>62</v>
      </c>
      <c r="C1972" t="s">
        <v>63</v>
      </c>
      <c r="D1972">
        <v>2</v>
      </c>
      <c r="E1972">
        <v>0.34860000000000002</v>
      </c>
      <c r="F1972">
        <f t="shared" si="31"/>
        <v>0.69720000000000004</v>
      </c>
    </row>
    <row r="1973" spans="1:6" x14ac:dyDescent="0.2">
      <c r="A1973">
        <v>833</v>
      </c>
      <c r="B1973" t="s">
        <v>64</v>
      </c>
      <c r="C1973" t="s">
        <v>65</v>
      </c>
      <c r="D1973">
        <v>1</v>
      </c>
      <c r="E1973">
        <v>803.07692307692309</v>
      </c>
      <c r="F1973">
        <f t="shared" si="31"/>
        <v>803.07692307692309</v>
      </c>
    </row>
    <row r="1974" spans="1:6" x14ac:dyDescent="0.2">
      <c r="A1974">
        <v>833</v>
      </c>
      <c r="B1974" t="s">
        <v>67</v>
      </c>
      <c r="C1974" t="s">
        <v>68</v>
      </c>
      <c r="D1974">
        <v>5</v>
      </c>
      <c r="E1974">
        <v>49.678567679999993</v>
      </c>
      <c r="F1974">
        <f t="shared" si="31"/>
        <v>248.39283839999996</v>
      </c>
    </row>
    <row r="1975" spans="1:6" x14ac:dyDescent="0.2">
      <c r="A1975">
        <v>833</v>
      </c>
      <c r="B1975" t="s">
        <v>70</v>
      </c>
      <c r="C1975" t="s">
        <v>71</v>
      </c>
      <c r="D1975">
        <v>1</v>
      </c>
      <c r="E1975">
        <v>407.98649999999998</v>
      </c>
      <c r="F1975">
        <f t="shared" si="31"/>
        <v>407.98649999999998</v>
      </c>
    </row>
    <row r="1976" spans="1:6" x14ac:dyDescent="0.2">
      <c r="A1976">
        <v>833</v>
      </c>
      <c r="B1976" t="s">
        <v>73</v>
      </c>
      <c r="C1976" t="s">
        <v>74</v>
      </c>
      <c r="D1976">
        <v>3</v>
      </c>
      <c r="E1976">
        <v>0.57783935999999991</v>
      </c>
      <c r="F1976">
        <f t="shared" si="31"/>
        <v>1.7335180799999996</v>
      </c>
    </row>
    <row r="1977" spans="1:6" x14ac:dyDescent="0.2">
      <c r="A1977">
        <v>833</v>
      </c>
      <c r="B1977" t="s">
        <v>75</v>
      </c>
      <c r="C1977" t="s">
        <v>76</v>
      </c>
      <c r="D1977">
        <v>6</v>
      </c>
      <c r="E1977">
        <v>0.1153846153846154</v>
      </c>
      <c r="F1977">
        <f t="shared" si="31"/>
        <v>0.6923076923076924</v>
      </c>
    </row>
    <row r="1978" spans="1:6" x14ac:dyDescent="0.2">
      <c r="A1978">
        <v>833</v>
      </c>
      <c r="B1978" t="s">
        <v>77</v>
      </c>
      <c r="C1978" t="s">
        <v>74</v>
      </c>
      <c r="D1978">
        <v>6</v>
      </c>
      <c r="E1978">
        <v>1.3943999999999999</v>
      </c>
      <c r="F1978">
        <f t="shared" si="31"/>
        <v>8.3663999999999987</v>
      </c>
    </row>
    <row r="1979" spans="1:6" x14ac:dyDescent="0.2">
      <c r="A1979">
        <v>833</v>
      </c>
      <c r="B1979" t="s">
        <v>78</v>
      </c>
      <c r="C1979" t="s">
        <v>76</v>
      </c>
      <c r="D1979">
        <v>1</v>
      </c>
      <c r="E1979">
        <v>0.71839487999999996</v>
      </c>
      <c r="F1979">
        <f t="shared" si="31"/>
        <v>0.71839487999999996</v>
      </c>
    </row>
    <row r="1980" spans="1:6" x14ac:dyDescent="0.2">
      <c r="A1980">
        <v>833</v>
      </c>
      <c r="B1980" t="s">
        <v>79</v>
      </c>
      <c r="C1980" t="s">
        <v>74</v>
      </c>
      <c r="D1980">
        <v>3</v>
      </c>
      <c r="E1980">
        <v>1.9307692307692308</v>
      </c>
      <c r="F1980">
        <f t="shared" si="31"/>
        <v>5.7923076923076922</v>
      </c>
    </row>
    <row r="1981" spans="1:6" x14ac:dyDescent="0.2">
      <c r="A1981">
        <v>833</v>
      </c>
      <c r="B1981" t="s">
        <v>80</v>
      </c>
      <c r="C1981" t="s">
        <v>74</v>
      </c>
      <c r="D1981">
        <v>1</v>
      </c>
      <c r="E1981">
        <v>0.9544999999999999</v>
      </c>
      <c r="F1981">
        <f t="shared" si="31"/>
        <v>0.9544999999999999</v>
      </c>
    </row>
    <row r="1982" spans="1:6" x14ac:dyDescent="0.2">
      <c r="A1982">
        <v>833</v>
      </c>
      <c r="B1982" t="s">
        <v>81</v>
      </c>
      <c r="C1982" t="s">
        <v>74</v>
      </c>
      <c r="D1982">
        <v>1</v>
      </c>
      <c r="E1982">
        <v>0.76359999999999995</v>
      </c>
      <c r="F1982">
        <f t="shared" si="31"/>
        <v>0.76359999999999995</v>
      </c>
    </row>
    <row r="1983" spans="1:6" x14ac:dyDescent="0.2">
      <c r="A1983">
        <v>833</v>
      </c>
      <c r="B1983" t="s">
        <v>82</v>
      </c>
      <c r="C1983" t="s">
        <v>83</v>
      </c>
      <c r="D1983">
        <v>3</v>
      </c>
      <c r="E1983">
        <v>20.351599999999998</v>
      </c>
      <c r="F1983">
        <f t="shared" si="31"/>
        <v>61.054799999999993</v>
      </c>
    </row>
    <row r="1984" spans="1:6" x14ac:dyDescent="0.2">
      <c r="A1984">
        <v>833</v>
      </c>
      <c r="B1984" t="s">
        <v>84</v>
      </c>
      <c r="C1984" t="s">
        <v>85</v>
      </c>
      <c r="D1984">
        <v>2</v>
      </c>
      <c r="E1984">
        <v>102.33222719999999</v>
      </c>
      <c r="F1984">
        <f t="shared" si="31"/>
        <v>204.66445439999998</v>
      </c>
    </row>
    <row r="1985" spans="1:6" x14ac:dyDescent="0.2">
      <c r="A1985">
        <v>833</v>
      </c>
      <c r="B1985" t="s">
        <v>86</v>
      </c>
      <c r="C1985" t="s">
        <v>85</v>
      </c>
      <c r="D1985">
        <v>1</v>
      </c>
      <c r="E1985">
        <v>144.26462399999997</v>
      </c>
      <c r="F1985">
        <f t="shared" si="31"/>
        <v>144.26462399999997</v>
      </c>
    </row>
    <row r="1986" spans="1:6" x14ac:dyDescent="0.2">
      <c r="A1986">
        <v>833</v>
      </c>
      <c r="B1986" t="s">
        <v>87</v>
      </c>
      <c r="C1986" t="s">
        <v>88</v>
      </c>
      <c r="D1986">
        <v>5</v>
      </c>
      <c r="E1986">
        <v>162.02147135999999</v>
      </c>
      <c r="F1986">
        <f t="shared" si="31"/>
        <v>810.10735679999993</v>
      </c>
    </row>
    <row r="1987" spans="1:6" x14ac:dyDescent="0.2">
      <c r="A1987">
        <v>833</v>
      </c>
      <c r="B1987" t="s">
        <v>89</v>
      </c>
      <c r="C1987" t="s">
        <v>85</v>
      </c>
      <c r="D1987">
        <v>1</v>
      </c>
      <c r="E1987">
        <v>211.01287872</v>
      </c>
      <c r="F1987">
        <f t="shared" si="31"/>
        <v>211.01287872</v>
      </c>
    </row>
    <row r="1988" spans="1:6" x14ac:dyDescent="0.2">
      <c r="A1988">
        <v>833</v>
      </c>
      <c r="B1988" t="s">
        <v>90</v>
      </c>
      <c r="C1988" t="s">
        <v>88</v>
      </c>
      <c r="D1988">
        <v>1</v>
      </c>
      <c r="E1988">
        <v>238.16351999999995</v>
      </c>
      <c r="F1988">
        <f t="shared" si="31"/>
        <v>238.16351999999995</v>
      </c>
    </row>
    <row r="1989" spans="1:6" x14ac:dyDescent="0.2">
      <c r="A1989">
        <v>833</v>
      </c>
      <c r="B1989" t="s">
        <v>92</v>
      </c>
      <c r="C1989" t="s">
        <v>93</v>
      </c>
      <c r="D1989">
        <v>1</v>
      </c>
      <c r="E1989">
        <v>19.297499999999999</v>
      </c>
      <c r="F1989">
        <f t="shared" si="31"/>
        <v>19.297499999999999</v>
      </c>
    </row>
    <row r="1990" spans="1:6" x14ac:dyDescent="0.2">
      <c r="A1990">
        <v>833</v>
      </c>
      <c r="B1990" t="s">
        <v>94</v>
      </c>
      <c r="C1990" t="s">
        <v>95</v>
      </c>
      <c r="D1990">
        <v>5</v>
      </c>
      <c r="E1990">
        <v>644.46267648000003</v>
      </c>
      <c r="F1990">
        <f t="shared" si="31"/>
        <v>3222.3133824000001</v>
      </c>
    </row>
    <row r="1991" spans="1:6" x14ac:dyDescent="0.2">
      <c r="A1991">
        <v>833</v>
      </c>
      <c r="B1991" t="s">
        <v>236</v>
      </c>
      <c r="C1991" t="s">
        <v>237</v>
      </c>
      <c r="D1991">
        <v>5</v>
      </c>
      <c r="E1991">
        <v>132.79999999999998</v>
      </c>
      <c r="F1991">
        <f t="shared" si="31"/>
        <v>663.99999999999989</v>
      </c>
    </row>
    <row r="1992" spans="1:6" x14ac:dyDescent="0.2">
      <c r="A1992">
        <v>833</v>
      </c>
      <c r="B1992" t="s">
        <v>238</v>
      </c>
      <c r="C1992" t="s">
        <v>239</v>
      </c>
      <c r="D1992">
        <v>1</v>
      </c>
      <c r="E1992">
        <v>340.93846153846152</v>
      </c>
      <c r="F1992">
        <f t="shared" si="31"/>
        <v>340.93846153846152</v>
      </c>
    </row>
    <row r="1993" spans="1:6" x14ac:dyDescent="0.2">
      <c r="A1993">
        <v>833</v>
      </c>
      <c r="B1993" t="s">
        <v>240</v>
      </c>
      <c r="C1993" t="s">
        <v>241</v>
      </c>
      <c r="D1993">
        <v>1</v>
      </c>
      <c r="E1993">
        <v>309.01538461538462</v>
      </c>
      <c r="F1993">
        <f t="shared" si="31"/>
        <v>309.01538461538462</v>
      </c>
    </row>
    <row r="1994" spans="1:6" x14ac:dyDescent="0.2">
      <c r="A1994">
        <v>833</v>
      </c>
      <c r="B1994" t="s">
        <v>242</v>
      </c>
      <c r="C1994" t="s">
        <v>243</v>
      </c>
      <c r="D1994">
        <v>4</v>
      </c>
      <c r="E1994">
        <v>427.76923076923072</v>
      </c>
      <c r="F1994">
        <f t="shared" si="31"/>
        <v>1711.0769230769229</v>
      </c>
    </row>
    <row r="1995" spans="1:6" x14ac:dyDescent="0.2">
      <c r="A1995">
        <v>833</v>
      </c>
      <c r="B1995" t="s">
        <v>244</v>
      </c>
      <c r="C1995" t="s">
        <v>184</v>
      </c>
      <c r="D1995">
        <v>3</v>
      </c>
      <c r="E1995">
        <v>18.643076923076922</v>
      </c>
      <c r="F1995">
        <f t="shared" si="31"/>
        <v>55.92923076923077</v>
      </c>
    </row>
    <row r="1996" spans="1:6" x14ac:dyDescent="0.2">
      <c r="A1996">
        <v>833</v>
      </c>
      <c r="B1996" t="s">
        <v>245</v>
      </c>
      <c r="C1996" t="s">
        <v>246</v>
      </c>
      <c r="D1996">
        <v>1</v>
      </c>
      <c r="E1996">
        <v>0.44819999999999999</v>
      </c>
      <c r="F1996">
        <f t="shared" si="31"/>
        <v>0.44819999999999999</v>
      </c>
    </row>
    <row r="1997" spans="1:6" x14ac:dyDescent="0.2">
      <c r="A1997">
        <v>833</v>
      </c>
      <c r="B1997" t="s">
        <v>75</v>
      </c>
      <c r="C1997" t="s">
        <v>247</v>
      </c>
      <c r="D1997">
        <v>3</v>
      </c>
      <c r="E1997">
        <v>0.1153846153846154</v>
      </c>
      <c r="F1997">
        <f t="shared" si="31"/>
        <v>0.3461538461538462</v>
      </c>
    </row>
    <row r="1998" spans="1:6" x14ac:dyDescent="0.2">
      <c r="A1998">
        <v>833</v>
      </c>
      <c r="B1998" t="s">
        <v>197</v>
      </c>
      <c r="C1998" t="s">
        <v>117</v>
      </c>
      <c r="D1998">
        <v>2</v>
      </c>
      <c r="E1998">
        <v>7.4699999999999989E-2</v>
      </c>
      <c r="F1998">
        <f t="shared" si="31"/>
        <v>0.14939999999999998</v>
      </c>
    </row>
    <row r="1999" spans="1:6" x14ac:dyDescent="0.2">
      <c r="A1999">
        <v>833</v>
      </c>
      <c r="B1999" t="s">
        <v>248</v>
      </c>
      <c r="C1999" t="s">
        <v>249</v>
      </c>
      <c r="D1999">
        <v>4</v>
      </c>
      <c r="E1999">
        <v>31064.984615384612</v>
      </c>
      <c r="F1999">
        <f t="shared" si="31"/>
        <v>124259.93846153845</v>
      </c>
    </row>
    <row r="2000" spans="1:6" x14ac:dyDescent="0.2">
      <c r="A2000">
        <v>833</v>
      </c>
      <c r="B2000" t="s">
        <v>250</v>
      </c>
      <c r="C2000" t="s">
        <v>251</v>
      </c>
      <c r="D2000">
        <v>1</v>
      </c>
      <c r="E2000">
        <v>564.54124607999995</v>
      </c>
      <c r="F2000">
        <f t="shared" si="31"/>
        <v>564.54124607999995</v>
      </c>
    </row>
    <row r="2001" spans="1:6" x14ac:dyDescent="0.2">
      <c r="A2001">
        <v>833</v>
      </c>
      <c r="B2001" t="s">
        <v>146</v>
      </c>
      <c r="C2001" t="s">
        <v>147</v>
      </c>
      <c r="D2001">
        <v>118</v>
      </c>
      <c r="E2001">
        <v>8021.5764999999992</v>
      </c>
      <c r="F2001">
        <f t="shared" si="31"/>
        <v>946546.02699999989</v>
      </c>
    </row>
    <row r="2002" spans="1:6" x14ac:dyDescent="0.2">
      <c r="A2002">
        <v>833</v>
      </c>
      <c r="B2002" t="s">
        <v>215</v>
      </c>
      <c r="C2002" t="s">
        <v>208</v>
      </c>
      <c r="D2002">
        <v>1</v>
      </c>
      <c r="E2002">
        <v>1.42898112</v>
      </c>
      <c r="F2002">
        <f t="shared" si="31"/>
        <v>1.42898112</v>
      </c>
    </row>
    <row r="2003" spans="1:6" x14ac:dyDescent="0.2">
      <c r="A2003">
        <v>833</v>
      </c>
      <c r="B2003" t="s">
        <v>200</v>
      </c>
      <c r="C2003" t="s">
        <v>199</v>
      </c>
      <c r="D2003">
        <v>1</v>
      </c>
      <c r="E2003">
        <v>0.66373439999999995</v>
      </c>
      <c r="F2003">
        <f t="shared" si="31"/>
        <v>0.66373439999999995</v>
      </c>
    </row>
    <row r="2004" spans="1:6" x14ac:dyDescent="0.2">
      <c r="A2004">
        <v>833</v>
      </c>
      <c r="B2004" t="s">
        <v>216</v>
      </c>
      <c r="C2004" t="s">
        <v>199</v>
      </c>
      <c r="D2004">
        <v>3</v>
      </c>
      <c r="E2004">
        <v>0.66400000000000003</v>
      </c>
      <c r="F2004">
        <f t="shared" si="31"/>
        <v>1.992</v>
      </c>
    </row>
    <row r="2005" spans="1:6" x14ac:dyDescent="0.2">
      <c r="A2005">
        <v>833</v>
      </c>
      <c r="B2005" t="s">
        <v>217</v>
      </c>
      <c r="C2005" t="s">
        <v>199</v>
      </c>
      <c r="D2005">
        <v>1</v>
      </c>
      <c r="E2005">
        <v>4.2164000000000001</v>
      </c>
      <c r="F2005">
        <f t="shared" si="31"/>
        <v>4.2164000000000001</v>
      </c>
    </row>
    <row r="2006" spans="1:6" x14ac:dyDescent="0.2">
      <c r="A2006">
        <v>833</v>
      </c>
      <c r="B2006" t="s">
        <v>218</v>
      </c>
      <c r="C2006" t="s">
        <v>208</v>
      </c>
      <c r="D2006">
        <v>2</v>
      </c>
      <c r="E2006">
        <v>7.3454999999999995</v>
      </c>
      <c r="F2006">
        <f t="shared" si="31"/>
        <v>14.690999999999999</v>
      </c>
    </row>
    <row r="2007" spans="1:6" x14ac:dyDescent="0.2">
      <c r="A2007">
        <v>833</v>
      </c>
      <c r="B2007" t="s">
        <v>219</v>
      </c>
      <c r="C2007" t="s">
        <v>199</v>
      </c>
      <c r="D2007">
        <v>3</v>
      </c>
      <c r="E2007">
        <v>1.4774</v>
      </c>
      <c r="F2007">
        <f t="shared" si="31"/>
        <v>4.4321999999999999</v>
      </c>
    </row>
    <row r="2008" spans="1:6" x14ac:dyDescent="0.2">
      <c r="A2008">
        <v>833</v>
      </c>
      <c r="B2008" t="s">
        <v>220</v>
      </c>
      <c r="C2008" t="s">
        <v>208</v>
      </c>
      <c r="D2008">
        <v>6</v>
      </c>
      <c r="E2008">
        <v>3.7267000000000001</v>
      </c>
      <c r="F2008">
        <f t="shared" si="31"/>
        <v>22.360199999999999</v>
      </c>
    </row>
    <row r="2009" spans="1:6" x14ac:dyDescent="0.2">
      <c r="A2009">
        <v>833</v>
      </c>
      <c r="B2009" t="s">
        <v>221</v>
      </c>
      <c r="C2009" t="s">
        <v>199</v>
      </c>
      <c r="D2009">
        <v>6</v>
      </c>
      <c r="E2009">
        <v>0.97939999999999994</v>
      </c>
      <c r="F2009">
        <f t="shared" si="31"/>
        <v>5.8763999999999994</v>
      </c>
    </row>
    <row r="2010" spans="1:6" x14ac:dyDescent="0.2">
      <c r="A2010">
        <v>833</v>
      </c>
      <c r="B2010" t="s">
        <v>222</v>
      </c>
      <c r="C2010" t="s">
        <v>208</v>
      </c>
      <c r="D2010">
        <v>1</v>
      </c>
      <c r="E2010">
        <v>6.0672999999999995</v>
      </c>
      <c r="F2010">
        <f t="shared" si="31"/>
        <v>6.0672999999999995</v>
      </c>
    </row>
    <row r="2011" spans="1:6" x14ac:dyDescent="0.2">
      <c r="A2011">
        <v>833</v>
      </c>
      <c r="B2011" t="s">
        <v>223</v>
      </c>
      <c r="C2011" t="s">
        <v>224</v>
      </c>
      <c r="D2011">
        <v>3</v>
      </c>
      <c r="E2011">
        <v>19.4635</v>
      </c>
      <c r="F2011">
        <f t="shared" si="31"/>
        <v>58.390500000000003</v>
      </c>
    </row>
    <row r="2012" spans="1:6" x14ac:dyDescent="0.2">
      <c r="A2012">
        <v>833</v>
      </c>
      <c r="B2012" t="s">
        <v>225</v>
      </c>
      <c r="C2012" t="s">
        <v>226</v>
      </c>
      <c r="D2012">
        <v>1</v>
      </c>
      <c r="E2012">
        <v>10.221509759999998</v>
      </c>
      <c r="F2012">
        <f t="shared" si="31"/>
        <v>10.221509759999998</v>
      </c>
    </row>
    <row r="2013" spans="1:6" x14ac:dyDescent="0.2">
      <c r="A2013">
        <v>833</v>
      </c>
      <c r="B2013" t="s">
        <v>227</v>
      </c>
      <c r="C2013" t="s">
        <v>208</v>
      </c>
      <c r="D2013">
        <v>1</v>
      </c>
      <c r="E2013">
        <v>3.6307692307692312</v>
      </c>
      <c r="F2013">
        <f t="shared" si="31"/>
        <v>3.6307692307692312</v>
      </c>
    </row>
    <row r="2014" spans="1:6" x14ac:dyDescent="0.2">
      <c r="A2014">
        <v>833</v>
      </c>
      <c r="B2014" t="s">
        <v>228</v>
      </c>
      <c r="C2014" t="s">
        <v>229</v>
      </c>
      <c r="D2014">
        <v>3</v>
      </c>
      <c r="E2014">
        <v>306.94982975999994</v>
      </c>
      <c r="F2014">
        <f t="shared" si="31"/>
        <v>920.84948927999983</v>
      </c>
    </row>
    <row r="2015" spans="1:6" x14ac:dyDescent="0.2">
      <c r="A2015">
        <v>833</v>
      </c>
      <c r="B2015" t="s">
        <v>116</v>
      </c>
      <c r="C2015" t="s">
        <v>117</v>
      </c>
      <c r="D2015">
        <v>2</v>
      </c>
      <c r="E2015">
        <v>0.25729999999999997</v>
      </c>
      <c r="F2015">
        <f t="shared" si="31"/>
        <v>0.51459999999999995</v>
      </c>
    </row>
    <row r="2016" spans="1:6" x14ac:dyDescent="0.2">
      <c r="A2016">
        <v>833</v>
      </c>
      <c r="B2016" t="s">
        <v>78</v>
      </c>
      <c r="C2016" t="s">
        <v>76</v>
      </c>
      <c r="D2016">
        <v>1</v>
      </c>
      <c r="E2016">
        <v>0.71839487999999996</v>
      </c>
      <c r="F2016">
        <f t="shared" si="31"/>
        <v>0.71839487999999996</v>
      </c>
    </row>
    <row r="2017" spans="1:6" x14ac:dyDescent="0.2">
      <c r="A2017">
        <v>833</v>
      </c>
      <c r="B2017" t="s">
        <v>231</v>
      </c>
      <c r="C2017" t="s">
        <v>208</v>
      </c>
      <c r="D2017">
        <v>5</v>
      </c>
      <c r="E2017">
        <v>2.0832999999999999</v>
      </c>
      <c r="F2017">
        <f t="shared" si="31"/>
        <v>10.416499999999999</v>
      </c>
    </row>
    <row r="2018" spans="1:6" x14ac:dyDescent="0.2">
      <c r="A2018">
        <v>833</v>
      </c>
      <c r="B2018" t="s">
        <v>232</v>
      </c>
      <c r="C2018" t="s">
        <v>119</v>
      </c>
      <c r="D2018">
        <v>1</v>
      </c>
      <c r="E2018">
        <v>1.5935999999999999</v>
      </c>
      <c r="F2018">
        <f t="shared" si="31"/>
        <v>1.5935999999999999</v>
      </c>
    </row>
    <row r="2019" spans="1:6" x14ac:dyDescent="0.2">
      <c r="A2019">
        <v>833</v>
      </c>
      <c r="B2019" t="s">
        <v>233</v>
      </c>
      <c r="C2019" t="s">
        <v>234</v>
      </c>
      <c r="D2019">
        <v>1</v>
      </c>
      <c r="E2019">
        <v>3989.2954</v>
      </c>
      <c r="F2019">
        <f t="shared" si="31"/>
        <v>3989.2954</v>
      </c>
    </row>
    <row r="2020" spans="1:6" x14ac:dyDescent="0.2">
      <c r="A2020">
        <v>833</v>
      </c>
      <c r="B2020" t="s">
        <v>142</v>
      </c>
      <c r="C2020" t="s">
        <v>143</v>
      </c>
      <c r="D2020">
        <v>1</v>
      </c>
      <c r="E2020">
        <v>18141.642</v>
      </c>
      <c r="F2020">
        <f t="shared" si="31"/>
        <v>18141.642</v>
      </c>
    </row>
    <row r="2021" spans="1:6" x14ac:dyDescent="0.2">
      <c r="A2021">
        <v>833</v>
      </c>
      <c r="B2021" t="s">
        <v>144</v>
      </c>
      <c r="C2021" t="s">
        <v>145</v>
      </c>
      <c r="D2021">
        <v>5</v>
      </c>
      <c r="E2021">
        <v>7346.6769230769241</v>
      </c>
      <c r="F2021">
        <f t="shared" ref="F2021:F2084" si="32">D2021*E2021</f>
        <v>36733.384615384624</v>
      </c>
    </row>
    <row r="2022" spans="1:6" x14ac:dyDescent="0.2">
      <c r="A2022">
        <v>833</v>
      </c>
      <c r="B2022" t="s">
        <v>197</v>
      </c>
      <c r="C2022" t="s">
        <v>117</v>
      </c>
      <c r="D2022">
        <v>5</v>
      </c>
      <c r="E2022">
        <v>7.4699999999999989E-2</v>
      </c>
      <c r="F2022">
        <f t="shared" si="32"/>
        <v>0.37349999999999994</v>
      </c>
    </row>
    <row r="2023" spans="1:6" x14ac:dyDescent="0.2">
      <c r="A2023">
        <v>833</v>
      </c>
      <c r="B2023" t="s">
        <v>198</v>
      </c>
      <c r="C2023" t="s">
        <v>199</v>
      </c>
      <c r="D2023">
        <v>1</v>
      </c>
      <c r="E2023">
        <v>0.66373439999999995</v>
      </c>
      <c r="F2023">
        <f t="shared" si="32"/>
        <v>0.66373439999999995</v>
      </c>
    </row>
    <row r="2024" spans="1:6" x14ac:dyDescent="0.2">
      <c r="A2024">
        <v>833</v>
      </c>
      <c r="B2024" t="s">
        <v>200</v>
      </c>
      <c r="C2024" t="s">
        <v>199</v>
      </c>
      <c r="D2024">
        <v>1</v>
      </c>
      <c r="E2024">
        <v>0.66373439999999995</v>
      </c>
      <c r="F2024">
        <f t="shared" si="32"/>
        <v>0.66373439999999995</v>
      </c>
    </row>
    <row r="2025" spans="1:6" x14ac:dyDescent="0.2">
      <c r="A2025">
        <v>833</v>
      </c>
      <c r="B2025" t="s">
        <v>201</v>
      </c>
      <c r="C2025" t="s">
        <v>76</v>
      </c>
      <c r="D2025">
        <v>4</v>
      </c>
      <c r="E2025">
        <v>0.22645055999999994</v>
      </c>
      <c r="F2025">
        <f t="shared" si="32"/>
        <v>0.90580223999999976</v>
      </c>
    </row>
    <row r="2026" spans="1:6" x14ac:dyDescent="0.2">
      <c r="A2026">
        <v>833</v>
      </c>
      <c r="B2026" t="s">
        <v>202</v>
      </c>
      <c r="C2026" t="s">
        <v>203</v>
      </c>
      <c r="D2026">
        <v>3</v>
      </c>
      <c r="E2026">
        <v>12.45</v>
      </c>
      <c r="F2026">
        <f t="shared" si="32"/>
        <v>37.349999999999994</v>
      </c>
    </row>
    <row r="2027" spans="1:6" x14ac:dyDescent="0.2">
      <c r="A2027">
        <v>833</v>
      </c>
      <c r="B2027" t="s">
        <v>204</v>
      </c>
      <c r="C2027" t="s">
        <v>205</v>
      </c>
      <c r="D2027">
        <v>1</v>
      </c>
      <c r="E2027">
        <v>103.72216512</v>
      </c>
      <c r="F2027">
        <f t="shared" si="32"/>
        <v>103.72216512</v>
      </c>
    </row>
    <row r="2028" spans="1:6" x14ac:dyDescent="0.2">
      <c r="A2028">
        <v>833</v>
      </c>
      <c r="B2028" t="s">
        <v>116</v>
      </c>
      <c r="C2028" t="s">
        <v>117</v>
      </c>
      <c r="D2028">
        <v>3</v>
      </c>
      <c r="E2028">
        <v>0.25729999999999997</v>
      </c>
      <c r="F2028">
        <f t="shared" si="32"/>
        <v>0.77189999999999992</v>
      </c>
    </row>
    <row r="2029" spans="1:6" x14ac:dyDescent="0.2">
      <c r="A2029">
        <v>833</v>
      </c>
      <c r="B2029" t="s">
        <v>78</v>
      </c>
      <c r="C2029" t="s">
        <v>76</v>
      </c>
      <c r="D2029">
        <v>2</v>
      </c>
      <c r="E2029">
        <v>0.71839487999999996</v>
      </c>
      <c r="F2029">
        <f t="shared" si="32"/>
        <v>1.4367897599999999</v>
      </c>
    </row>
    <row r="2030" spans="1:6" x14ac:dyDescent="0.2">
      <c r="A2030">
        <v>833</v>
      </c>
      <c r="B2030" t="s">
        <v>207</v>
      </c>
      <c r="C2030" t="s">
        <v>208</v>
      </c>
      <c r="D2030">
        <v>4</v>
      </c>
      <c r="E2030">
        <v>4.6314000000000002</v>
      </c>
      <c r="F2030">
        <f t="shared" si="32"/>
        <v>18.525600000000001</v>
      </c>
    </row>
    <row r="2031" spans="1:6" x14ac:dyDescent="0.2">
      <c r="A2031">
        <v>833</v>
      </c>
      <c r="B2031" t="s">
        <v>209</v>
      </c>
      <c r="C2031" t="s">
        <v>210</v>
      </c>
      <c r="D2031">
        <v>1</v>
      </c>
      <c r="E2031">
        <v>39.550761599999994</v>
      </c>
      <c r="F2031">
        <f t="shared" si="32"/>
        <v>39.550761599999994</v>
      </c>
    </row>
    <row r="2032" spans="1:6" x14ac:dyDescent="0.2">
      <c r="A2032">
        <v>833</v>
      </c>
      <c r="B2032" t="s">
        <v>211</v>
      </c>
      <c r="C2032" t="s">
        <v>203</v>
      </c>
      <c r="D2032">
        <v>118</v>
      </c>
      <c r="E2032">
        <v>25.754899999999999</v>
      </c>
      <c r="F2032">
        <f t="shared" si="32"/>
        <v>3039.0781999999999</v>
      </c>
    </row>
    <row r="2033" spans="1:6" x14ac:dyDescent="0.2">
      <c r="A2033">
        <v>833</v>
      </c>
      <c r="B2033" t="s">
        <v>212</v>
      </c>
      <c r="C2033" t="s">
        <v>213</v>
      </c>
      <c r="D2033">
        <v>1</v>
      </c>
      <c r="E2033">
        <v>272.92059999999998</v>
      </c>
      <c r="F2033">
        <f t="shared" si="32"/>
        <v>272.92059999999998</v>
      </c>
    </row>
    <row r="2034" spans="1:6" x14ac:dyDescent="0.2">
      <c r="A2034">
        <v>833</v>
      </c>
      <c r="B2034" t="s">
        <v>149</v>
      </c>
      <c r="C2034" t="s">
        <v>150</v>
      </c>
      <c r="D2034">
        <v>1</v>
      </c>
      <c r="E2034">
        <v>0.7054999999999999</v>
      </c>
      <c r="F2034">
        <f t="shared" si="32"/>
        <v>0.7054999999999999</v>
      </c>
    </row>
    <row r="2035" spans="1:6" x14ac:dyDescent="0.2">
      <c r="A2035">
        <v>833</v>
      </c>
      <c r="B2035" t="s">
        <v>151</v>
      </c>
      <c r="C2035" t="s">
        <v>152</v>
      </c>
      <c r="D2035">
        <v>3</v>
      </c>
      <c r="E2035">
        <v>5.6190999999999995</v>
      </c>
      <c r="F2035">
        <f t="shared" si="32"/>
        <v>16.857299999999999</v>
      </c>
    </row>
    <row r="2036" spans="1:6" x14ac:dyDescent="0.2">
      <c r="A2036">
        <v>833</v>
      </c>
      <c r="B2036" t="s">
        <v>153</v>
      </c>
      <c r="C2036" t="s">
        <v>119</v>
      </c>
      <c r="D2036">
        <v>1</v>
      </c>
      <c r="E2036">
        <v>1.11663552</v>
      </c>
      <c r="F2036">
        <f t="shared" si="32"/>
        <v>1.11663552</v>
      </c>
    </row>
    <row r="2037" spans="1:6" x14ac:dyDescent="0.2">
      <c r="A2037">
        <v>833</v>
      </c>
      <c r="B2037" t="s">
        <v>154</v>
      </c>
      <c r="C2037" t="s">
        <v>117</v>
      </c>
      <c r="D2037">
        <v>2</v>
      </c>
      <c r="E2037">
        <v>4.3657999999999992</v>
      </c>
      <c r="F2037">
        <f t="shared" si="32"/>
        <v>8.7315999999999985</v>
      </c>
    </row>
    <row r="2038" spans="1:6" x14ac:dyDescent="0.2">
      <c r="A2038">
        <v>833</v>
      </c>
      <c r="B2038" t="s">
        <v>155</v>
      </c>
      <c r="C2038" t="s">
        <v>156</v>
      </c>
      <c r="D2038">
        <v>3</v>
      </c>
      <c r="E2038">
        <v>28.551999999999996</v>
      </c>
      <c r="F2038">
        <f t="shared" si="32"/>
        <v>85.655999999999992</v>
      </c>
    </row>
    <row r="2039" spans="1:6" x14ac:dyDescent="0.2">
      <c r="A2039">
        <v>833</v>
      </c>
      <c r="B2039" t="s">
        <v>157</v>
      </c>
      <c r="C2039" t="s">
        <v>158</v>
      </c>
      <c r="D2039">
        <v>6</v>
      </c>
      <c r="E2039">
        <v>29.456700000000001</v>
      </c>
      <c r="F2039">
        <f t="shared" si="32"/>
        <v>176.74020000000002</v>
      </c>
    </row>
    <row r="2040" spans="1:6" x14ac:dyDescent="0.2">
      <c r="A2040">
        <v>833</v>
      </c>
      <c r="B2040" t="s">
        <v>159</v>
      </c>
      <c r="C2040" t="s">
        <v>117</v>
      </c>
      <c r="D2040">
        <v>6</v>
      </c>
      <c r="E2040">
        <v>11.976899999999999</v>
      </c>
      <c r="F2040">
        <f t="shared" si="32"/>
        <v>71.861399999999989</v>
      </c>
    </row>
    <row r="2041" spans="1:6" x14ac:dyDescent="0.2">
      <c r="A2041">
        <v>833</v>
      </c>
      <c r="B2041" t="s">
        <v>116</v>
      </c>
      <c r="C2041" t="s">
        <v>117</v>
      </c>
      <c r="D2041">
        <v>1</v>
      </c>
      <c r="E2041">
        <v>0.25729999999999997</v>
      </c>
      <c r="F2041">
        <f t="shared" si="32"/>
        <v>0.25729999999999997</v>
      </c>
    </row>
    <row r="2042" spans="1:6" x14ac:dyDescent="0.2">
      <c r="A2042">
        <v>833</v>
      </c>
      <c r="B2042" t="s">
        <v>160</v>
      </c>
      <c r="C2042" t="s">
        <v>161</v>
      </c>
      <c r="D2042">
        <v>3</v>
      </c>
      <c r="E2042">
        <v>15.9194</v>
      </c>
      <c r="F2042">
        <f t="shared" si="32"/>
        <v>47.758200000000002</v>
      </c>
    </row>
    <row r="2043" spans="1:6" x14ac:dyDescent="0.2">
      <c r="A2043">
        <v>833</v>
      </c>
      <c r="B2043" t="s">
        <v>162</v>
      </c>
      <c r="C2043" t="s">
        <v>163</v>
      </c>
      <c r="D2043">
        <v>1</v>
      </c>
      <c r="E2043">
        <v>62.822699999999998</v>
      </c>
      <c r="F2043">
        <f t="shared" si="32"/>
        <v>62.822699999999998</v>
      </c>
    </row>
    <row r="2044" spans="1:6" x14ac:dyDescent="0.2">
      <c r="A2044">
        <v>833</v>
      </c>
      <c r="B2044" t="s">
        <v>164</v>
      </c>
      <c r="C2044" t="s">
        <v>165</v>
      </c>
      <c r="D2044">
        <v>1</v>
      </c>
      <c r="E2044">
        <v>29.381999999999998</v>
      </c>
      <c r="F2044">
        <f t="shared" si="32"/>
        <v>29.381999999999998</v>
      </c>
    </row>
    <row r="2045" spans="1:6" x14ac:dyDescent="0.2">
      <c r="A2045">
        <v>833</v>
      </c>
      <c r="B2045" t="s">
        <v>166</v>
      </c>
      <c r="C2045" t="s">
        <v>76</v>
      </c>
      <c r="D2045">
        <v>3</v>
      </c>
      <c r="E2045">
        <v>0.97109999999999985</v>
      </c>
      <c r="F2045">
        <f t="shared" si="32"/>
        <v>2.9132999999999996</v>
      </c>
    </row>
    <row r="2046" spans="1:6" x14ac:dyDescent="0.2">
      <c r="A2046">
        <v>833</v>
      </c>
      <c r="B2046" t="s">
        <v>167</v>
      </c>
      <c r="C2046" t="s">
        <v>168</v>
      </c>
      <c r="D2046">
        <v>2</v>
      </c>
      <c r="E2046">
        <v>68.201099999999997</v>
      </c>
      <c r="F2046">
        <f t="shared" si="32"/>
        <v>136.40219999999999</v>
      </c>
    </row>
    <row r="2047" spans="1:6" x14ac:dyDescent="0.2">
      <c r="A2047">
        <v>833</v>
      </c>
      <c r="B2047" t="s">
        <v>169</v>
      </c>
      <c r="C2047" t="s">
        <v>119</v>
      </c>
      <c r="D2047">
        <v>1</v>
      </c>
      <c r="E2047">
        <v>26.078600000000002</v>
      </c>
      <c r="F2047">
        <f t="shared" si="32"/>
        <v>26.078600000000002</v>
      </c>
    </row>
    <row r="2048" spans="1:6" x14ac:dyDescent="0.2">
      <c r="A2048">
        <v>833</v>
      </c>
      <c r="B2048" t="s">
        <v>170</v>
      </c>
      <c r="C2048" t="s">
        <v>171</v>
      </c>
      <c r="D2048">
        <v>5</v>
      </c>
      <c r="E2048">
        <v>15.438000000000001</v>
      </c>
      <c r="F2048">
        <f t="shared" si="32"/>
        <v>77.19</v>
      </c>
    </row>
    <row r="2049" spans="1:6" x14ac:dyDescent="0.2">
      <c r="A2049">
        <v>833</v>
      </c>
      <c r="B2049" t="s">
        <v>172</v>
      </c>
      <c r="C2049" t="s">
        <v>173</v>
      </c>
      <c r="D2049">
        <v>1</v>
      </c>
      <c r="E2049">
        <v>158.41380000000001</v>
      </c>
      <c r="F2049">
        <f t="shared" si="32"/>
        <v>158.41380000000001</v>
      </c>
    </row>
    <row r="2050" spans="1:6" x14ac:dyDescent="0.2">
      <c r="A2050">
        <v>833</v>
      </c>
      <c r="B2050" t="s">
        <v>174</v>
      </c>
      <c r="C2050" t="s">
        <v>119</v>
      </c>
      <c r="D2050">
        <v>1</v>
      </c>
      <c r="E2050">
        <v>1.2616000000000001</v>
      </c>
      <c r="F2050">
        <f t="shared" si="32"/>
        <v>1.2616000000000001</v>
      </c>
    </row>
    <row r="2051" spans="1:6" x14ac:dyDescent="0.2">
      <c r="A2051">
        <v>833</v>
      </c>
      <c r="B2051" t="s">
        <v>175</v>
      </c>
      <c r="C2051" t="s">
        <v>176</v>
      </c>
      <c r="D2051">
        <v>1</v>
      </c>
      <c r="E2051">
        <v>194.7595</v>
      </c>
      <c r="F2051">
        <f t="shared" si="32"/>
        <v>194.7595</v>
      </c>
    </row>
    <row r="2052" spans="1:6" x14ac:dyDescent="0.2">
      <c r="A2052">
        <v>833</v>
      </c>
      <c r="B2052" t="s">
        <v>177</v>
      </c>
      <c r="C2052" t="s">
        <v>178</v>
      </c>
      <c r="D2052">
        <v>5</v>
      </c>
      <c r="E2052">
        <v>1660.6244256000002</v>
      </c>
      <c r="F2052">
        <f t="shared" si="32"/>
        <v>8303.1221280000009</v>
      </c>
    </row>
    <row r="2053" spans="1:6" x14ac:dyDescent="0.2">
      <c r="A2053">
        <v>833</v>
      </c>
      <c r="B2053" t="s">
        <v>179</v>
      </c>
      <c r="C2053" t="s">
        <v>119</v>
      </c>
      <c r="D2053">
        <v>5</v>
      </c>
      <c r="E2053">
        <v>32.444700000000005</v>
      </c>
      <c r="F2053">
        <f t="shared" si="32"/>
        <v>162.22350000000003</v>
      </c>
    </row>
    <row r="2054" spans="1:6" x14ac:dyDescent="0.2">
      <c r="A2054">
        <v>833</v>
      </c>
      <c r="B2054" t="s">
        <v>180</v>
      </c>
      <c r="C2054" t="s">
        <v>181</v>
      </c>
      <c r="D2054">
        <v>1</v>
      </c>
      <c r="E2054">
        <v>64.117499999999993</v>
      </c>
      <c r="F2054">
        <f t="shared" si="32"/>
        <v>64.117499999999993</v>
      </c>
    </row>
    <row r="2055" spans="1:6" x14ac:dyDescent="0.2">
      <c r="A2055">
        <v>833</v>
      </c>
      <c r="B2055" t="s">
        <v>182</v>
      </c>
      <c r="C2055" t="s">
        <v>158</v>
      </c>
      <c r="D2055">
        <v>1</v>
      </c>
      <c r="E2055">
        <v>80.788189439999996</v>
      </c>
      <c r="F2055">
        <f t="shared" si="32"/>
        <v>80.788189439999996</v>
      </c>
    </row>
    <row r="2056" spans="1:6" x14ac:dyDescent="0.2">
      <c r="A2056">
        <v>833</v>
      </c>
      <c r="B2056" t="s">
        <v>183</v>
      </c>
      <c r="C2056" t="s">
        <v>184</v>
      </c>
      <c r="D2056">
        <v>4</v>
      </c>
      <c r="E2056">
        <v>548.61538461538476</v>
      </c>
      <c r="F2056">
        <f t="shared" si="32"/>
        <v>2194.461538461539</v>
      </c>
    </row>
    <row r="2057" spans="1:6" x14ac:dyDescent="0.2">
      <c r="A2057">
        <v>833</v>
      </c>
      <c r="B2057" t="s">
        <v>185</v>
      </c>
      <c r="C2057" t="s">
        <v>186</v>
      </c>
      <c r="D2057">
        <v>3</v>
      </c>
      <c r="E2057">
        <v>278.05</v>
      </c>
      <c r="F2057">
        <f t="shared" si="32"/>
        <v>834.15000000000009</v>
      </c>
    </row>
    <row r="2058" spans="1:6" x14ac:dyDescent="0.2">
      <c r="A2058">
        <v>833</v>
      </c>
      <c r="B2058" t="s">
        <v>187</v>
      </c>
      <c r="C2058" t="s">
        <v>188</v>
      </c>
      <c r="D2058">
        <v>1</v>
      </c>
      <c r="E2058">
        <v>105.03649999999999</v>
      </c>
      <c r="F2058">
        <f t="shared" si="32"/>
        <v>105.03649999999999</v>
      </c>
    </row>
    <row r="2059" spans="1:6" x14ac:dyDescent="0.2">
      <c r="A2059">
        <v>833</v>
      </c>
      <c r="B2059" t="s">
        <v>189</v>
      </c>
      <c r="C2059" t="s">
        <v>163</v>
      </c>
      <c r="D2059">
        <v>3</v>
      </c>
      <c r="E2059">
        <v>154.25968320000001</v>
      </c>
      <c r="F2059">
        <f t="shared" si="32"/>
        <v>462.77904960000001</v>
      </c>
    </row>
    <row r="2060" spans="1:6" x14ac:dyDescent="0.2">
      <c r="A2060">
        <v>833</v>
      </c>
      <c r="B2060" t="s">
        <v>190</v>
      </c>
      <c r="C2060" t="s">
        <v>191</v>
      </c>
      <c r="D2060">
        <v>2</v>
      </c>
      <c r="E2060">
        <v>1397.886</v>
      </c>
      <c r="F2060">
        <f t="shared" si="32"/>
        <v>2795.7719999999999</v>
      </c>
    </row>
    <row r="2061" spans="1:6" x14ac:dyDescent="0.2">
      <c r="A2061">
        <v>833</v>
      </c>
      <c r="B2061" t="s">
        <v>192</v>
      </c>
      <c r="C2061" t="s">
        <v>193</v>
      </c>
      <c r="D2061">
        <v>4</v>
      </c>
      <c r="E2061">
        <v>843.03639167999984</v>
      </c>
      <c r="F2061">
        <f t="shared" si="32"/>
        <v>3372.1455667199994</v>
      </c>
    </row>
    <row r="2062" spans="1:6" x14ac:dyDescent="0.2">
      <c r="A2062">
        <v>833</v>
      </c>
      <c r="B2062" t="s">
        <v>194</v>
      </c>
      <c r="C2062" t="s">
        <v>193</v>
      </c>
      <c r="D2062">
        <v>1</v>
      </c>
      <c r="E2062">
        <v>868.20489999999995</v>
      </c>
      <c r="F2062">
        <f t="shared" si="32"/>
        <v>868.20489999999995</v>
      </c>
    </row>
    <row r="2063" spans="1:6" x14ac:dyDescent="0.2">
      <c r="A2063">
        <v>833</v>
      </c>
      <c r="B2063" t="s">
        <v>195</v>
      </c>
      <c r="C2063" t="s">
        <v>117</v>
      </c>
      <c r="D2063">
        <v>118</v>
      </c>
      <c r="E2063">
        <v>1.0374999999999999</v>
      </c>
      <c r="F2063">
        <f t="shared" si="32"/>
        <v>122.42499999999998</v>
      </c>
    </row>
    <row r="2064" spans="1:6" x14ac:dyDescent="0.2">
      <c r="A2064">
        <v>833</v>
      </c>
      <c r="B2064" t="s">
        <v>135</v>
      </c>
      <c r="C2064" t="s">
        <v>136</v>
      </c>
      <c r="D2064">
        <v>1</v>
      </c>
      <c r="E2064">
        <v>395.04690624</v>
      </c>
      <c r="F2064">
        <f t="shared" si="32"/>
        <v>395.04690624</v>
      </c>
    </row>
    <row r="2065" spans="1:6" x14ac:dyDescent="0.2">
      <c r="A2065">
        <v>833</v>
      </c>
      <c r="B2065" t="s">
        <v>137</v>
      </c>
      <c r="C2065" t="s">
        <v>138</v>
      </c>
      <c r="D2065">
        <v>1</v>
      </c>
      <c r="E2065">
        <v>252.98431871999998</v>
      </c>
      <c r="F2065">
        <f t="shared" si="32"/>
        <v>252.98431871999998</v>
      </c>
    </row>
    <row r="2066" spans="1:6" x14ac:dyDescent="0.2">
      <c r="A2066">
        <v>833</v>
      </c>
      <c r="B2066" t="s">
        <v>139</v>
      </c>
      <c r="C2066" t="s">
        <v>140</v>
      </c>
      <c r="D2066">
        <v>3</v>
      </c>
      <c r="E2066">
        <v>2054.4575</v>
      </c>
      <c r="F2066">
        <f t="shared" si="32"/>
        <v>6163.3724999999995</v>
      </c>
    </row>
    <row r="2067" spans="1:6" x14ac:dyDescent="0.2">
      <c r="A2067">
        <v>833</v>
      </c>
      <c r="B2067" t="s">
        <v>116</v>
      </c>
      <c r="C2067" t="s">
        <v>117</v>
      </c>
      <c r="D2067">
        <v>1</v>
      </c>
      <c r="E2067">
        <v>0.25729999999999997</v>
      </c>
      <c r="F2067">
        <f t="shared" si="32"/>
        <v>0.25729999999999997</v>
      </c>
    </row>
    <row r="2068" spans="1:6" x14ac:dyDescent="0.2">
      <c r="A2068">
        <v>833</v>
      </c>
      <c r="B2068" t="s">
        <v>118</v>
      </c>
      <c r="C2068" t="s">
        <v>119</v>
      </c>
      <c r="D2068">
        <v>2</v>
      </c>
      <c r="E2068">
        <v>0.83</v>
      </c>
      <c r="F2068">
        <f t="shared" si="32"/>
        <v>1.66</v>
      </c>
    </row>
    <row r="2069" spans="1:6" x14ac:dyDescent="0.2">
      <c r="A2069">
        <v>833</v>
      </c>
      <c r="B2069" t="s">
        <v>120</v>
      </c>
      <c r="C2069" t="s">
        <v>117</v>
      </c>
      <c r="D2069">
        <v>3</v>
      </c>
      <c r="E2069">
        <v>1.5603999999999998</v>
      </c>
      <c r="F2069">
        <f t="shared" si="32"/>
        <v>4.6811999999999996</v>
      </c>
    </row>
    <row r="2070" spans="1:6" x14ac:dyDescent="0.2">
      <c r="A2070">
        <v>833</v>
      </c>
      <c r="B2070" t="s">
        <v>121</v>
      </c>
      <c r="C2070" t="s">
        <v>117</v>
      </c>
      <c r="D2070">
        <v>6</v>
      </c>
      <c r="E2070">
        <v>270.83729999999997</v>
      </c>
      <c r="F2070">
        <f t="shared" si="32"/>
        <v>1625.0237999999999</v>
      </c>
    </row>
    <row r="2071" spans="1:6" x14ac:dyDescent="0.2">
      <c r="A2071">
        <v>833</v>
      </c>
      <c r="B2071" t="s">
        <v>122</v>
      </c>
      <c r="C2071" t="s">
        <v>76</v>
      </c>
      <c r="D2071">
        <v>6</v>
      </c>
      <c r="E2071">
        <v>14.915099999999999</v>
      </c>
      <c r="F2071">
        <f t="shared" si="32"/>
        <v>89.490600000000001</v>
      </c>
    </row>
    <row r="2072" spans="1:6" x14ac:dyDescent="0.2">
      <c r="A2072">
        <v>833</v>
      </c>
      <c r="B2072" t="s">
        <v>123</v>
      </c>
      <c r="C2072" t="s">
        <v>119</v>
      </c>
      <c r="D2072">
        <v>1</v>
      </c>
      <c r="E2072">
        <v>122.52459999999999</v>
      </c>
      <c r="F2072">
        <f t="shared" si="32"/>
        <v>122.52459999999999</v>
      </c>
    </row>
    <row r="2073" spans="1:6" x14ac:dyDescent="0.2">
      <c r="A2073">
        <v>833</v>
      </c>
      <c r="B2073" t="s">
        <v>124</v>
      </c>
      <c r="C2073" t="s">
        <v>119</v>
      </c>
      <c r="D2073">
        <v>3</v>
      </c>
      <c r="E2073">
        <v>65.877099999999999</v>
      </c>
      <c r="F2073">
        <f t="shared" si="32"/>
        <v>197.63130000000001</v>
      </c>
    </row>
    <row r="2074" spans="1:6" x14ac:dyDescent="0.2">
      <c r="A2074">
        <v>833</v>
      </c>
      <c r="B2074" t="s">
        <v>125</v>
      </c>
      <c r="C2074" t="s">
        <v>117</v>
      </c>
      <c r="D2074">
        <v>1</v>
      </c>
      <c r="E2074">
        <v>45.957099999999997</v>
      </c>
      <c r="F2074">
        <f t="shared" si="32"/>
        <v>45.957099999999997</v>
      </c>
    </row>
    <row r="2075" spans="1:6" x14ac:dyDescent="0.2">
      <c r="A2075">
        <v>833</v>
      </c>
      <c r="B2075" t="s">
        <v>126</v>
      </c>
      <c r="C2075" t="s">
        <v>127</v>
      </c>
      <c r="D2075">
        <v>1</v>
      </c>
      <c r="E2075">
        <v>411.49739999999997</v>
      </c>
      <c r="F2075">
        <f t="shared" si="32"/>
        <v>411.49739999999997</v>
      </c>
    </row>
    <row r="2076" spans="1:6" x14ac:dyDescent="0.2">
      <c r="A2076">
        <v>833</v>
      </c>
      <c r="B2076" t="s">
        <v>129</v>
      </c>
      <c r="C2076" t="s">
        <v>130</v>
      </c>
      <c r="D2076">
        <v>3</v>
      </c>
      <c r="E2076">
        <v>6724.2781999999997</v>
      </c>
      <c r="F2076">
        <f t="shared" si="32"/>
        <v>20172.834599999998</v>
      </c>
    </row>
    <row r="2077" spans="1:6" x14ac:dyDescent="0.2">
      <c r="A2077">
        <v>833</v>
      </c>
      <c r="B2077" t="s">
        <v>132</v>
      </c>
      <c r="C2077" t="s">
        <v>133</v>
      </c>
      <c r="D2077">
        <v>2</v>
      </c>
      <c r="E2077">
        <v>1168.0257999999999</v>
      </c>
      <c r="F2077">
        <f t="shared" si="32"/>
        <v>2336.0515999999998</v>
      </c>
    </row>
    <row r="2078" spans="1:6" x14ac:dyDescent="0.2">
      <c r="A2078">
        <v>833</v>
      </c>
      <c r="B2078" t="s">
        <v>110</v>
      </c>
      <c r="C2078" t="s">
        <v>111</v>
      </c>
      <c r="D2078">
        <v>1</v>
      </c>
      <c r="E2078">
        <v>119.83539999999999</v>
      </c>
      <c r="F2078">
        <f t="shared" si="32"/>
        <v>119.83539999999999</v>
      </c>
    </row>
    <row r="2079" spans="1:6" x14ac:dyDescent="0.2">
      <c r="A2079">
        <v>833</v>
      </c>
      <c r="B2079" t="s">
        <v>112</v>
      </c>
      <c r="C2079" t="s">
        <v>113</v>
      </c>
      <c r="D2079">
        <v>5</v>
      </c>
      <c r="E2079">
        <v>97.646153846153851</v>
      </c>
      <c r="F2079">
        <f t="shared" si="32"/>
        <v>488.23076923076928</v>
      </c>
    </row>
    <row r="2080" spans="1:6" x14ac:dyDescent="0.2">
      <c r="A2080">
        <v>833</v>
      </c>
      <c r="B2080" t="s">
        <v>110</v>
      </c>
      <c r="C2080" t="s">
        <v>111</v>
      </c>
      <c r="D2080">
        <v>1</v>
      </c>
      <c r="E2080">
        <v>119.83539999999999</v>
      </c>
      <c r="F2080">
        <f t="shared" si="32"/>
        <v>119.83539999999999</v>
      </c>
    </row>
    <row r="2081" spans="1:6" x14ac:dyDescent="0.2">
      <c r="A2081">
        <v>833</v>
      </c>
      <c r="B2081" t="s">
        <v>112</v>
      </c>
      <c r="C2081" t="s">
        <v>113</v>
      </c>
      <c r="D2081">
        <v>1</v>
      </c>
      <c r="E2081">
        <v>97.646153846153851</v>
      </c>
      <c r="F2081">
        <f t="shared" si="32"/>
        <v>97.646153846153851</v>
      </c>
    </row>
    <row r="2082" spans="1:6" x14ac:dyDescent="0.2">
      <c r="A2082">
        <v>833</v>
      </c>
      <c r="B2082" t="s">
        <v>97</v>
      </c>
      <c r="C2082" t="s">
        <v>98</v>
      </c>
      <c r="D2082">
        <v>1</v>
      </c>
      <c r="E2082">
        <v>189.87909999999999</v>
      </c>
      <c r="F2082">
        <f t="shared" si="32"/>
        <v>189.87909999999999</v>
      </c>
    </row>
    <row r="2083" spans="1:6" x14ac:dyDescent="0.2">
      <c r="A2083">
        <v>833</v>
      </c>
      <c r="B2083" t="s">
        <v>99</v>
      </c>
      <c r="C2083" t="s">
        <v>100</v>
      </c>
      <c r="D2083">
        <v>5</v>
      </c>
      <c r="E2083">
        <v>1287.1384615384613</v>
      </c>
      <c r="F2083">
        <f t="shared" si="32"/>
        <v>6435.6923076923067</v>
      </c>
    </row>
    <row r="2084" spans="1:6" x14ac:dyDescent="0.2">
      <c r="A2084">
        <v>833</v>
      </c>
      <c r="B2084" t="s">
        <v>101</v>
      </c>
      <c r="C2084" t="s">
        <v>102</v>
      </c>
      <c r="D2084">
        <v>5</v>
      </c>
      <c r="E2084">
        <v>1363.0371551999999</v>
      </c>
      <c r="F2084">
        <f t="shared" si="32"/>
        <v>6815.1857759999994</v>
      </c>
    </row>
    <row r="2085" spans="1:6" x14ac:dyDescent="0.2">
      <c r="A2085">
        <v>833</v>
      </c>
      <c r="B2085" t="s">
        <v>103</v>
      </c>
      <c r="C2085" t="s">
        <v>104</v>
      </c>
      <c r="D2085">
        <v>1</v>
      </c>
      <c r="E2085">
        <v>423.58219999999994</v>
      </c>
      <c r="F2085">
        <f t="shared" ref="F2085:F2148" si="33">D2085*E2085</f>
        <v>423.58219999999994</v>
      </c>
    </row>
    <row r="2086" spans="1:6" x14ac:dyDescent="0.2">
      <c r="A2086">
        <v>833</v>
      </c>
      <c r="B2086" t="s">
        <v>105</v>
      </c>
      <c r="C2086" t="s">
        <v>106</v>
      </c>
      <c r="D2086">
        <v>1</v>
      </c>
      <c r="E2086">
        <v>36.470199999999998</v>
      </c>
      <c r="F2086">
        <f t="shared" si="33"/>
        <v>36.470199999999998</v>
      </c>
    </row>
    <row r="2087" spans="1:6" x14ac:dyDescent="0.2">
      <c r="A2087">
        <v>833</v>
      </c>
      <c r="B2087" t="s">
        <v>107</v>
      </c>
      <c r="C2087" t="s">
        <v>108</v>
      </c>
      <c r="D2087">
        <v>4</v>
      </c>
      <c r="E2087">
        <v>61.492307692307698</v>
      </c>
      <c r="F2087">
        <f t="shared" si="33"/>
        <v>245.96923076923079</v>
      </c>
    </row>
    <row r="2088" spans="1:6" x14ac:dyDescent="0.2">
      <c r="A2088">
        <v>833</v>
      </c>
      <c r="B2088" t="s">
        <v>62</v>
      </c>
      <c r="C2088" t="s">
        <v>323</v>
      </c>
      <c r="D2088">
        <v>3</v>
      </c>
      <c r="E2088">
        <v>0.34859999999999997</v>
      </c>
      <c r="F2088">
        <f t="shared" si="33"/>
        <v>1.0457999999999998</v>
      </c>
    </row>
    <row r="2089" spans="1:6" x14ac:dyDescent="0.2">
      <c r="A2089">
        <v>833</v>
      </c>
      <c r="B2089" t="s">
        <v>324</v>
      </c>
      <c r="C2089" t="s">
        <v>273</v>
      </c>
      <c r="D2089">
        <v>1</v>
      </c>
      <c r="E2089">
        <v>0.9544999999999999</v>
      </c>
      <c r="F2089">
        <f t="shared" si="33"/>
        <v>0.9544999999999999</v>
      </c>
    </row>
    <row r="2090" spans="1:6" x14ac:dyDescent="0.2">
      <c r="A2090">
        <v>833</v>
      </c>
      <c r="B2090" t="s">
        <v>325</v>
      </c>
      <c r="C2090" t="s">
        <v>273</v>
      </c>
      <c r="D2090">
        <v>3</v>
      </c>
      <c r="E2090">
        <v>3.3692307692307697</v>
      </c>
      <c r="F2090">
        <f t="shared" si="33"/>
        <v>10.107692307692309</v>
      </c>
    </row>
    <row r="2091" spans="1:6" x14ac:dyDescent="0.2">
      <c r="A2091">
        <v>833</v>
      </c>
      <c r="B2091" t="s">
        <v>154</v>
      </c>
      <c r="C2091" t="s">
        <v>278</v>
      </c>
      <c r="D2091">
        <v>2</v>
      </c>
      <c r="E2091">
        <v>4.3657999999999992</v>
      </c>
      <c r="F2091">
        <f t="shared" si="33"/>
        <v>8.7315999999999985</v>
      </c>
    </row>
    <row r="2092" spans="1:6" x14ac:dyDescent="0.2">
      <c r="A2092">
        <v>833</v>
      </c>
      <c r="B2092" t="s">
        <v>290</v>
      </c>
      <c r="C2092" t="s">
        <v>278</v>
      </c>
      <c r="D2092">
        <v>4</v>
      </c>
      <c r="E2092">
        <v>43.751809919999999</v>
      </c>
      <c r="F2092">
        <f t="shared" si="33"/>
        <v>175.00723968</v>
      </c>
    </row>
    <row r="2093" spans="1:6" x14ac:dyDescent="0.2">
      <c r="A2093">
        <v>833</v>
      </c>
      <c r="B2093" t="s">
        <v>288</v>
      </c>
      <c r="C2093" t="s">
        <v>289</v>
      </c>
      <c r="D2093">
        <v>1</v>
      </c>
      <c r="E2093">
        <v>7.3401215999999998</v>
      </c>
      <c r="F2093">
        <f t="shared" si="33"/>
        <v>7.3401215999999998</v>
      </c>
    </row>
    <row r="2094" spans="1:6" x14ac:dyDescent="0.2">
      <c r="A2094">
        <v>833</v>
      </c>
      <c r="B2094" t="s">
        <v>287</v>
      </c>
      <c r="C2094" t="s">
        <v>273</v>
      </c>
      <c r="D2094">
        <v>118</v>
      </c>
      <c r="E2094">
        <v>100.66898687999999</v>
      </c>
      <c r="F2094">
        <f t="shared" si="33"/>
        <v>11878.940451839999</v>
      </c>
    </row>
    <row r="2095" spans="1:6" x14ac:dyDescent="0.2">
      <c r="A2095">
        <v>833</v>
      </c>
      <c r="B2095" t="s">
        <v>285</v>
      </c>
      <c r="C2095" t="s">
        <v>286</v>
      </c>
      <c r="D2095">
        <v>1</v>
      </c>
      <c r="E2095">
        <v>58.189985279999981</v>
      </c>
      <c r="F2095">
        <f t="shared" si="33"/>
        <v>58.189985279999981</v>
      </c>
    </row>
    <row r="2096" spans="1:6" x14ac:dyDescent="0.2">
      <c r="A2096">
        <v>833</v>
      </c>
      <c r="B2096" t="s">
        <v>291</v>
      </c>
      <c r="C2096" t="s">
        <v>278</v>
      </c>
      <c r="D2096">
        <v>1</v>
      </c>
      <c r="E2096">
        <v>24.136399999999998</v>
      </c>
      <c r="F2096">
        <f t="shared" si="33"/>
        <v>24.136399999999998</v>
      </c>
    </row>
    <row r="2097" spans="1:6" x14ac:dyDescent="0.2">
      <c r="A2097">
        <v>833</v>
      </c>
      <c r="B2097" t="s">
        <v>277</v>
      </c>
      <c r="C2097" t="s">
        <v>278</v>
      </c>
      <c r="D2097">
        <v>3</v>
      </c>
      <c r="E2097">
        <v>41.026594559999999</v>
      </c>
      <c r="F2097">
        <f t="shared" si="33"/>
        <v>123.07978367999999</v>
      </c>
    </row>
    <row r="2098" spans="1:6" x14ac:dyDescent="0.2">
      <c r="A2098">
        <v>833</v>
      </c>
      <c r="B2098" t="s">
        <v>326</v>
      </c>
      <c r="C2098" t="s">
        <v>278</v>
      </c>
      <c r="D2098">
        <v>1</v>
      </c>
      <c r="E2098">
        <v>3.97459776</v>
      </c>
      <c r="F2098">
        <f t="shared" si="33"/>
        <v>3.97459776</v>
      </c>
    </row>
    <row r="2099" spans="1:6" x14ac:dyDescent="0.2">
      <c r="A2099">
        <v>833</v>
      </c>
      <c r="B2099" t="s">
        <v>274</v>
      </c>
      <c r="C2099" t="s">
        <v>273</v>
      </c>
      <c r="D2099">
        <v>2</v>
      </c>
      <c r="E2099">
        <v>149.23091903999997</v>
      </c>
      <c r="F2099">
        <f t="shared" si="33"/>
        <v>298.46183807999995</v>
      </c>
    </row>
    <row r="2100" spans="1:6" x14ac:dyDescent="0.2">
      <c r="A2100">
        <v>833</v>
      </c>
      <c r="B2100" t="s">
        <v>327</v>
      </c>
      <c r="C2100" t="s">
        <v>309</v>
      </c>
      <c r="D2100">
        <v>3</v>
      </c>
      <c r="E2100">
        <v>1532.5236863999999</v>
      </c>
      <c r="F2100">
        <f t="shared" si="33"/>
        <v>4597.5710591999996</v>
      </c>
    </row>
    <row r="2101" spans="1:6" x14ac:dyDescent="0.2">
      <c r="A2101">
        <v>833</v>
      </c>
      <c r="B2101" t="s">
        <v>328</v>
      </c>
      <c r="C2101" t="s">
        <v>329</v>
      </c>
      <c r="D2101">
        <v>6</v>
      </c>
      <c r="E2101">
        <v>155.62307692307695</v>
      </c>
      <c r="F2101">
        <f t="shared" si="33"/>
        <v>933.73846153846171</v>
      </c>
    </row>
    <row r="2102" spans="1:6" x14ac:dyDescent="0.2">
      <c r="A2102">
        <v>833</v>
      </c>
      <c r="B2102" t="s">
        <v>330</v>
      </c>
      <c r="C2102" t="s">
        <v>331</v>
      </c>
      <c r="D2102">
        <v>6</v>
      </c>
      <c r="E2102">
        <v>710.44615384615395</v>
      </c>
      <c r="F2102">
        <f t="shared" si="33"/>
        <v>4262.6769230769241</v>
      </c>
    </row>
    <row r="2103" spans="1:6" x14ac:dyDescent="0.2">
      <c r="A2103">
        <v>833</v>
      </c>
      <c r="B2103" t="s">
        <v>332</v>
      </c>
      <c r="C2103" t="s">
        <v>333</v>
      </c>
      <c r="D2103">
        <v>1</v>
      </c>
      <c r="E2103">
        <v>167.55384615384617</v>
      </c>
      <c r="F2103">
        <f t="shared" si="33"/>
        <v>167.55384615384617</v>
      </c>
    </row>
    <row r="2104" spans="1:6" x14ac:dyDescent="0.2">
      <c r="A2104">
        <v>833</v>
      </c>
      <c r="B2104" t="s">
        <v>272</v>
      </c>
      <c r="C2104" t="s">
        <v>273</v>
      </c>
      <c r="D2104">
        <v>3</v>
      </c>
      <c r="E2104">
        <v>170.11122239999997</v>
      </c>
      <c r="F2104">
        <f t="shared" si="33"/>
        <v>510.33366719999992</v>
      </c>
    </row>
    <row r="2105" spans="1:6" x14ac:dyDescent="0.2">
      <c r="A2105">
        <v>833</v>
      </c>
      <c r="B2105" t="s">
        <v>275</v>
      </c>
      <c r="C2105" t="s">
        <v>276</v>
      </c>
      <c r="D2105">
        <v>1</v>
      </c>
      <c r="E2105">
        <v>9.0814483199999998</v>
      </c>
      <c r="F2105">
        <f t="shared" si="33"/>
        <v>9.0814483199999998</v>
      </c>
    </row>
    <row r="2106" spans="1:6" x14ac:dyDescent="0.2">
      <c r="A2106">
        <v>833</v>
      </c>
      <c r="B2106" t="s">
        <v>334</v>
      </c>
      <c r="C2106" t="s">
        <v>329</v>
      </c>
      <c r="D2106">
        <v>1</v>
      </c>
      <c r="E2106">
        <v>149.03076923076924</v>
      </c>
      <c r="F2106">
        <f t="shared" si="33"/>
        <v>149.03076923076924</v>
      </c>
    </row>
    <row r="2107" spans="1:6" x14ac:dyDescent="0.2">
      <c r="A2107">
        <v>833</v>
      </c>
      <c r="B2107" t="s">
        <v>335</v>
      </c>
      <c r="C2107" t="s">
        <v>331</v>
      </c>
      <c r="D2107">
        <v>3</v>
      </c>
      <c r="E2107">
        <v>703.1</v>
      </c>
      <c r="F2107">
        <f t="shared" si="33"/>
        <v>2109.3000000000002</v>
      </c>
    </row>
    <row r="2108" spans="1:6" x14ac:dyDescent="0.2">
      <c r="A2108">
        <v>833</v>
      </c>
      <c r="B2108" t="s">
        <v>336</v>
      </c>
      <c r="C2108" t="s">
        <v>333</v>
      </c>
      <c r="D2108">
        <v>2</v>
      </c>
      <c r="E2108">
        <v>288.42307692307691</v>
      </c>
      <c r="F2108">
        <f t="shared" si="33"/>
        <v>576.84615384615381</v>
      </c>
    </row>
    <row r="2109" spans="1:6" x14ac:dyDescent="0.2">
      <c r="A2109">
        <v>833</v>
      </c>
      <c r="B2109" t="s">
        <v>337</v>
      </c>
      <c r="C2109" t="s">
        <v>297</v>
      </c>
      <c r="D2109">
        <v>1</v>
      </c>
      <c r="E2109">
        <v>11.761099999999999</v>
      </c>
      <c r="F2109">
        <f t="shared" si="33"/>
        <v>11.761099999999999</v>
      </c>
    </row>
    <row r="2110" spans="1:6" x14ac:dyDescent="0.2">
      <c r="A2110">
        <v>833</v>
      </c>
      <c r="B2110" t="s">
        <v>338</v>
      </c>
      <c r="C2110" t="s">
        <v>297</v>
      </c>
      <c r="D2110">
        <v>5</v>
      </c>
      <c r="E2110">
        <v>11.712959999999999</v>
      </c>
      <c r="F2110">
        <f t="shared" si="33"/>
        <v>58.564799999999991</v>
      </c>
    </row>
    <row r="2111" spans="1:6" x14ac:dyDescent="0.2">
      <c r="A2111">
        <v>833</v>
      </c>
      <c r="B2111" t="s">
        <v>339</v>
      </c>
      <c r="C2111" t="s">
        <v>297</v>
      </c>
      <c r="D2111">
        <v>1</v>
      </c>
      <c r="E2111">
        <v>20.279038079999996</v>
      </c>
      <c r="F2111">
        <f t="shared" si="33"/>
        <v>20.279038079999996</v>
      </c>
    </row>
    <row r="2112" spans="1:6" x14ac:dyDescent="0.2">
      <c r="A2112">
        <v>833</v>
      </c>
      <c r="B2112" t="s">
        <v>340</v>
      </c>
      <c r="C2112" t="s">
        <v>309</v>
      </c>
      <c r="D2112">
        <v>1</v>
      </c>
      <c r="E2112">
        <v>1536.3343027199999</v>
      </c>
      <c r="F2112">
        <f t="shared" si="33"/>
        <v>1536.3343027199999</v>
      </c>
    </row>
    <row r="2113" spans="1:6" x14ac:dyDescent="0.2">
      <c r="A2113">
        <v>833</v>
      </c>
      <c r="B2113" t="s">
        <v>341</v>
      </c>
      <c r="C2113" t="s">
        <v>342</v>
      </c>
      <c r="D2113">
        <v>1</v>
      </c>
      <c r="E2113">
        <v>307.22449999999998</v>
      </c>
      <c r="F2113">
        <f t="shared" si="33"/>
        <v>307.22449999999998</v>
      </c>
    </row>
    <row r="2114" spans="1:6" x14ac:dyDescent="0.2">
      <c r="A2114">
        <v>833</v>
      </c>
      <c r="B2114" t="s">
        <v>284</v>
      </c>
      <c r="C2114" t="s">
        <v>273</v>
      </c>
      <c r="D2114">
        <v>5</v>
      </c>
      <c r="E2114">
        <v>15.547002240000001</v>
      </c>
      <c r="F2114">
        <f t="shared" si="33"/>
        <v>77.735011200000002</v>
      </c>
    </row>
    <row r="2115" spans="1:6" x14ac:dyDescent="0.2">
      <c r="A2115">
        <v>833</v>
      </c>
      <c r="B2115" t="s">
        <v>283</v>
      </c>
      <c r="C2115" t="s">
        <v>278</v>
      </c>
      <c r="D2115">
        <v>5</v>
      </c>
      <c r="E2115">
        <v>101.76219647999997</v>
      </c>
      <c r="F2115">
        <f t="shared" si="33"/>
        <v>508.81098239999983</v>
      </c>
    </row>
    <row r="2116" spans="1:6" x14ac:dyDescent="0.2">
      <c r="A2116">
        <v>833</v>
      </c>
      <c r="B2116" t="s">
        <v>281</v>
      </c>
      <c r="C2116" t="s">
        <v>282</v>
      </c>
      <c r="D2116">
        <v>1</v>
      </c>
      <c r="E2116">
        <v>43.369186559999996</v>
      </c>
      <c r="F2116">
        <f t="shared" si="33"/>
        <v>43.369186559999996</v>
      </c>
    </row>
    <row r="2117" spans="1:6" x14ac:dyDescent="0.2">
      <c r="A2117">
        <v>833</v>
      </c>
      <c r="B2117" t="s">
        <v>279</v>
      </c>
      <c r="C2117" t="s">
        <v>280</v>
      </c>
      <c r="D2117">
        <v>1</v>
      </c>
      <c r="E2117">
        <v>36.786503039999999</v>
      </c>
      <c r="F2117">
        <f t="shared" si="33"/>
        <v>36.786503039999999</v>
      </c>
    </row>
    <row r="2118" spans="1:6" x14ac:dyDescent="0.2">
      <c r="A2118">
        <v>833</v>
      </c>
      <c r="B2118" t="s">
        <v>343</v>
      </c>
      <c r="C2118" t="s">
        <v>282</v>
      </c>
      <c r="D2118">
        <v>4</v>
      </c>
      <c r="E2118">
        <v>16.807499999999997</v>
      </c>
      <c r="F2118">
        <f t="shared" si="33"/>
        <v>67.22999999999999</v>
      </c>
    </row>
    <row r="2119" spans="1:6" x14ac:dyDescent="0.2">
      <c r="A2119">
        <v>833</v>
      </c>
      <c r="B2119" t="s">
        <v>344</v>
      </c>
      <c r="C2119" t="s">
        <v>282</v>
      </c>
      <c r="D2119">
        <v>3</v>
      </c>
      <c r="E2119">
        <v>12.767126399999999</v>
      </c>
      <c r="F2119">
        <f t="shared" si="33"/>
        <v>38.3013792</v>
      </c>
    </row>
    <row r="2120" spans="1:6" x14ac:dyDescent="0.2">
      <c r="A2120">
        <v>833</v>
      </c>
      <c r="B2120" t="s">
        <v>270</v>
      </c>
      <c r="C2120" t="s">
        <v>271</v>
      </c>
      <c r="D2120">
        <v>1</v>
      </c>
      <c r="E2120">
        <v>3027.0973823999993</v>
      </c>
      <c r="F2120">
        <f t="shared" si="33"/>
        <v>3027.0973823999993</v>
      </c>
    </row>
    <row r="2121" spans="1:6" x14ac:dyDescent="0.2">
      <c r="A2121">
        <v>833</v>
      </c>
      <c r="B2121" t="s">
        <v>272</v>
      </c>
      <c r="C2121" t="s">
        <v>273</v>
      </c>
      <c r="D2121">
        <v>3</v>
      </c>
      <c r="E2121">
        <v>170.11122239999997</v>
      </c>
      <c r="F2121">
        <f t="shared" si="33"/>
        <v>510.33366719999992</v>
      </c>
    </row>
    <row r="2122" spans="1:6" x14ac:dyDescent="0.2">
      <c r="A2122">
        <v>833</v>
      </c>
      <c r="B2122" t="s">
        <v>274</v>
      </c>
      <c r="C2122" t="s">
        <v>273</v>
      </c>
      <c r="D2122">
        <v>2</v>
      </c>
      <c r="E2122">
        <v>149.23091903999997</v>
      </c>
      <c r="F2122">
        <f t="shared" si="33"/>
        <v>298.46183807999995</v>
      </c>
    </row>
    <row r="2123" spans="1:6" x14ac:dyDescent="0.2">
      <c r="A2123">
        <v>833</v>
      </c>
      <c r="B2123" t="s">
        <v>275</v>
      </c>
      <c r="C2123" t="s">
        <v>276</v>
      </c>
      <c r="D2123">
        <v>4</v>
      </c>
      <c r="E2123">
        <v>9.0814483199999998</v>
      </c>
      <c r="F2123">
        <f t="shared" si="33"/>
        <v>36.325793279999999</v>
      </c>
    </row>
    <row r="2124" spans="1:6" x14ac:dyDescent="0.2">
      <c r="A2124">
        <v>833</v>
      </c>
      <c r="B2124" t="s">
        <v>277</v>
      </c>
      <c r="C2124" t="s">
        <v>278</v>
      </c>
      <c r="D2124">
        <v>1</v>
      </c>
      <c r="E2124">
        <v>41.026594559999999</v>
      </c>
      <c r="F2124">
        <f t="shared" si="33"/>
        <v>41.026594559999999</v>
      </c>
    </row>
    <row r="2125" spans="1:6" x14ac:dyDescent="0.2">
      <c r="A2125">
        <v>833</v>
      </c>
      <c r="B2125" t="s">
        <v>279</v>
      </c>
      <c r="C2125" t="s">
        <v>280</v>
      </c>
      <c r="D2125">
        <v>118</v>
      </c>
      <c r="E2125">
        <v>36.786503039999999</v>
      </c>
      <c r="F2125">
        <f t="shared" si="33"/>
        <v>4340.8073587199997</v>
      </c>
    </row>
    <row r="2126" spans="1:6" x14ac:dyDescent="0.2">
      <c r="A2126">
        <v>833</v>
      </c>
      <c r="B2126" t="s">
        <v>281</v>
      </c>
      <c r="C2126" t="s">
        <v>282</v>
      </c>
      <c r="D2126">
        <v>1</v>
      </c>
      <c r="E2126">
        <v>43.369186559999996</v>
      </c>
      <c r="F2126">
        <f t="shared" si="33"/>
        <v>43.369186559999996</v>
      </c>
    </row>
    <row r="2127" spans="1:6" x14ac:dyDescent="0.2">
      <c r="A2127">
        <v>833</v>
      </c>
      <c r="B2127" t="s">
        <v>283</v>
      </c>
      <c r="C2127" t="s">
        <v>278</v>
      </c>
      <c r="D2127">
        <v>1</v>
      </c>
      <c r="E2127">
        <v>101.76219647999997</v>
      </c>
      <c r="F2127">
        <f t="shared" si="33"/>
        <v>101.76219647999997</v>
      </c>
    </row>
    <row r="2128" spans="1:6" x14ac:dyDescent="0.2">
      <c r="A2128">
        <v>833</v>
      </c>
      <c r="B2128" t="s">
        <v>284</v>
      </c>
      <c r="C2128" t="s">
        <v>273</v>
      </c>
      <c r="D2128">
        <v>3</v>
      </c>
      <c r="E2128">
        <v>15.547002240000001</v>
      </c>
      <c r="F2128">
        <f t="shared" si="33"/>
        <v>46.641006720000007</v>
      </c>
    </row>
    <row r="2129" spans="1:6" x14ac:dyDescent="0.2">
      <c r="A2129">
        <v>833</v>
      </c>
      <c r="B2129" t="s">
        <v>285</v>
      </c>
      <c r="C2129" t="s">
        <v>286</v>
      </c>
      <c r="D2129">
        <v>1</v>
      </c>
      <c r="E2129">
        <v>58.189985279999981</v>
      </c>
      <c r="F2129">
        <f t="shared" si="33"/>
        <v>58.189985279999981</v>
      </c>
    </row>
    <row r="2130" spans="1:6" x14ac:dyDescent="0.2">
      <c r="A2130">
        <v>833</v>
      </c>
      <c r="B2130" t="s">
        <v>287</v>
      </c>
      <c r="C2130" t="s">
        <v>273</v>
      </c>
      <c r="D2130">
        <v>2</v>
      </c>
      <c r="E2130">
        <v>100.66898687999999</v>
      </c>
      <c r="F2130">
        <f t="shared" si="33"/>
        <v>201.33797375999998</v>
      </c>
    </row>
    <row r="2131" spans="1:6" x14ac:dyDescent="0.2">
      <c r="A2131">
        <v>833</v>
      </c>
      <c r="B2131" t="s">
        <v>288</v>
      </c>
      <c r="C2131" t="s">
        <v>289</v>
      </c>
      <c r="D2131">
        <v>3</v>
      </c>
      <c r="E2131">
        <v>7.3401215999999998</v>
      </c>
      <c r="F2131">
        <f t="shared" si="33"/>
        <v>22.020364799999999</v>
      </c>
    </row>
    <row r="2132" spans="1:6" x14ac:dyDescent="0.2">
      <c r="A2132">
        <v>833</v>
      </c>
      <c r="B2132" t="s">
        <v>290</v>
      </c>
      <c r="C2132" t="s">
        <v>278</v>
      </c>
      <c r="D2132">
        <v>6</v>
      </c>
      <c r="E2132">
        <v>43.751809919999999</v>
      </c>
      <c r="F2132">
        <f t="shared" si="33"/>
        <v>262.51085952</v>
      </c>
    </row>
    <row r="2133" spans="1:6" x14ac:dyDescent="0.2">
      <c r="A2133">
        <v>833</v>
      </c>
      <c r="B2133" t="s">
        <v>277</v>
      </c>
      <c r="C2133" t="s">
        <v>278</v>
      </c>
      <c r="D2133">
        <v>6</v>
      </c>
      <c r="E2133">
        <v>41.026594559999999</v>
      </c>
      <c r="F2133">
        <f t="shared" si="33"/>
        <v>246.15956735999998</v>
      </c>
    </row>
    <row r="2134" spans="1:6" x14ac:dyDescent="0.2">
      <c r="A2134">
        <v>833</v>
      </c>
      <c r="B2134" t="s">
        <v>291</v>
      </c>
      <c r="C2134" t="s">
        <v>278</v>
      </c>
      <c r="D2134">
        <v>1</v>
      </c>
      <c r="E2134">
        <v>24.136399999999998</v>
      </c>
      <c r="F2134">
        <f t="shared" si="33"/>
        <v>24.136399999999998</v>
      </c>
    </row>
    <row r="2135" spans="1:6" x14ac:dyDescent="0.2">
      <c r="A2135">
        <v>833</v>
      </c>
      <c r="B2135" t="s">
        <v>292</v>
      </c>
      <c r="C2135" t="s">
        <v>293</v>
      </c>
      <c r="D2135">
        <v>3</v>
      </c>
      <c r="E2135">
        <v>96.852699999999999</v>
      </c>
      <c r="F2135">
        <f t="shared" si="33"/>
        <v>290.55809999999997</v>
      </c>
    </row>
    <row r="2136" spans="1:6" x14ac:dyDescent="0.2">
      <c r="A2136">
        <v>833</v>
      </c>
      <c r="B2136" t="s">
        <v>294</v>
      </c>
      <c r="C2136" t="s">
        <v>278</v>
      </c>
      <c r="D2136">
        <v>1</v>
      </c>
      <c r="E2136">
        <v>26.221413119999998</v>
      </c>
      <c r="F2136">
        <f t="shared" si="33"/>
        <v>26.221413119999998</v>
      </c>
    </row>
    <row r="2137" spans="1:6" x14ac:dyDescent="0.2">
      <c r="A2137">
        <v>833</v>
      </c>
      <c r="B2137" t="s">
        <v>295</v>
      </c>
      <c r="C2137" t="s">
        <v>273</v>
      </c>
      <c r="D2137">
        <v>1</v>
      </c>
      <c r="E2137">
        <v>54.886930560000003</v>
      </c>
      <c r="F2137">
        <f t="shared" si="33"/>
        <v>54.886930560000003</v>
      </c>
    </row>
    <row r="2138" spans="1:6" x14ac:dyDescent="0.2">
      <c r="A2138">
        <v>833</v>
      </c>
      <c r="B2138" t="s">
        <v>296</v>
      </c>
      <c r="C2138" t="s">
        <v>297</v>
      </c>
      <c r="D2138">
        <v>3</v>
      </c>
      <c r="E2138">
        <v>5.5028999999999995</v>
      </c>
      <c r="F2138">
        <f t="shared" si="33"/>
        <v>16.508699999999997</v>
      </c>
    </row>
    <row r="2139" spans="1:6" x14ac:dyDescent="0.2">
      <c r="A2139">
        <v>833</v>
      </c>
      <c r="B2139" t="s">
        <v>298</v>
      </c>
      <c r="C2139" t="s">
        <v>297</v>
      </c>
      <c r="D2139">
        <v>2</v>
      </c>
      <c r="E2139">
        <v>5.9344999999999999</v>
      </c>
      <c r="F2139">
        <f t="shared" si="33"/>
        <v>11.869</v>
      </c>
    </row>
    <row r="2140" spans="1:6" x14ac:dyDescent="0.2">
      <c r="A2140">
        <v>833</v>
      </c>
      <c r="B2140" t="s">
        <v>299</v>
      </c>
      <c r="C2140" t="s">
        <v>297</v>
      </c>
      <c r="D2140">
        <v>1</v>
      </c>
      <c r="E2140">
        <v>4.3574999999999999</v>
      </c>
      <c r="F2140">
        <f t="shared" si="33"/>
        <v>4.3574999999999999</v>
      </c>
    </row>
    <row r="2141" spans="1:6" x14ac:dyDescent="0.2">
      <c r="A2141">
        <v>833</v>
      </c>
      <c r="B2141" t="s">
        <v>122</v>
      </c>
      <c r="C2141" t="s">
        <v>276</v>
      </c>
      <c r="D2141">
        <v>5</v>
      </c>
      <c r="E2141">
        <v>14.915099999999999</v>
      </c>
      <c r="F2141">
        <f t="shared" si="33"/>
        <v>74.575499999999991</v>
      </c>
    </row>
    <row r="2142" spans="1:6" x14ac:dyDescent="0.2">
      <c r="A2142">
        <v>833</v>
      </c>
      <c r="B2142" t="s">
        <v>120</v>
      </c>
      <c r="C2142" t="s">
        <v>278</v>
      </c>
      <c r="D2142">
        <v>1</v>
      </c>
      <c r="E2142">
        <v>1.5603999999999998</v>
      </c>
      <c r="F2142">
        <f t="shared" si="33"/>
        <v>1.5603999999999998</v>
      </c>
    </row>
    <row r="2143" spans="1:6" x14ac:dyDescent="0.2">
      <c r="A2143">
        <v>833</v>
      </c>
      <c r="B2143" t="s">
        <v>300</v>
      </c>
      <c r="C2143" t="s">
        <v>273</v>
      </c>
      <c r="D2143">
        <v>3</v>
      </c>
      <c r="E2143">
        <v>60.589999999999996</v>
      </c>
      <c r="F2143">
        <f t="shared" si="33"/>
        <v>181.76999999999998</v>
      </c>
    </row>
    <row r="2144" spans="1:6" x14ac:dyDescent="0.2">
      <c r="A2144">
        <v>833</v>
      </c>
      <c r="B2144" t="s">
        <v>301</v>
      </c>
      <c r="C2144" t="s">
        <v>302</v>
      </c>
      <c r="D2144">
        <v>6</v>
      </c>
      <c r="E2144">
        <v>104.88565247999999</v>
      </c>
      <c r="F2144">
        <f t="shared" si="33"/>
        <v>629.31391487999997</v>
      </c>
    </row>
    <row r="2145" spans="1:6" x14ac:dyDescent="0.2">
      <c r="A2145">
        <v>833</v>
      </c>
      <c r="B2145" t="s">
        <v>303</v>
      </c>
      <c r="C2145" t="s">
        <v>304</v>
      </c>
      <c r="D2145">
        <v>6</v>
      </c>
      <c r="E2145">
        <v>683.94489999999996</v>
      </c>
      <c r="F2145">
        <f t="shared" si="33"/>
        <v>4103.6693999999998</v>
      </c>
    </row>
    <row r="2146" spans="1:6" x14ac:dyDescent="0.2">
      <c r="A2146">
        <v>833</v>
      </c>
      <c r="B2146" t="s">
        <v>305</v>
      </c>
      <c r="C2146" t="s">
        <v>273</v>
      </c>
      <c r="D2146">
        <v>1</v>
      </c>
      <c r="E2146">
        <v>71.189099999999996</v>
      </c>
      <c r="F2146">
        <f t="shared" si="33"/>
        <v>71.189099999999996</v>
      </c>
    </row>
    <row r="2147" spans="1:6" x14ac:dyDescent="0.2">
      <c r="A2147">
        <v>833</v>
      </c>
      <c r="B2147" t="s">
        <v>294</v>
      </c>
      <c r="C2147" t="s">
        <v>278</v>
      </c>
      <c r="D2147">
        <v>3</v>
      </c>
      <c r="E2147">
        <v>26.221413119999998</v>
      </c>
      <c r="F2147">
        <f t="shared" si="33"/>
        <v>78.664239359999996</v>
      </c>
    </row>
    <row r="2148" spans="1:6" x14ac:dyDescent="0.2">
      <c r="A2148">
        <v>833</v>
      </c>
      <c r="B2148" t="s">
        <v>306</v>
      </c>
      <c r="C2148" t="s">
        <v>273</v>
      </c>
      <c r="D2148">
        <v>1</v>
      </c>
      <c r="E2148">
        <v>99.575777279999997</v>
      </c>
      <c r="F2148">
        <f t="shared" si="33"/>
        <v>99.575777279999997</v>
      </c>
    </row>
    <row r="2149" spans="1:6" x14ac:dyDescent="0.2">
      <c r="A2149">
        <v>833</v>
      </c>
      <c r="B2149" t="s">
        <v>294</v>
      </c>
      <c r="C2149" t="s">
        <v>278</v>
      </c>
      <c r="D2149">
        <v>1</v>
      </c>
      <c r="E2149">
        <v>26.221413119999998</v>
      </c>
      <c r="F2149">
        <f t="shared" ref="F2149:F2212" si="34">D2149*E2149</f>
        <v>26.221413119999998</v>
      </c>
    </row>
    <row r="2150" spans="1:6" x14ac:dyDescent="0.2">
      <c r="A2150">
        <v>833</v>
      </c>
      <c r="B2150" t="s">
        <v>306</v>
      </c>
      <c r="C2150" t="s">
        <v>273</v>
      </c>
      <c r="D2150">
        <v>3</v>
      </c>
      <c r="E2150">
        <v>99.575777279999997</v>
      </c>
      <c r="F2150">
        <f t="shared" si="34"/>
        <v>298.72733183999998</v>
      </c>
    </row>
    <row r="2151" spans="1:6" x14ac:dyDescent="0.2">
      <c r="A2151">
        <v>833</v>
      </c>
      <c r="B2151" t="s">
        <v>308</v>
      </c>
      <c r="C2151" t="s">
        <v>309</v>
      </c>
      <c r="D2151">
        <v>2</v>
      </c>
      <c r="E2151">
        <v>167.62307692307692</v>
      </c>
      <c r="F2151">
        <f t="shared" si="34"/>
        <v>335.24615384615385</v>
      </c>
    </row>
    <row r="2152" spans="1:6" x14ac:dyDescent="0.2">
      <c r="A2152">
        <v>833</v>
      </c>
      <c r="B2152" t="s">
        <v>310</v>
      </c>
      <c r="C2152" t="s">
        <v>273</v>
      </c>
      <c r="D2152">
        <v>1</v>
      </c>
      <c r="E2152">
        <v>0.33200000000000002</v>
      </c>
      <c r="F2152">
        <f t="shared" si="34"/>
        <v>0.33200000000000002</v>
      </c>
    </row>
    <row r="2153" spans="1:6" x14ac:dyDescent="0.2">
      <c r="A2153">
        <v>833</v>
      </c>
      <c r="B2153" t="s">
        <v>197</v>
      </c>
      <c r="C2153" t="s">
        <v>278</v>
      </c>
      <c r="D2153">
        <v>5</v>
      </c>
      <c r="E2153">
        <v>7.4699999999999989E-2</v>
      </c>
      <c r="F2153">
        <f t="shared" si="34"/>
        <v>0.37349999999999994</v>
      </c>
    </row>
    <row r="2154" spans="1:6" x14ac:dyDescent="0.2">
      <c r="A2154">
        <v>833</v>
      </c>
      <c r="B2154" t="s">
        <v>311</v>
      </c>
      <c r="C2154" t="s">
        <v>273</v>
      </c>
      <c r="D2154">
        <v>1</v>
      </c>
      <c r="E2154">
        <v>1.5935999999999999</v>
      </c>
      <c r="F2154">
        <f t="shared" si="34"/>
        <v>1.5935999999999999</v>
      </c>
    </row>
    <row r="2155" spans="1:6" x14ac:dyDescent="0.2">
      <c r="A2155">
        <v>833</v>
      </c>
      <c r="B2155" t="s">
        <v>312</v>
      </c>
      <c r="C2155" t="s">
        <v>278</v>
      </c>
      <c r="D2155">
        <v>1</v>
      </c>
      <c r="E2155">
        <v>21.040500000000002</v>
      </c>
      <c r="F2155">
        <f t="shared" si="34"/>
        <v>21.040500000000002</v>
      </c>
    </row>
    <row r="2156" spans="1:6" x14ac:dyDescent="0.2">
      <c r="A2156">
        <v>833</v>
      </c>
      <c r="B2156" t="s">
        <v>75</v>
      </c>
      <c r="C2156" t="s">
        <v>313</v>
      </c>
      <c r="D2156">
        <v>1</v>
      </c>
      <c r="E2156">
        <v>0.1153846153846154</v>
      </c>
      <c r="F2156">
        <f t="shared" si="34"/>
        <v>0.1153846153846154</v>
      </c>
    </row>
    <row r="2157" spans="1:6" x14ac:dyDescent="0.2">
      <c r="A2157">
        <v>833</v>
      </c>
      <c r="B2157" t="s">
        <v>314</v>
      </c>
      <c r="C2157" t="s">
        <v>273</v>
      </c>
      <c r="D2157">
        <v>5</v>
      </c>
      <c r="E2157">
        <v>0.45650000000000002</v>
      </c>
      <c r="F2157">
        <f t="shared" si="34"/>
        <v>2.2825000000000002</v>
      </c>
    </row>
    <row r="2158" spans="1:6" x14ac:dyDescent="0.2">
      <c r="A2158">
        <v>833</v>
      </c>
      <c r="B2158" t="s">
        <v>314</v>
      </c>
      <c r="C2158" t="s">
        <v>315</v>
      </c>
      <c r="D2158">
        <v>5</v>
      </c>
      <c r="E2158">
        <v>0.45650000000000002</v>
      </c>
      <c r="F2158">
        <f t="shared" si="34"/>
        <v>2.2825000000000002</v>
      </c>
    </row>
    <row r="2159" spans="1:6" x14ac:dyDescent="0.2">
      <c r="A2159">
        <v>833</v>
      </c>
      <c r="B2159" t="s">
        <v>316</v>
      </c>
      <c r="C2159" t="s">
        <v>317</v>
      </c>
      <c r="D2159">
        <v>1</v>
      </c>
      <c r="E2159">
        <v>92.206615384615375</v>
      </c>
      <c r="F2159">
        <f t="shared" si="34"/>
        <v>92.206615384615375</v>
      </c>
    </row>
    <row r="2160" spans="1:6" x14ac:dyDescent="0.2">
      <c r="A2160">
        <v>833</v>
      </c>
      <c r="B2160" t="s">
        <v>318</v>
      </c>
      <c r="C2160" t="s">
        <v>319</v>
      </c>
      <c r="D2160">
        <v>1</v>
      </c>
      <c r="E2160">
        <v>85.453846153846172</v>
      </c>
      <c r="F2160">
        <f t="shared" si="34"/>
        <v>85.453846153846172</v>
      </c>
    </row>
    <row r="2161" spans="1:6" x14ac:dyDescent="0.2">
      <c r="A2161">
        <v>833</v>
      </c>
      <c r="B2161" t="s">
        <v>320</v>
      </c>
      <c r="C2161" t="s">
        <v>321</v>
      </c>
      <c r="D2161">
        <v>4</v>
      </c>
      <c r="E2161">
        <v>92.206615384615375</v>
      </c>
      <c r="F2161">
        <f t="shared" si="34"/>
        <v>368.8264615384615</v>
      </c>
    </row>
    <row r="2162" spans="1:6" x14ac:dyDescent="0.2">
      <c r="A2162">
        <v>833</v>
      </c>
      <c r="B2162" t="s">
        <v>267</v>
      </c>
      <c r="C2162" t="s">
        <v>268</v>
      </c>
      <c r="D2162">
        <v>3</v>
      </c>
      <c r="E2162">
        <v>84863.132923076919</v>
      </c>
      <c r="F2162">
        <f t="shared" si="34"/>
        <v>254589.39876923076</v>
      </c>
    </row>
    <row r="2163" spans="1:6" x14ac:dyDescent="0.2">
      <c r="A2163">
        <v>833</v>
      </c>
      <c r="B2163" t="s">
        <v>260</v>
      </c>
      <c r="C2163" t="s">
        <v>261</v>
      </c>
      <c r="D2163">
        <v>1</v>
      </c>
      <c r="E2163">
        <v>2908.2944615384613</v>
      </c>
      <c r="F2163">
        <f t="shared" si="34"/>
        <v>2908.2944615384613</v>
      </c>
    </row>
    <row r="2164" spans="1:6" x14ac:dyDescent="0.2">
      <c r="A2164">
        <v>833</v>
      </c>
      <c r="B2164" t="s">
        <v>262</v>
      </c>
      <c r="C2164" t="s">
        <v>263</v>
      </c>
      <c r="D2164">
        <v>3</v>
      </c>
      <c r="E2164">
        <v>3207.1966153846147</v>
      </c>
      <c r="F2164">
        <f t="shared" si="34"/>
        <v>9621.5898461538436</v>
      </c>
    </row>
    <row r="2165" spans="1:6" x14ac:dyDescent="0.2">
      <c r="A2165">
        <v>833</v>
      </c>
      <c r="B2165" t="s">
        <v>264</v>
      </c>
      <c r="C2165" t="s">
        <v>265</v>
      </c>
      <c r="D2165">
        <v>2</v>
      </c>
      <c r="E2165">
        <v>3466.73123076923</v>
      </c>
      <c r="F2165">
        <f t="shared" si="34"/>
        <v>6933.46246153846</v>
      </c>
    </row>
    <row r="2166" spans="1:6" x14ac:dyDescent="0.2">
      <c r="A2166">
        <v>833</v>
      </c>
      <c r="B2166" t="s">
        <v>259</v>
      </c>
      <c r="C2166" t="s">
        <v>258</v>
      </c>
      <c r="D2166">
        <v>4</v>
      </c>
      <c r="E2166">
        <v>3325.9759999999997</v>
      </c>
      <c r="F2166">
        <f t="shared" si="34"/>
        <v>13303.903999999999</v>
      </c>
    </row>
    <row r="2167" spans="1:6" x14ac:dyDescent="0.2">
      <c r="A2167">
        <v>833</v>
      </c>
      <c r="B2167" t="s">
        <v>257</v>
      </c>
      <c r="C2167" t="s">
        <v>258</v>
      </c>
      <c r="D2167">
        <v>1</v>
      </c>
      <c r="E2167">
        <v>3325.9759999999997</v>
      </c>
      <c r="F2167">
        <f t="shared" si="34"/>
        <v>3325.9759999999997</v>
      </c>
    </row>
    <row r="2168" spans="1:6" x14ac:dyDescent="0.2">
      <c r="A2168">
        <v>833</v>
      </c>
      <c r="B2168" t="s">
        <v>255</v>
      </c>
      <c r="C2168" t="s">
        <v>256</v>
      </c>
      <c r="D2168">
        <v>118</v>
      </c>
      <c r="E2168">
        <v>18546.094615384613</v>
      </c>
      <c r="F2168">
        <f t="shared" si="34"/>
        <v>2188439.1646153843</v>
      </c>
    </row>
    <row r="2169" spans="1:6" x14ac:dyDescent="0.2">
      <c r="A2169">
        <v>833</v>
      </c>
      <c r="B2169" t="s">
        <v>253</v>
      </c>
      <c r="C2169" t="s">
        <v>254</v>
      </c>
      <c r="D2169">
        <v>1</v>
      </c>
      <c r="E2169">
        <v>21043.67953846154</v>
      </c>
      <c r="F2169">
        <f t="shared" si="34"/>
        <v>21043.67953846154</v>
      </c>
    </row>
    <row r="2170" spans="1:6" x14ac:dyDescent="0.2">
      <c r="A2170">
        <v>833</v>
      </c>
      <c r="B2170" t="s">
        <v>359</v>
      </c>
      <c r="C2170" t="s">
        <v>360</v>
      </c>
      <c r="D2170">
        <v>1</v>
      </c>
      <c r="E2170">
        <v>1844.9384615384615</v>
      </c>
      <c r="F2170">
        <f t="shared" si="34"/>
        <v>1844.9384615384615</v>
      </c>
    </row>
    <row r="2171" spans="1:6" x14ac:dyDescent="0.2">
      <c r="A2171">
        <v>833</v>
      </c>
      <c r="B2171" t="s">
        <v>389</v>
      </c>
      <c r="C2171" t="s">
        <v>390</v>
      </c>
      <c r="D2171">
        <v>1</v>
      </c>
      <c r="E2171">
        <v>4906</v>
      </c>
      <c r="F2171">
        <f t="shared" si="34"/>
        <v>4906</v>
      </c>
    </row>
    <row r="2172" spans="1:6" x14ac:dyDescent="0.2">
      <c r="A2172">
        <v>834</v>
      </c>
      <c r="B2172" t="s">
        <v>62</v>
      </c>
      <c r="C2172" t="s">
        <v>63</v>
      </c>
      <c r="D2172">
        <v>1</v>
      </c>
      <c r="E2172">
        <v>0.34860000000000002</v>
      </c>
      <c r="F2172">
        <f t="shared" si="34"/>
        <v>0.34860000000000002</v>
      </c>
    </row>
    <row r="2173" spans="1:6" x14ac:dyDescent="0.2">
      <c r="A2173">
        <v>834</v>
      </c>
      <c r="B2173" t="s">
        <v>64</v>
      </c>
      <c r="C2173" t="s">
        <v>65</v>
      </c>
      <c r="D2173">
        <v>2</v>
      </c>
      <c r="E2173">
        <v>803.07692307692309</v>
      </c>
      <c r="F2173">
        <f t="shared" si="34"/>
        <v>1606.1538461538462</v>
      </c>
    </row>
    <row r="2174" spans="1:6" x14ac:dyDescent="0.2">
      <c r="A2174">
        <v>834</v>
      </c>
      <c r="B2174" t="s">
        <v>67</v>
      </c>
      <c r="C2174" t="s">
        <v>68</v>
      </c>
      <c r="D2174">
        <v>3</v>
      </c>
      <c r="E2174">
        <v>49.678567679999993</v>
      </c>
      <c r="F2174">
        <f t="shared" si="34"/>
        <v>149.03570303999999</v>
      </c>
    </row>
    <row r="2175" spans="1:6" x14ac:dyDescent="0.2">
      <c r="A2175">
        <v>834</v>
      </c>
      <c r="B2175" t="s">
        <v>70</v>
      </c>
      <c r="C2175" t="s">
        <v>71</v>
      </c>
      <c r="D2175">
        <v>6</v>
      </c>
      <c r="E2175">
        <v>407.98649999999998</v>
      </c>
      <c r="F2175">
        <f t="shared" si="34"/>
        <v>2447.9189999999999</v>
      </c>
    </row>
    <row r="2176" spans="1:6" x14ac:dyDescent="0.2">
      <c r="A2176">
        <v>834</v>
      </c>
      <c r="B2176" t="s">
        <v>73</v>
      </c>
      <c r="C2176" t="s">
        <v>74</v>
      </c>
      <c r="D2176">
        <v>6</v>
      </c>
      <c r="E2176">
        <v>0.57783935999999991</v>
      </c>
      <c r="F2176">
        <f t="shared" si="34"/>
        <v>3.4670361599999993</v>
      </c>
    </row>
    <row r="2177" spans="1:6" x14ac:dyDescent="0.2">
      <c r="A2177">
        <v>834</v>
      </c>
      <c r="B2177" t="s">
        <v>75</v>
      </c>
      <c r="C2177" t="s">
        <v>76</v>
      </c>
      <c r="D2177">
        <v>1</v>
      </c>
      <c r="E2177">
        <v>0.1153846153846154</v>
      </c>
      <c r="F2177">
        <f t="shared" si="34"/>
        <v>0.1153846153846154</v>
      </c>
    </row>
    <row r="2178" spans="1:6" x14ac:dyDescent="0.2">
      <c r="A2178">
        <v>834</v>
      </c>
      <c r="B2178" t="s">
        <v>77</v>
      </c>
      <c r="C2178" t="s">
        <v>74</v>
      </c>
      <c r="D2178">
        <v>3</v>
      </c>
      <c r="E2178">
        <v>1.3943999999999999</v>
      </c>
      <c r="F2178">
        <f t="shared" si="34"/>
        <v>4.1831999999999994</v>
      </c>
    </row>
    <row r="2179" spans="1:6" x14ac:dyDescent="0.2">
      <c r="A2179">
        <v>834</v>
      </c>
      <c r="B2179" t="s">
        <v>78</v>
      </c>
      <c r="C2179" t="s">
        <v>76</v>
      </c>
      <c r="D2179">
        <v>1</v>
      </c>
      <c r="E2179">
        <v>0.71839487999999996</v>
      </c>
      <c r="F2179">
        <f t="shared" si="34"/>
        <v>0.71839487999999996</v>
      </c>
    </row>
    <row r="2180" spans="1:6" x14ac:dyDescent="0.2">
      <c r="A2180">
        <v>834</v>
      </c>
      <c r="B2180" t="s">
        <v>79</v>
      </c>
      <c r="C2180" t="s">
        <v>74</v>
      </c>
      <c r="D2180">
        <v>1</v>
      </c>
      <c r="E2180">
        <v>1.9307692307692308</v>
      </c>
      <c r="F2180">
        <f t="shared" si="34"/>
        <v>1.9307692307692308</v>
      </c>
    </row>
    <row r="2181" spans="1:6" x14ac:dyDescent="0.2">
      <c r="A2181">
        <v>834</v>
      </c>
      <c r="B2181" t="s">
        <v>80</v>
      </c>
      <c r="C2181" t="s">
        <v>74</v>
      </c>
      <c r="D2181">
        <v>3</v>
      </c>
      <c r="E2181">
        <v>0.9544999999999999</v>
      </c>
      <c r="F2181">
        <f t="shared" si="34"/>
        <v>2.8634999999999997</v>
      </c>
    </row>
    <row r="2182" spans="1:6" x14ac:dyDescent="0.2">
      <c r="A2182">
        <v>834</v>
      </c>
      <c r="B2182" t="s">
        <v>81</v>
      </c>
      <c r="C2182" t="s">
        <v>74</v>
      </c>
      <c r="D2182">
        <v>2</v>
      </c>
      <c r="E2182">
        <v>0.76359999999999995</v>
      </c>
      <c r="F2182">
        <f t="shared" si="34"/>
        <v>1.5271999999999999</v>
      </c>
    </row>
    <row r="2183" spans="1:6" x14ac:dyDescent="0.2">
      <c r="A2183">
        <v>834</v>
      </c>
      <c r="B2183" t="s">
        <v>82</v>
      </c>
      <c r="C2183" t="s">
        <v>83</v>
      </c>
      <c r="D2183">
        <v>1</v>
      </c>
      <c r="E2183">
        <v>20.351599999999998</v>
      </c>
      <c r="F2183">
        <f t="shared" si="34"/>
        <v>20.351599999999998</v>
      </c>
    </row>
    <row r="2184" spans="1:6" x14ac:dyDescent="0.2">
      <c r="A2184">
        <v>834</v>
      </c>
      <c r="B2184" t="s">
        <v>84</v>
      </c>
      <c r="C2184" t="s">
        <v>85</v>
      </c>
      <c r="D2184">
        <v>5</v>
      </c>
      <c r="E2184">
        <v>102.33222719999999</v>
      </c>
      <c r="F2184">
        <f t="shared" si="34"/>
        <v>511.66113599999994</v>
      </c>
    </row>
    <row r="2185" spans="1:6" x14ac:dyDescent="0.2">
      <c r="A2185">
        <v>834</v>
      </c>
      <c r="B2185" t="s">
        <v>86</v>
      </c>
      <c r="C2185" t="s">
        <v>85</v>
      </c>
      <c r="D2185">
        <v>1</v>
      </c>
      <c r="E2185">
        <v>144.26462399999997</v>
      </c>
      <c r="F2185">
        <f t="shared" si="34"/>
        <v>144.26462399999997</v>
      </c>
    </row>
    <row r="2186" spans="1:6" x14ac:dyDescent="0.2">
      <c r="A2186">
        <v>834</v>
      </c>
      <c r="B2186" t="s">
        <v>87</v>
      </c>
      <c r="C2186" t="s">
        <v>88</v>
      </c>
      <c r="D2186">
        <v>1</v>
      </c>
      <c r="E2186">
        <v>162.02147135999999</v>
      </c>
      <c r="F2186">
        <f t="shared" si="34"/>
        <v>162.02147135999999</v>
      </c>
    </row>
    <row r="2187" spans="1:6" x14ac:dyDescent="0.2">
      <c r="A2187">
        <v>834</v>
      </c>
      <c r="B2187" t="s">
        <v>89</v>
      </c>
      <c r="C2187" t="s">
        <v>85</v>
      </c>
      <c r="D2187">
        <v>1</v>
      </c>
      <c r="E2187">
        <v>211.01287872</v>
      </c>
      <c r="F2187">
        <f t="shared" si="34"/>
        <v>211.01287872</v>
      </c>
    </row>
    <row r="2188" spans="1:6" x14ac:dyDescent="0.2">
      <c r="A2188">
        <v>834</v>
      </c>
      <c r="B2188" t="s">
        <v>90</v>
      </c>
      <c r="C2188" t="s">
        <v>88</v>
      </c>
      <c r="D2188">
        <v>5</v>
      </c>
      <c r="E2188">
        <v>238.16351999999995</v>
      </c>
      <c r="F2188">
        <f t="shared" si="34"/>
        <v>1190.8175999999999</v>
      </c>
    </row>
    <row r="2189" spans="1:6" x14ac:dyDescent="0.2">
      <c r="A2189">
        <v>834</v>
      </c>
      <c r="B2189" t="s">
        <v>92</v>
      </c>
      <c r="C2189" t="s">
        <v>93</v>
      </c>
      <c r="D2189">
        <v>5</v>
      </c>
      <c r="E2189">
        <v>19.297499999999999</v>
      </c>
      <c r="F2189">
        <f t="shared" si="34"/>
        <v>96.487499999999997</v>
      </c>
    </row>
    <row r="2190" spans="1:6" x14ac:dyDescent="0.2">
      <c r="A2190">
        <v>834</v>
      </c>
      <c r="B2190" t="s">
        <v>94</v>
      </c>
      <c r="C2190" t="s">
        <v>95</v>
      </c>
      <c r="D2190">
        <v>1</v>
      </c>
      <c r="E2190">
        <v>644.46267648000003</v>
      </c>
      <c r="F2190">
        <f t="shared" si="34"/>
        <v>644.46267648000003</v>
      </c>
    </row>
    <row r="2191" spans="1:6" x14ac:dyDescent="0.2">
      <c r="A2191">
        <v>834</v>
      </c>
      <c r="B2191" t="s">
        <v>236</v>
      </c>
      <c r="C2191" t="s">
        <v>237</v>
      </c>
      <c r="D2191">
        <v>1</v>
      </c>
      <c r="E2191">
        <v>132.79999999999998</v>
      </c>
      <c r="F2191">
        <f t="shared" si="34"/>
        <v>132.79999999999998</v>
      </c>
    </row>
    <row r="2192" spans="1:6" x14ac:dyDescent="0.2">
      <c r="A2192">
        <v>834</v>
      </c>
      <c r="B2192" t="s">
        <v>238</v>
      </c>
      <c r="C2192" t="s">
        <v>239</v>
      </c>
      <c r="D2192">
        <v>4</v>
      </c>
      <c r="E2192">
        <v>340.93846153846152</v>
      </c>
      <c r="F2192">
        <f t="shared" si="34"/>
        <v>1363.7538461538461</v>
      </c>
    </row>
    <row r="2193" spans="1:6" x14ac:dyDescent="0.2">
      <c r="A2193">
        <v>834</v>
      </c>
      <c r="B2193" t="s">
        <v>240</v>
      </c>
      <c r="C2193" t="s">
        <v>241</v>
      </c>
      <c r="D2193">
        <v>3</v>
      </c>
      <c r="E2193">
        <v>309.01538461538462</v>
      </c>
      <c r="F2193">
        <f t="shared" si="34"/>
        <v>927.04615384615386</v>
      </c>
    </row>
    <row r="2194" spans="1:6" x14ac:dyDescent="0.2">
      <c r="A2194">
        <v>834</v>
      </c>
      <c r="B2194" t="s">
        <v>242</v>
      </c>
      <c r="C2194" t="s">
        <v>243</v>
      </c>
      <c r="D2194">
        <v>1</v>
      </c>
      <c r="E2194">
        <v>427.76923076923072</v>
      </c>
      <c r="F2194">
        <f t="shared" si="34"/>
        <v>427.76923076923072</v>
      </c>
    </row>
    <row r="2195" spans="1:6" x14ac:dyDescent="0.2">
      <c r="A2195">
        <v>834</v>
      </c>
      <c r="B2195" t="s">
        <v>244</v>
      </c>
      <c r="C2195" t="s">
        <v>184</v>
      </c>
      <c r="D2195">
        <v>3</v>
      </c>
      <c r="E2195">
        <v>18.643076923076922</v>
      </c>
      <c r="F2195">
        <f t="shared" si="34"/>
        <v>55.92923076923077</v>
      </c>
    </row>
    <row r="2196" spans="1:6" x14ac:dyDescent="0.2">
      <c r="A2196">
        <v>834</v>
      </c>
      <c r="B2196" t="s">
        <v>245</v>
      </c>
      <c r="C2196" t="s">
        <v>246</v>
      </c>
      <c r="D2196">
        <v>2</v>
      </c>
      <c r="E2196">
        <v>0.44819999999999999</v>
      </c>
      <c r="F2196">
        <f t="shared" si="34"/>
        <v>0.89639999999999997</v>
      </c>
    </row>
    <row r="2197" spans="1:6" x14ac:dyDescent="0.2">
      <c r="A2197">
        <v>834</v>
      </c>
      <c r="B2197" t="s">
        <v>75</v>
      </c>
      <c r="C2197" t="s">
        <v>247</v>
      </c>
      <c r="D2197">
        <v>4</v>
      </c>
      <c r="E2197">
        <v>0.1153846153846154</v>
      </c>
      <c r="F2197">
        <f t="shared" si="34"/>
        <v>0.46153846153846162</v>
      </c>
    </row>
    <row r="2198" spans="1:6" x14ac:dyDescent="0.2">
      <c r="A2198">
        <v>834</v>
      </c>
      <c r="B2198" t="s">
        <v>197</v>
      </c>
      <c r="C2198" t="s">
        <v>117</v>
      </c>
      <c r="D2198">
        <v>1</v>
      </c>
      <c r="E2198">
        <v>7.4699999999999989E-2</v>
      </c>
      <c r="F2198">
        <f t="shared" si="34"/>
        <v>7.4699999999999989E-2</v>
      </c>
    </row>
    <row r="2199" spans="1:6" x14ac:dyDescent="0.2">
      <c r="A2199">
        <v>834</v>
      </c>
      <c r="B2199" t="s">
        <v>248</v>
      </c>
      <c r="C2199" t="s">
        <v>249</v>
      </c>
      <c r="D2199">
        <v>118</v>
      </c>
      <c r="E2199">
        <v>31064.984615384612</v>
      </c>
      <c r="F2199">
        <f t="shared" si="34"/>
        <v>3665668.1846153843</v>
      </c>
    </row>
    <row r="2200" spans="1:6" x14ac:dyDescent="0.2">
      <c r="A2200">
        <v>834</v>
      </c>
      <c r="B2200" t="s">
        <v>250</v>
      </c>
      <c r="C2200" t="s">
        <v>251</v>
      </c>
      <c r="D2200">
        <v>1</v>
      </c>
      <c r="E2200">
        <v>564.54124607999995</v>
      </c>
      <c r="F2200">
        <f t="shared" si="34"/>
        <v>564.54124607999995</v>
      </c>
    </row>
    <row r="2201" spans="1:6" x14ac:dyDescent="0.2">
      <c r="A2201">
        <v>834</v>
      </c>
      <c r="B2201" t="s">
        <v>146</v>
      </c>
      <c r="C2201" t="s">
        <v>147</v>
      </c>
      <c r="D2201">
        <v>1</v>
      </c>
      <c r="E2201">
        <v>8021.5764999999992</v>
      </c>
      <c r="F2201">
        <f t="shared" si="34"/>
        <v>8021.5764999999992</v>
      </c>
    </row>
    <row r="2202" spans="1:6" x14ac:dyDescent="0.2">
      <c r="A2202">
        <v>834</v>
      </c>
      <c r="B2202" t="s">
        <v>215</v>
      </c>
      <c r="C2202" t="s">
        <v>208</v>
      </c>
      <c r="D2202">
        <v>3</v>
      </c>
      <c r="E2202">
        <v>1.42898112</v>
      </c>
      <c r="F2202">
        <f t="shared" si="34"/>
        <v>4.2869433600000004</v>
      </c>
    </row>
    <row r="2203" spans="1:6" x14ac:dyDescent="0.2">
      <c r="A2203">
        <v>834</v>
      </c>
      <c r="B2203" t="s">
        <v>200</v>
      </c>
      <c r="C2203" t="s">
        <v>199</v>
      </c>
      <c r="D2203">
        <v>1</v>
      </c>
      <c r="E2203">
        <v>0.66373439999999995</v>
      </c>
      <c r="F2203">
        <f t="shared" si="34"/>
        <v>0.66373439999999995</v>
      </c>
    </row>
    <row r="2204" spans="1:6" x14ac:dyDescent="0.2">
      <c r="A2204">
        <v>834</v>
      </c>
      <c r="B2204" t="s">
        <v>216</v>
      </c>
      <c r="C2204" t="s">
        <v>199</v>
      </c>
      <c r="D2204">
        <v>2</v>
      </c>
      <c r="E2204">
        <v>0.66400000000000003</v>
      </c>
      <c r="F2204">
        <f t="shared" si="34"/>
        <v>1.3280000000000001</v>
      </c>
    </row>
    <row r="2205" spans="1:6" x14ac:dyDescent="0.2">
      <c r="A2205">
        <v>834</v>
      </c>
      <c r="B2205" t="s">
        <v>217</v>
      </c>
      <c r="C2205" t="s">
        <v>199</v>
      </c>
      <c r="D2205">
        <v>3</v>
      </c>
      <c r="E2205">
        <v>4.2164000000000001</v>
      </c>
      <c r="F2205">
        <f t="shared" si="34"/>
        <v>12.6492</v>
      </c>
    </row>
    <row r="2206" spans="1:6" x14ac:dyDescent="0.2">
      <c r="A2206">
        <v>834</v>
      </c>
      <c r="B2206" t="s">
        <v>218</v>
      </c>
      <c r="C2206" t="s">
        <v>208</v>
      </c>
      <c r="D2206">
        <v>6</v>
      </c>
      <c r="E2206">
        <v>7.3454999999999995</v>
      </c>
      <c r="F2206">
        <f t="shared" si="34"/>
        <v>44.072999999999993</v>
      </c>
    </row>
    <row r="2207" spans="1:6" x14ac:dyDescent="0.2">
      <c r="A2207">
        <v>834</v>
      </c>
      <c r="B2207" t="s">
        <v>219</v>
      </c>
      <c r="C2207" t="s">
        <v>199</v>
      </c>
      <c r="D2207">
        <v>6</v>
      </c>
      <c r="E2207">
        <v>1.4774</v>
      </c>
      <c r="F2207">
        <f t="shared" si="34"/>
        <v>8.8643999999999998</v>
      </c>
    </row>
    <row r="2208" spans="1:6" x14ac:dyDescent="0.2">
      <c r="A2208">
        <v>834</v>
      </c>
      <c r="B2208" t="s">
        <v>220</v>
      </c>
      <c r="C2208" t="s">
        <v>208</v>
      </c>
      <c r="D2208">
        <v>1</v>
      </c>
      <c r="E2208">
        <v>3.7267000000000001</v>
      </c>
      <c r="F2208">
        <f t="shared" si="34"/>
        <v>3.7267000000000001</v>
      </c>
    </row>
    <row r="2209" spans="1:6" x14ac:dyDescent="0.2">
      <c r="A2209">
        <v>834</v>
      </c>
      <c r="B2209" t="s">
        <v>221</v>
      </c>
      <c r="C2209" t="s">
        <v>199</v>
      </c>
      <c r="D2209">
        <v>6</v>
      </c>
      <c r="E2209">
        <v>0.97939999999999994</v>
      </c>
      <c r="F2209">
        <f t="shared" si="34"/>
        <v>5.8763999999999994</v>
      </c>
    </row>
    <row r="2210" spans="1:6" x14ac:dyDescent="0.2">
      <c r="A2210">
        <v>834</v>
      </c>
      <c r="B2210" t="s">
        <v>222</v>
      </c>
      <c r="C2210" t="s">
        <v>208</v>
      </c>
      <c r="D2210">
        <v>2</v>
      </c>
      <c r="E2210">
        <v>6.0672999999999995</v>
      </c>
      <c r="F2210">
        <f t="shared" si="34"/>
        <v>12.134599999999999</v>
      </c>
    </row>
    <row r="2211" spans="1:6" x14ac:dyDescent="0.2">
      <c r="A2211">
        <v>834</v>
      </c>
      <c r="B2211" t="s">
        <v>223</v>
      </c>
      <c r="C2211" t="s">
        <v>224</v>
      </c>
      <c r="D2211">
        <v>1</v>
      </c>
      <c r="E2211">
        <v>19.4635</v>
      </c>
      <c r="F2211">
        <f t="shared" si="34"/>
        <v>19.4635</v>
      </c>
    </row>
    <row r="2212" spans="1:6" x14ac:dyDescent="0.2">
      <c r="A2212">
        <v>834</v>
      </c>
      <c r="B2212" t="s">
        <v>225</v>
      </c>
      <c r="C2212" t="s">
        <v>226</v>
      </c>
      <c r="D2212">
        <v>5</v>
      </c>
      <c r="E2212">
        <v>10.221509759999998</v>
      </c>
      <c r="F2212">
        <f t="shared" si="34"/>
        <v>51.107548799999989</v>
      </c>
    </row>
    <row r="2213" spans="1:6" x14ac:dyDescent="0.2">
      <c r="A2213">
        <v>834</v>
      </c>
      <c r="B2213" t="s">
        <v>227</v>
      </c>
      <c r="C2213" t="s">
        <v>208</v>
      </c>
      <c r="D2213">
        <v>1</v>
      </c>
      <c r="E2213">
        <v>3.6307692307692312</v>
      </c>
      <c r="F2213">
        <f t="shared" ref="F2213:F2276" si="35">D2213*E2213</f>
        <v>3.6307692307692312</v>
      </c>
    </row>
    <row r="2214" spans="1:6" x14ac:dyDescent="0.2">
      <c r="A2214">
        <v>834</v>
      </c>
      <c r="B2214" t="s">
        <v>228</v>
      </c>
      <c r="C2214" t="s">
        <v>229</v>
      </c>
      <c r="D2214">
        <v>1</v>
      </c>
      <c r="E2214">
        <v>306.94982975999994</v>
      </c>
      <c r="F2214">
        <f t="shared" si="35"/>
        <v>306.94982975999994</v>
      </c>
    </row>
    <row r="2215" spans="1:6" x14ac:dyDescent="0.2">
      <c r="A2215">
        <v>834</v>
      </c>
      <c r="B2215" t="s">
        <v>116</v>
      </c>
      <c r="C2215" t="s">
        <v>117</v>
      </c>
      <c r="D2215">
        <v>1</v>
      </c>
      <c r="E2215">
        <v>0.25729999999999997</v>
      </c>
      <c r="F2215">
        <f t="shared" si="35"/>
        <v>0.25729999999999997</v>
      </c>
    </row>
    <row r="2216" spans="1:6" x14ac:dyDescent="0.2">
      <c r="A2216">
        <v>834</v>
      </c>
      <c r="B2216" t="s">
        <v>78</v>
      </c>
      <c r="C2216" t="s">
        <v>76</v>
      </c>
      <c r="D2216">
        <v>5</v>
      </c>
      <c r="E2216">
        <v>0.71839487999999996</v>
      </c>
      <c r="F2216">
        <f t="shared" si="35"/>
        <v>3.5919743999999998</v>
      </c>
    </row>
    <row r="2217" spans="1:6" x14ac:dyDescent="0.2">
      <c r="A2217">
        <v>834</v>
      </c>
      <c r="B2217" t="s">
        <v>231</v>
      </c>
      <c r="C2217" t="s">
        <v>208</v>
      </c>
      <c r="D2217">
        <v>5</v>
      </c>
      <c r="E2217">
        <v>2.0832999999999999</v>
      </c>
      <c r="F2217">
        <f t="shared" si="35"/>
        <v>10.416499999999999</v>
      </c>
    </row>
    <row r="2218" spans="1:6" x14ac:dyDescent="0.2">
      <c r="A2218">
        <v>834</v>
      </c>
      <c r="B2218" t="s">
        <v>232</v>
      </c>
      <c r="C2218" t="s">
        <v>119</v>
      </c>
      <c r="D2218">
        <v>1</v>
      </c>
      <c r="E2218">
        <v>1.5935999999999999</v>
      </c>
      <c r="F2218">
        <f t="shared" si="35"/>
        <v>1.5935999999999999</v>
      </c>
    </row>
    <row r="2219" spans="1:6" x14ac:dyDescent="0.2">
      <c r="A2219">
        <v>834</v>
      </c>
      <c r="B2219" t="s">
        <v>233</v>
      </c>
      <c r="C2219" t="s">
        <v>234</v>
      </c>
      <c r="D2219">
        <v>1</v>
      </c>
      <c r="E2219">
        <v>3989.2954</v>
      </c>
      <c r="F2219">
        <f t="shared" si="35"/>
        <v>3989.2954</v>
      </c>
    </row>
    <row r="2220" spans="1:6" x14ac:dyDescent="0.2">
      <c r="A2220">
        <v>834</v>
      </c>
      <c r="B2220" t="s">
        <v>142</v>
      </c>
      <c r="C2220" t="s">
        <v>143</v>
      </c>
      <c r="D2220">
        <v>4</v>
      </c>
      <c r="E2220">
        <v>18141.642</v>
      </c>
      <c r="F2220">
        <f t="shared" si="35"/>
        <v>72566.567999999999</v>
      </c>
    </row>
    <row r="2221" spans="1:6" x14ac:dyDescent="0.2">
      <c r="A2221">
        <v>834</v>
      </c>
      <c r="B2221" t="s">
        <v>144</v>
      </c>
      <c r="C2221" t="s">
        <v>145</v>
      </c>
      <c r="D2221">
        <v>3</v>
      </c>
      <c r="E2221">
        <v>7346.6769230769241</v>
      </c>
      <c r="F2221">
        <f t="shared" si="35"/>
        <v>22040.030769230772</v>
      </c>
    </row>
    <row r="2222" spans="1:6" x14ac:dyDescent="0.2">
      <c r="A2222">
        <v>834</v>
      </c>
      <c r="B2222" t="s">
        <v>197</v>
      </c>
      <c r="C2222" t="s">
        <v>117</v>
      </c>
      <c r="D2222">
        <v>1</v>
      </c>
      <c r="E2222">
        <v>7.4699999999999989E-2</v>
      </c>
      <c r="F2222">
        <f t="shared" si="35"/>
        <v>7.4699999999999989E-2</v>
      </c>
    </row>
    <row r="2223" spans="1:6" x14ac:dyDescent="0.2">
      <c r="A2223">
        <v>834</v>
      </c>
      <c r="B2223" t="s">
        <v>198</v>
      </c>
      <c r="C2223" t="s">
        <v>199</v>
      </c>
      <c r="D2223">
        <v>3</v>
      </c>
      <c r="E2223">
        <v>0.66373439999999995</v>
      </c>
      <c r="F2223">
        <f t="shared" si="35"/>
        <v>1.9912031999999997</v>
      </c>
    </row>
    <row r="2224" spans="1:6" x14ac:dyDescent="0.2">
      <c r="A2224">
        <v>834</v>
      </c>
      <c r="B2224" t="s">
        <v>200</v>
      </c>
      <c r="C2224" t="s">
        <v>199</v>
      </c>
      <c r="D2224">
        <v>2</v>
      </c>
      <c r="E2224">
        <v>0.66373439999999995</v>
      </c>
      <c r="F2224">
        <f t="shared" si="35"/>
        <v>1.3274687999999999</v>
      </c>
    </row>
    <row r="2225" spans="1:6" x14ac:dyDescent="0.2">
      <c r="A2225">
        <v>834</v>
      </c>
      <c r="B2225" t="s">
        <v>201</v>
      </c>
      <c r="C2225" t="s">
        <v>76</v>
      </c>
      <c r="D2225">
        <v>4</v>
      </c>
      <c r="E2225">
        <v>0.22645055999999994</v>
      </c>
      <c r="F2225">
        <f t="shared" si="35"/>
        <v>0.90580223999999976</v>
      </c>
    </row>
    <row r="2226" spans="1:6" x14ac:dyDescent="0.2">
      <c r="A2226">
        <v>834</v>
      </c>
      <c r="B2226" t="s">
        <v>202</v>
      </c>
      <c r="C2226" t="s">
        <v>203</v>
      </c>
      <c r="D2226">
        <v>1</v>
      </c>
      <c r="E2226">
        <v>12.45</v>
      </c>
      <c r="F2226">
        <f t="shared" si="35"/>
        <v>12.45</v>
      </c>
    </row>
    <row r="2227" spans="1:6" x14ac:dyDescent="0.2">
      <c r="A2227">
        <v>834</v>
      </c>
      <c r="B2227" t="s">
        <v>204</v>
      </c>
      <c r="C2227" t="s">
        <v>205</v>
      </c>
      <c r="D2227">
        <v>118</v>
      </c>
      <c r="E2227">
        <v>103.72216512</v>
      </c>
      <c r="F2227">
        <f t="shared" si="35"/>
        <v>12239.21548416</v>
      </c>
    </row>
    <row r="2228" spans="1:6" x14ac:dyDescent="0.2">
      <c r="A2228">
        <v>834</v>
      </c>
      <c r="B2228" t="s">
        <v>116</v>
      </c>
      <c r="C2228" t="s">
        <v>117</v>
      </c>
      <c r="D2228">
        <v>1</v>
      </c>
      <c r="E2228">
        <v>0.25729999999999997</v>
      </c>
      <c r="F2228">
        <f t="shared" si="35"/>
        <v>0.25729999999999997</v>
      </c>
    </row>
    <row r="2229" spans="1:6" x14ac:dyDescent="0.2">
      <c r="A2229">
        <v>834</v>
      </c>
      <c r="B2229" t="s">
        <v>78</v>
      </c>
      <c r="C2229" t="s">
        <v>76</v>
      </c>
      <c r="D2229">
        <v>1</v>
      </c>
      <c r="E2229">
        <v>0.71839487999999996</v>
      </c>
      <c r="F2229">
        <f t="shared" si="35"/>
        <v>0.71839487999999996</v>
      </c>
    </row>
    <row r="2230" spans="1:6" x14ac:dyDescent="0.2">
      <c r="A2230">
        <v>834</v>
      </c>
      <c r="B2230" t="s">
        <v>207</v>
      </c>
      <c r="C2230" t="s">
        <v>208</v>
      </c>
      <c r="D2230">
        <v>3</v>
      </c>
      <c r="E2230">
        <v>4.6314000000000002</v>
      </c>
      <c r="F2230">
        <f t="shared" si="35"/>
        <v>13.894200000000001</v>
      </c>
    </row>
    <row r="2231" spans="1:6" x14ac:dyDescent="0.2">
      <c r="A2231">
        <v>834</v>
      </c>
      <c r="B2231" t="s">
        <v>209</v>
      </c>
      <c r="C2231" t="s">
        <v>210</v>
      </c>
      <c r="D2231">
        <v>1</v>
      </c>
      <c r="E2231">
        <v>39.550761599999994</v>
      </c>
      <c r="F2231">
        <f t="shared" si="35"/>
        <v>39.550761599999994</v>
      </c>
    </row>
    <row r="2232" spans="1:6" x14ac:dyDescent="0.2">
      <c r="A2232">
        <v>834</v>
      </c>
      <c r="B2232" t="s">
        <v>211</v>
      </c>
      <c r="C2232" t="s">
        <v>203</v>
      </c>
      <c r="D2232">
        <v>2</v>
      </c>
      <c r="E2232">
        <v>25.754899999999999</v>
      </c>
      <c r="F2232">
        <f t="shared" si="35"/>
        <v>51.509799999999998</v>
      </c>
    </row>
    <row r="2233" spans="1:6" x14ac:dyDescent="0.2">
      <c r="A2233">
        <v>834</v>
      </c>
      <c r="B2233" t="s">
        <v>212</v>
      </c>
      <c r="C2233" t="s">
        <v>213</v>
      </c>
      <c r="D2233">
        <v>3</v>
      </c>
      <c r="E2233">
        <v>272.92059999999998</v>
      </c>
      <c r="F2233">
        <f t="shared" si="35"/>
        <v>818.76179999999999</v>
      </c>
    </row>
    <row r="2234" spans="1:6" x14ac:dyDescent="0.2">
      <c r="A2234">
        <v>834</v>
      </c>
      <c r="B2234" t="s">
        <v>149</v>
      </c>
      <c r="C2234" t="s">
        <v>150</v>
      </c>
      <c r="D2234">
        <v>6</v>
      </c>
      <c r="E2234">
        <v>0.7054999999999999</v>
      </c>
      <c r="F2234">
        <f t="shared" si="35"/>
        <v>4.2329999999999997</v>
      </c>
    </row>
    <row r="2235" spans="1:6" x14ac:dyDescent="0.2">
      <c r="A2235">
        <v>834</v>
      </c>
      <c r="B2235" t="s">
        <v>151</v>
      </c>
      <c r="C2235" t="s">
        <v>152</v>
      </c>
      <c r="D2235">
        <v>6</v>
      </c>
      <c r="E2235">
        <v>5.6190999999999995</v>
      </c>
      <c r="F2235">
        <f t="shared" si="35"/>
        <v>33.714599999999997</v>
      </c>
    </row>
    <row r="2236" spans="1:6" x14ac:dyDescent="0.2">
      <c r="A2236">
        <v>834</v>
      </c>
      <c r="B2236" t="s">
        <v>153</v>
      </c>
      <c r="C2236" t="s">
        <v>119</v>
      </c>
      <c r="D2236">
        <v>1</v>
      </c>
      <c r="E2236">
        <v>1.11663552</v>
      </c>
      <c r="F2236">
        <f t="shared" si="35"/>
        <v>1.11663552</v>
      </c>
    </row>
    <row r="2237" spans="1:6" x14ac:dyDescent="0.2">
      <c r="A2237">
        <v>834</v>
      </c>
      <c r="B2237" t="s">
        <v>154</v>
      </c>
      <c r="C2237" t="s">
        <v>117</v>
      </c>
      <c r="D2237">
        <v>3</v>
      </c>
      <c r="E2237">
        <v>4.3657999999999992</v>
      </c>
      <c r="F2237">
        <f t="shared" si="35"/>
        <v>13.097399999999997</v>
      </c>
    </row>
    <row r="2238" spans="1:6" x14ac:dyDescent="0.2">
      <c r="A2238">
        <v>834</v>
      </c>
      <c r="B2238" t="s">
        <v>155</v>
      </c>
      <c r="C2238" t="s">
        <v>156</v>
      </c>
      <c r="D2238">
        <v>1</v>
      </c>
      <c r="E2238">
        <v>28.551999999999996</v>
      </c>
      <c r="F2238">
        <f t="shared" si="35"/>
        <v>28.551999999999996</v>
      </c>
    </row>
    <row r="2239" spans="1:6" x14ac:dyDescent="0.2">
      <c r="A2239">
        <v>834</v>
      </c>
      <c r="B2239" t="s">
        <v>157</v>
      </c>
      <c r="C2239" t="s">
        <v>158</v>
      </c>
      <c r="D2239">
        <v>1</v>
      </c>
      <c r="E2239">
        <v>29.456700000000001</v>
      </c>
      <c r="F2239">
        <f t="shared" si="35"/>
        <v>29.456700000000001</v>
      </c>
    </row>
    <row r="2240" spans="1:6" x14ac:dyDescent="0.2">
      <c r="A2240">
        <v>834</v>
      </c>
      <c r="B2240" t="s">
        <v>159</v>
      </c>
      <c r="C2240" t="s">
        <v>117</v>
      </c>
      <c r="D2240">
        <v>3</v>
      </c>
      <c r="E2240">
        <v>11.976899999999999</v>
      </c>
      <c r="F2240">
        <f t="shared" si="35"/>
        <v>35.930699999999995</v>
      </c>
    </row>
    <row r="2241" spans="1:6" x14ac:dyDescent="0.2">
      <c r="A2241">
        <v>834</v>
      </c>
      <c r="B2241" t="s">
        <v>116</v>
      </c>
      <c r="C2241" t="s">
        <v>117</v>
      </c>
      <c r="D2241">
        <v>2</v>
      </c>
      <c r="E2241">
        <v>0.25729999999999997</v>
      </c>
      <c r="F2241">
        <f t="shared" si="35"/>
        <v>0.51459999999999995</v>
      </c>
    </row>
    <row r="2242" spans="1:6" x14ac:dyDescent="0.2">
      <c r="A2242">
        <v>834</v>
      </c>
      <c r="B2242" t="s">
        <v>160</v>
      </c>
      <c r="C2242" t="s">
        <v>161</v>
      </c>
      <c r="D2242">
        <v>1</v>
      </c>
      <c r="E2242">
        <v>15.9194</v>
      </c>
      <c r="F2242">
        <f t="shared" si="35"/>
        <v>15.9194</v>
      </c>
    </row>
    <row r="2243" spans="1:6" x14ac:dyDescent="0.2">
      <c r="A2243">
        <v>834</v>
      </c>
      <c r="B2243" t="s">
        <v>162</v>
      </c>
      <c r="C2243" t="s">
        <v>163</v>
      </c>
      <c r="D2243">
        <v>5</v>
      </c>
      <c r="E2243">
        <v>62.822699999999998</v>
      </c>
      <c r="F2243">
        <f t="shared" si="35"/>
        <v>314.11349999999999</v>
      </c>
    </row>
    <row r="2244" spans="1:6" x14ac:dyDescent="0.2">
      <c r="A2244">
        <v>834</v>
      </c>
      <c r="B2244" t="s">
        <v>164</v>
      </c>
      <c r="C2244" t="s">
        <v>165</v>
      </c>
      <c r="D2244">
        <v>1</v>
      </c>
      <c r="E2244">
        <v>29.381999999999998</v>
      </c>
      <c r="F2244">
        <f t="shared" si="35"/>
        <v>29.381999999999998</v>
      </c>
    </row>
    <row r="2245" spans="1:6" x14ac:dyDescent="0.2">
      <c r="A2245">
        <v>834</v>
      </c>
      <c r="B2245" t="s">
        <v>166</v>
      </c>
      <c r="C2245" t="s">
        <v>76</v>
      </c>
      <c r="D2245">
        <v>1</v>
      </c>
      <c r="E2245">
        <v>0.97109999999999985</v>
      </c>
      <c r="F2245">
        <f t="shared" si="35"/>
        <v>0.97109999999999985</v>
      </c>
    </row>
    <row r="2246" spans="1:6" x14ac:dyDescent="0.2">
      <c r="A2246">
        <v>834</v>
      </c>
      <c r="B2246" t="s">
        <v>167</v>
      </c>
      <c r="C2246" t="s">
        <v>168</v>
      </c>
      <c r="D2246">
        <v>1</v>
      </c>
      <c r="E2246">
        <v>68.201099999999997</v>
      </c>
      <c r="F2246">
        <f t="shared" si="35"/>
        <v>68.201099999999997</v>
      </c>
    </row>
    <row r="2247" spans="1:6" x14ac:dyDescent="0.2">
      <c r="A2247">
        <v>834</v>
      </c>
      <c r="B2247" t="s">
        <v>169</v>
      </c>
      <c r="C2247" t="s">
        <v>119</v>
      </c>
      <c r="D2247">
        <v>5</v>
      </c>
      <c r="E2247">
        <v>26.078600000000002</v>
      </c>
      <c r="F2247">
        <f t="shared" si="35"/>
        <v>130.393</v>
      </c>
    </row>
    <row r="2248" spans="1:6" x14ac:dyDescent="0.2">
      <c r="A2248">
        <v>834</v>
      </c>
      <c r="B2248" t="s">
        <v>170</v>
      </c>
      <c r="C2248" t="s">
        <v>171</v>
      </c>
      <c r="D2248">
        <v>5</v>
      </c>
      <c r="E2248">
        <v>15.438000000000001</v>
      </c>
      <c r="F2248">
        <f t="shared" si="35"/>
        <v>77.19</v>
      </c>
    </row>
    <row r="2249" spans="1:6" x14ac:dyDescent="0.2">
      <c r="A2249">
        <v>834</v>
      </c>
      <c r="B2249" t="s">
        <v>172</v>
      </c>
      <c r="C2249" t="s">
        <v>173</v>
      </c>
      <c r="D2249">
        <v>1</v>
      </c>
      <c r="E2249">
        <v>158.41380000000001</v>
      </c>
      <c r="F2249">
        <f t="shared" si="35"/>
        <v>158.41380000000001</v>
      </c>
    </row>
    <row r="2250" spans="1:6" x14ac:dyDescent="0.2">
      <c r="A2250">
        <v>834</v>
      </c>
      <c r="B2250" t="s">
        <v>174</v>
      </c>
      <c r="C2250" t="s">
        <v>119</v>
      </c>
      <c r="D2250">
        <v>1</v>
      </c>
      <c r="E2250">
        <v>1.2616000000000001</v>
      </c>
      <c r="F2250">
        <f t="shared" si="35"/>
        <v>1.2616000000000001</v>
      </c>
    </row>
    <row r="2251" spans="1:6" x14ac:dyDescent="0.2">
      <c r="A2251">
        <v>834</v>
      </c>
      <c r="B2251" t="s">
        <v>175</v>
      </c>
      <c r="C2251" t="s">
        <v>176</v>
      </c>
      <c r="D2251">
        <v>4</v>
      </c>
      <c r="E2251">
        <v>194.7595</v>
      </c>
      <c r="F2251">
        <f t="shared" si="35"/>
        <v>779.03800000000001</v>
      </c>
    </row>
    <row r="2252" spans="1:6" x14ac:dyDescent="0.2">
      <c r="A2252">
        <v>834</v>
      </c>
      <c r="B2252" t="s">
        <v>177</v>
      </c>
      <c r="C2252" t="s">
        <v>178</v>
      </c>
      <c r="D2252">
        <v>3</v>
      </c>
      <c r="E2252">
        <v>1660.6244256000002</v>
      </c>
      <c r="F2252">
        <f t="shared" si="35"/>
        <v>4981.8732768000009</v>
      </c>
    </row>
    <row r="2253" spans="1:6" x14ac:dyDescent="0.2">
      <c r="A2253">
        <v>834</v>
      </c>
      <c r="B2253" t="s">
        <v>179</v>
      </c>
      <c r="C2253" t="s">
        <v>119</v>
      </c>
      <c r="D2253">
        <v>1</v>
      </c>
      <c r="E2253">
        <v>32.444700000000005</v>
      </c>
      <c r="F2253">
        <f t="shared" si="35"/>
        <v>32.444700000000005</v>
      </c>
    </row>
    <row r="2254" spans="1:6" x14ac:dyDescent="0.2">
      <c r="A2254">
        <v>834</v>
      </c>
      <c r="B2254" t="s">
        <v>180</v>
      </c>
      <c r="C2254" t="s">
        <v>181</v>
      </c>
      <c r="D2254">
        <v>3</v>
      </c>
      <c r="E2254">
        <v>64.117499999999993</v>
      </c>
      <c r="F2254">
        <f t="shared" si="35"/>
        <v>192.35249999999996</v>
      </c>
    </row>
    <row r="2255" spans="1:6" x14ac:dyDescent="0.2">
      <c r="A2255">
        <v>834</v>
      </c>
      <c r="B2255" t="s">
        <v>182</v>
      </c>
      <c r="C2255" t="s">
        <v>158</v>
      </c>
      <c r="D2255">
        <v>2</v>
      </c>
      <c r="E2255">
        <v>80.788189439999996</v>
      </c>
      <c r="F2255">
        <f t="shared" si="35"/>
        <v>161.57637887999999</v>
      </c>
    </row>
    <row r="2256" spans="1:6" x14ac:dyDescent="0.2">
      <c r="A2256">
        <v>834</v>
      </c>
      <c r="B2256" t="s">
        <v>183</v>
      </c>
      <c r="C2256" t="s">
        <v>184</v>
      </c>
      <c r="D2256">
        <v>4</v>
      </c>
      <c r="E2256">
        <v>548.61538461538476</v>
      </c>
      <c r="F2256">
        <f t="shared" si="35"/>
        <v>2194.461538461539</v>
      </c>
    </row>
    <row r="2257" spans="1:6" x14ac:dyDescent="0.2">
      <c r="A2257">
        <v>834</v>
      </c>
      <c r="B2257" t="s">
        <v>185</v>
      </c>
      <c r="C2257" t="s">
        <v>186</v>
      </c>
      <c r="D2257">
        <v>1</v>
      </c>
      <c r="E2257">
        <v>278.05</v>
      </c>
      <c r="F2257">
        <f t="shared" si="35"/>
        <v>278.05</v>
      </c>
    </row>
    <row r="2258" spans="1:6" x14ac:dyDescent="0.2">
      <c r="A2258">
        <v>834</v>
      </c>
      <c r="B2258" t="s">
        <v>187</v>
      </c>
      <c r="C2258" t="s">
        <v>188</v>
      </c>
      <c r="D2258">
        <v>118</v>
      </c>
      <c r="E2258">
        <v>105.03649999999999</v>
      </c>
      <c r="F2258">
        <f t="shared" si="35"/>
        <v>12394.306999999999</v>
      </c>
    </row>
    <row r="2259" spans="1:6" x14ac:dyDescent="0.2">
      <c r="A2259">
        <v>834</v>
      </c>
      <c r="B2259" t="s">
        <v>189</v>
      </c>
      <c r="C2259" t="s">
        <v>163</v>
      </c>
      <c r="D2259">
        <v>1</v>
      </c>
      <c r="E2259">
        <v>154.25968320000001</v>
      </c>
      <c r="F2259">
        <f t="shared" si="35"/>
        <v>154.25968320000001</v>
      </c>
    </row>
    <row r="2260" spans="1:6" x14ac:dyDescent="0.2">
      <c r="A2260">
        <v>834</v>
      </c>
      <c r="B2260" t="s">
        <v>190</v>
      </c>
      <c r="C2260" t="s">
        <v>191</v>
      </c>
      <c r="D2260">
        <v>1</v>
      </c>
      <c r="E2260">
        <v>1397.886</v>
      </c>
      <c r="F2260">
        <f t="shared" si="35"/>
        <v>1397.886</v>
      </c>
    </row>
    <row r="2261" spans="1:6" x14ac:dyDescent="0.2">
      <c r="A2261">
        <v>834</v>
      </c>
      <c r="B2261" t="s">
        <v>192</v>
      </c>
      <c r="C2261" t="s">
        <v>193</v>
      </c>
      <c r="D2261">
        <v>3</v>
      </c>
      <c r="E2261">
        <v>843.03639167999984</v>
      </c>
      <c r="F2261">
        <f t="shared" si="35"/>
        <v>2529.1091750399996</v>
      </c>
    </row>
    <row r="2262" spans="1:6" x14ac:dyDescent="0.2">
      <c r="A2262">
        <v>834</v>
      </c>
      <c r="B2262" t="s">
        <v>194</v>
      </c>
      <c r="C2262" t="s">
        <v>193</v>
      </c>
      <c r="D2262">
        <v>1</v>
      </c>
      <c r="E2262">
        <v>868.20489999999995</v>
      </c>
      <c r="F2262">
        <f t="shared" si="35"/>
        <v>868.20489999999995</v>
      </c>
    </row>
    <row r="2263" spans="1:6" x14ac:dyDescent="0.2">
      <c r="A2263">
        <v>834</v>
      </c>
      <c r="B2263" t="s">
        <v>195</v>
      </c>
      <c r="C2263" t="s">
        <v>117</v>
      </c>
      <c r="D2263">
        <v>2</v>
      </c>
      <c r="E2263">
        <v>1.0374999999999999</v>
      </c>
      <c r="F2263">
        <f t="shared" si="35"/>
        <v>2.0749999999999997</v>
      </c>
    </row>
    <row r="2264" spans="1:6" x14ac:dyDescent="0.2">
      <c r="A2264">
        <v>834</v>
      </c>
      <c r="B2264" t="s">
        <v>135</v>
      </c>
      <c r="C2264" t="s">
        <v>136</v>
      </c>
      <c r="D2264">
        <v>3</v>
      </c>
      <c r="E2264">
        <v>395.04690624</v>
      </c>
      <c r="F2264">
        <f t="shared" si="35"/>
        <v>1185.14071872</v>
      </c>
    </row>
    <row r="2265" spans="1:6" x14ac:dyDescent="0.2">
      <c r="A2265">
        <v>834</v>
      </c>
      <c r="B2265" t="s">
        <v>137</v>
      </c>
      <c r="C2265" t="s">
        <v>138</v>
      </c>
      <c r="D2265">
        <v>6</v>
      </c>
      <c r="E2265">
        <v>252.98431871999998</v>
      </c>
      <c r="F2265">
        <f t="shared" si="35"/>
        <v>1517.90591232</v>
      </c>
    </row>
    <row r="2266" spans="1:6" x14ac:dyDescent="0.2">
      <c r="A2266">
        <v>834</v>
      </c>
      <c r="B2266" t="s">
        <v>139</v>
      </c>
      <c r="C2266" t="s">
        <v>140</v>
      </c>
      <c r="D2266">
        <v>6</v>
      </c>
      <c r="E2266">
        <v>2054.4575</v>
      </c>
      <c r="F2266">
        <f t="shared" si="35"/>
        <v>12326.744999999999</v>
      </c>
    </row>
    <row r="2267" spans="1:6" x14ac:dyDescent="0.2">
      <c r="A2267">
        <v>834</v>
      </c>
      <c r="B2267" t="s">
        <v>116</v>
      </c>
      <c r="C2267" t="s">
        <v>117</v>
      </c>
      <c r="D2267">
        <v>1</v>
      </c>
      <c r="E2267">
        <v>0.25729999999999997</v>
      </c>
      <c r="F2267">
        <f t="shared" si="35"/>
        <v>0.25729999999999997</v>
      </c>
    </row>
    <row r="2268" spans="1:6" x14ac:dyDescent="0.2">
      <c r="A2268">
        <v>834</v>
      </c>
      <c r="B2268" t="s">
        <v>118</v>
      </c>
      <c r="C2268" t="s">
        <v>119</v>
      </c>
      <c r="D2268">
        <v>3</v>
      </c>
      <c r="E2268">
        <v>0.83</v>
      </c>
      <c r="F2268">
        <f t="shared" si="35"/>
        <v>2.4899999999999998</v>
      </c>
    </row>
    <row r="2269" spans="1:6" x14ac:dyDescent="0.2">
      <c r="A2269">
        <v>834</v>
      </c>
      <c r="B2269" t="s">
        <v>120</v>
      </c>
      <c r="C2269" t="s">
        <v>117</v>
      </c>
      <c r="D2269">
        <v>1</v>
      </c>
      <c r="E2269">
        <v>1.5603999999999998</v>
      </c>
      <c r="F2269">
        <f t="shared" si="35"/>
        <v>1.5603999999999998</v>
      </c>
    </row>
    <row r="2270" spans="1:6" x14ac:dyDescent="0.2">
      <c r="A2270">
        <v>834</v>
      </c>
      <c r="B2270" t="s">
        <v>121</v>
      </c>
      <c r="C2270" t="s">
        <v>117</v>
      </c>
      <c r="D2270">
        <v>1</v>
      </c>
      <c r="E2270">
        <v>270.83729999999997</v>
      </c>
      <c r="F2270">
        <f t="shared" si="35"/>
        <v>270.83729999999997</v>
      </c>
    </row>
    <row r="2271" spans="1:6" x14ac:dyDescent="0.2">
      <c r="A2271">
        <v>834</v>
      </c>
      <c r="B2271" t="s">
        <v>122</v>
      </c>
      <c r="C2271" t="s">
        <v>76</v>
      </c>
      <c r="D2271">
        <v>3</v>
      </c>
      <c r="E2271">
        <v>14.915099999999999</v>
      </c>
      <c r="F2271">
        <f t="shared" si="35"/>
        <v>44.7453</v>
      </c>
    </row>
    <row r="2272" spans="1:6" x14ac:dyDescent="0.2">
      <c r="A2272">
        <v>834</v>
      </c>
      <c r="B2272" t="s">
        <v>123</v>
      </c>
      <c r="C2272" t="s">
        <v>119</v>
      </c>
      <c r="D2272">
        <v>2</v>
      </c>
      <c r="E2272">
        <v>122.52459999999999</v>
      </c>
      <c r="F2272">
        <f t="shared" si="35"/>
        <v>245.04919999999998</v>
      </c>
    </row>
    <row r="2273" spans="1:6" x14ac:dyDescent="0.2">
      <c r="A2273">
        <v>834</v>
      </c>
      <c r="B2273" t="s">
        <v>124</v>
      </c>
      <c r="C2273" t="s">
        <v>119</v>
      </c>
      <c r="D2273">
        <v>1</v>
      </c>
      <c r="E2273">
        <v>65.877099999999999</v>
      </c>
      <c r="F2273">
        <f t="shared" si="35"/>
        <v>65.877099999999999</v>
      </c>
    </row>
    <row r="2274" spans="1:6" x14ac:dyDescent="0.2">
      <c r="A2274">
        <v>834</v>
      </c>
      <c r="B2274" t="s">
        <v>125</v>
      </c>
      <c r="C2274" t="s">
        <v>117</v>
      </c>
      <c r="D2274">
        <v>5</v>
      </c>
      <c r="E2274">
        <v>45.957099999999997</v>
      </c>
      <c r="F2274">
        <f t="shared" si="35"/>
        <v>229.78549999999998</v>
      </c>
    </row>
    <row r="2275" spans="1:6" x14ac:dyDescent="0.2">
      <c r="A2275">
        <v>834</v>
      </c>
      <c r="B2275" t="s">
        <v>126</v>
      </c>
      <c r="C2275" t="s">
        <v>127</v>
      </c>
      <c r="D2275">
        <v>1</v>
      </c>
      <c r="E2275">
        <v>411.49739999999997</v>
      </c>
      <c r="F2275">
        <f t="shared" si="35"/>
        <v>411.49739999999997</v>
      </c>
    </row>
    <row r="2276" spans="1:6" x14ac:dyDescent="0.2">
      <c r="A2276">
        <v>834</v>
      </c>
      <c r="B2276" t="s">
        <v>129</v>
      </c>
      <c r="C2276" t="s">
        <v>130</v>
      </c>
      <c r="D2276">
        <v>1</v>
      </c>
      <c r="E2276">
        <v>6724.2781999999997</v>
      </c>
      <c r="F2276">
        <f t="shared" si="35"/>
        <v>6724.2781999999997</v>
      </c>
    </row>
    <row r="2277" spans="1:6" x14ac:dyDescent="0.2">
      <c r="A2277">
        <v>834</v>
      </c>
      <c r="B2277" t="s">
        <v>132</v>
      </c>
      <c r="C2277" t="s">
        <v>133</v>
      </c>
      <c r="D2277">
        <v>1</v>
      </c>
      <c r="E2277">
        <v>1168.0257999999999</v>
      </c>
      <c r="F2277">
        <f t="shared" ref="F2277:F2340" si="36">D2277*E2277</f>
        <v>1168.0257999999999</v>
      </c>
    </row>
    <row r="2278" spans="1:6" x14ac:dyDescent="0.2">
      <c r="A2278">
        <v>834</v>
      </c>
      <c r="B2278" t="s">
        <v>110</v>
      </c>
      <c r="C2278" t="s">
        <v>111</v>
      </c>
      <c r="D2278">
        <v>5</v>
      </c>
      <c r="E2278">
        <v>119.83539999999999</v>
      </c>
      <c r="F2278">
        <f t="shared" si="36"/>
        <v>599.17699999999991</v>
      </c>
    </row>
    <row r="2279" spans="1:6" x14ac:dyDescent="0.2">
      <c r="A2279">
        <v>834</v>
      </c>
      <c r="B2279" t="s">
        <v>112</v>
      </c>
      <c r="C2279" t="s">
        <v>113</v>
      </c>
      <c r="D2279">
        <v>5</v>
      </c>
      <c r="E2279">
        <v>97.646153846153851</v>
      </c>
      <c r="F2279">
        <f t="shared" si="36"/>
        <v>488.23076923076928</v>
      </c>
    </row>
    <row r="2280" spans="1:6" x14ac:dyDescent="0.2">
      <c r="A2280">
        <v>834</v>
      </c>
      <c r="B2280" t="s">
        <v>110</v>
      </c>
      <c r="C2280" t="s">
        <v>111</v>
      </c>
      <c r="D2280">
        <v>1</v>
      </c>
      <c r="E2280">
        <v>119.83539999999999</v>
      </c>
      <c r="F2280">
        <f t="shared" si="36"/>
        <v>119.83539999999999</v>
      </c>
    </row>
    <row r="2281" spans="1:6" x14ac:dyDescent="0.2">
      <c r="A2281">
        <v>834</v>
      </c>
      <c r="B2281" t="s">
        <v>112</v>
      </c>
      <c r="C2281" t="s">
        <v>113</v>
      </c>
      <c r="D2281">
        <v>1</v>
      </c>
      <c r="E2281">
        <v>97.646153846153851</v>
      </c>
      <c r="F2281">
        <f t="shared" si="36"/>
        <v>97.646153846153851</v>
      </c>
    </row>
    <row r="2282" spans="1:6" x14ac:dyDescent="0.2">
      <c r="A2282">
        <v>834</v>
      </c>
      <c r="B2282" t="s">
        <v>97</v>
      </c>
      <c r="C2282" t="s">
        <v>98</v>
      </c>
      <c r="D2282">
        <v>4</v>
      </c>
      <c r="E2282">
        <v>189.87909999999999</v>
      </c>
      <c r="F2282">
        <f t="shared" si="36"/>
        <v>759.51639999999998</v>
      </c>
    </row>
    <row r="2283" spans="1:6" x14ac:dyDescent="0.2">
      <c r="A2283">
        <v>834</v>
      </c>
      <c r="B2283" t="s">
        <v>99</v>
      </c>
      <c r="C2283" t="s">
        <v>100</v>
      </c>
      <c r="D2283">
        <v>3</v>
      </c>
      <c r="E2283">
        <v>1287.1384615384613</v>
      </c>
      <c r="F2283">
        <f t="shared" si="36"/>
        <v>3861.415384615384</v>
      </c>
    </row>
    <row r="2284" spans="1:6" x14ac:dyDescent="0.2">
      <c r="A2284">
        <v>834</v>
      </c>
      <c r="B2284" t="s">
        <v>101</v>
      </c>
      <c r="C2284" t="s">
        <v>102</v>
      </c>
      <c r="D2284">
        <v>1</v>
      </c>
      <c r="E2284">
        <v>1363.0371551999999</v>
      </c>
      <c r="F2284">
        <f t="shared" si="36"/>
        <v>1363.0371551999999</v>
      </c>
    </row>
    <row r="2285" spans="1:6" x14ac:dyDescent="0.2">
      <c r="A2285">
        <v>834</v>
      </c>
      <c r="B2285" t="s">
        <v>103</v>
      </c>
      <c r="C2285" t="s">
        <v>104</v>
      </c>
      <c r="D2285">
        <v>3</v>
      </c>
      <c r="E2285">
        <v>423.58219999999994</v>
      </c>
      <c r="F2285">
        <f t="shared" si="36"/>
        <v>1270.7465999999999</v>
      </c>
    </row>
    <row r="2286" spans="1:6" x14ac:dyDescent="0.2">
      <c r="A2286">
        <v>834</v>
      </c>
      <c r="B2286" t="s">
        <v>105</v>
      </c>
      <c r="C2286" t="s">
        <v>106</v>
      </c>
      <c r="D2286">
        <v>2</v>
      </c>
      <c r="E2286">
        <v>36.470199999999998</v>
      </c>
      <c r="F2286">
        <f t="shared" si="36"/>
        <v>72.940399999999997</v>
      </c>
    </row>
    <row r="2287" spans="1:6" x14ac:dyDescent="0.2">
      <c r="A2287">
        <v>834</v>
      </c>
      <c r="B2287" t="s">
        <v>107</v>
      </c>
      <c r="C2287" t="s">
        <v>108</v>
      </c>
      <c r="D2287">
        <v>4</v>
      </c>
      <c r="E2287">
        <v>61.492307692307698</v>
      </c>
      <c r="F2287">
        <f t="shared" si="36"/>
        <v>245.96923076923079</v>
      </c>
    </row>
    <row r="2288" spans="1:6" x14ac:dyDescent="0.2">
      <c r="A2288">
        <v>834</v>
      </c>
      <c r="B2288" t="s">
        <v>62</v>
      </c>
      <c r="C2288" t="s">
        <v>323</v>
      </c>
      <c r="D2288">
        <v>1</v>
      </c>
      <c r="E2288">
        <v>0.34859999999999997</v>
      </c>
      <c r="F2288">
        <f t="shared" si="36"/>
        <v>0.34859999999999997</v>
      </c>
    </row>
    <row r="2289" spans="1:6" x14ac:dyDescent="0.2">
      <c r="A2289">
        <v>834</v>
      </c>
      <c r="B2289" t="s">
        <v>324</v>
      </c>
      <c r="C2289" t="s">
        <v>273</v>
      </c>
      <c r="D2289">
        <v>118</v>
      </c>
      <c r="E2289">
        <v>0.9544999999999999</v>
      </c>
      <c r="F2289">
        <f t="shared" si="36"/>
        <v>112.63099999999999</v>
      </c>
    </row>
    <row r="2290" spans="1:6" x14ac:dyDescent="0.2">
      <c r="A2290">
        <v>834</v>
      </c>
      <c r="B2290" t="s">
        <v>325</v>
      </c>
      <c r="C2290" t="s">
        <v>273</v>
      </c>
      <c r="D2290">
        <v>1</v>
      </c>
      <c r="E2290">
        <v>3.3692307692307697</v>
      </c>
      <c r="F2290">
        <f t="shared" si="36"/>
        <v>3.3692307692307697</v>
      </c>
    </row>
    <row r="2291" spans="1:6" x14ac:dyDescent="0.2">
      <c r="A2291">
        <v>834</v>
      </c>
      <c r="B2291" t="s">
        <v>154</v>
      </c>
      <c r="C2291" t="s">
        <v>278</v>
      </c>
      <c r="D2291">
        <v>1</v>
      </c>
      <c r="E2291">
        <v>4.3657999999999992</v>
      </c>
      <c r="F2291">
        <f t="shared" si="36"/>
        <v>4.3657999999999992</v>
      </c>
    </row>
    <row r="2292" spans="1:6" x14ac:dyDescent="0.2">
      <c r="A2292">
        <v>834</v>
      </c>
      <c r="B2292" t="s">
        <v>290</v>
      </c>
      <c r="C2292" t="s">
        <v>278</v>
      </c>
      <c r="D2292">
        <v>3</v>
      </c>
      <c r="E2292">
        <v>43.751809919999999</v>
      </c>
      <c r="F2292">
        <f t="shared" si="36"/>
        <v>131.25542976</v>
      </c>
    </row>
    <row r="2293" spans="1:6" x14ac:dyDescent="0.2">
      <c r="A2293">
        <v>834</v>
      </c>
      <c r="B2293" t="s">
        <v>288</v>
      </c>
      <c r="C2293" t="s">
        <v>289</v>
      </c>
      <c r="D2293">
        <v>1</v>
      </c>
      <c r="E2293">
        <v>7.3401215999999998</v>
      </c>
      <c r="F2293">
        <f t="shared" si="36"/>
        <v>7.3401215999999998</v>
      </c>
    </row>
    <row r="2294" spans="1:6" x14ac:dyDescent="0.2">
      <c r="A2294">
        <v>834</v>
      </c>
      <c r="B2294" t="s">
        <v>287</v>
      </c>
      <c r="C2294" t="s">
        <v>273</v>
      </c>
      <c r="D2294">
        <v>2</v>
      </c>
      <c r="E2294">
        <v>100.66898687999999</v>
      </c>
      <c r="F2294">
        <f t="shared" si="36"/>
        <v>201.33797375999998</v>
      </c>
    </row>
    <row r="2295" spans="1:6" x14ac:dyDescent="0.2">
      <c r="A2295">
        <v>834</v>
      </c>
      <c r="B2295" t="s">
        <v>285</v>
      </c>
      <c r="C2295" t="s">
        <v>286</v>
      </c>
      <c r="D2295">
        <v>3</v>
      </c>
      <c r="E2295">
        <v>58.189985279999981</v>
      </c>
      <c r="F2295">
        <f t="shared" si="36"/>
        <v>174.56995583999995</v>
      </c>
    </row>
    <row r="2296" spans="1:6" x14ac:dyDescent="0.2">
      <c r="A2296">
        <v>834</v>
      </c>
      <c r="B2296" t="s">
        <v>291</v>
      </c>
      <c r="C2296" t="s">
        <v>278</v>
      </c>
      <c r="D2296">
        <v>6</v>
      </c>
      <c r="E2296">
        <v>24.136399999999998</v>
      </c>
      <c r="F2296">
        <f t="shared" si="36"/>
        <v>144.8184</v>
      </c>
    </row>
    <row r="2297" spans="1:6" x14ac:dyDescent="0.2">
      <c r="A2297">
        <v>834</v>
      </c>
      <c r="B2297" t="s">
        <v>277</v>
      </c>
      <c r="C2297" t="s">
        <v>278</v>
      </c>
      <c r="D2297">
        <v>6</v>
      </c>
      <c r="E2297">
        <v>41.026594559999999</v>
      </c>
      <c r="F2297">
        <f t="shared" si="36"/>
        <v>246.15956735999998</v>
      </c>
    </row>
    <row r="2298" spans="1:6" x14ac:dyDescent="0.2">
      <c r="A2298">
        <v>834</v>
      </c>
      <c r="B2298" t="s">
        <v>326</v>
      </c>
      <c r="C2298" t="s">
        <v>278</v>
      </c>
      <c r="D2298">
        <v>1</v>
      </c>
      <c r="E2298">
        <v>3.97459776</v>
      </c>
      <c r="F2298">
        <f t="shared" si="36"/>
        <v>3.97459776</v>
      </c>
    </row>
    <row r="2299" spans="1:6" x14ac:dyDescent="0.2">
      <c r="A2299">
        <v>834</v>
      </c>
      <c r="B2299" t="s">
        <v>274</v>
      </c>
      <c r="C2299" t="s">
        <v>273</v>
      </c>
      <c r="D2299">
        <v>3</v>
      </c>
      <c r="E2299">
        <v>149.23091903999997</v>
      </c>
      <c r="F2299">
        <f t="shared" si="36"/>
        <v>447.6927571199999</v>
      </c>
    </row>
    <row r="2300" spans="1:6" x14ac:dyDescent="0.2">
      <c r="A2300">
        <v>834</v>
      </c>
      <c r="B2300" t="s">
        <v>327</v>
      </c>
      <c r="C2300" t="s">
        <v>309</v>
      </c>
      <c r="D2300">
        <v>1</v>
      </c>
      <c r="E2300">
        <v>1532.5236863999999</v>
      </c>
      <c r="F2300">
        <f t="shared" si="36"/>
        <v>1532.5236863999999</v>
      </c>
    </row>
    <row r="2301" spans="1:6" x14ac:dyDescent="0.2">
      <c r="A2301">
        <v>834</v>
      </c>
      <c r="B2301" t="s">
        <v>328</v>
      </c>
      <c r="C2301" t="s">
        <v>329</v>
      </c>
      <c r="D2301">
        <v>1</v>
      </c>
      <c r="E2301">
        <v>155.62307692307695</v>
      </c>
      <c r="F2301">
        <f t="shared" si="36"/>
        <v>155.62307692307695</v>
      </c>
    </row>
    <row r="2302" spans="1:6" x14ac:dyDescent="0.2">
      <c r="A2302">
        <v>834</v>
      </c>
      <c r="B2302" t="s">
        <v>330</v>
      </c>
      <c r="C2302" t="s">
        <v>331</v>
      </c>
      <c r="D2302">
        <v>3</v>
      </c>
      <c r="E2302">
        <v>710.44615384615395</v>
      </c>
      <c r="F2302">
        <f t="shared" si="36"/>
        <v>2131.3384615384621</v>
      </c>
    </row>
    <row r="2303" spans="1:6" x14ac:dyDescent="0.2">
      <c r="A2303">
        <v>834</v>
      </c>
      <c r="B2303" t="s">
        <v>332</v>
      </c>
      <c r="C2303" t="s">
        <v>333</v>
      </c>
      <c r="D2303">
        <v>2</v>
      </c>
      <c r="E2303">
        <v>167.55384615384617</v>
      </c>
      <c r="F2303">
        <f t="shared" si="36"/>
        <v>335.10769230769233</v>
      </c>
    </row>
    <row r="2304" spans="1:6" x14ac:dyDescent="0.2">
      <c r="A2304">
        <v>834</v>
      </c>
      <c r="B2304" t="s">
        <v>272</v>
      </c>
      <c r="C2304" t="s">
        <v>273</v>
      </c>
      <c r="D2304">
        <v>1</v>
      </c>
      <c r="E2304">
        <v>170.11122239999997</v>
      </c>
      <c r="F2304">
        <f t="shared" si="36"/>
        <v>170.11122239999997</v>
      </c>
    </row>
    <row r="2305" spans="1:6" x14ac:dyDescent="0.2">
      <c r="A2305">
        <v>834</v>
      </c>
      <c r="B2305" t="s">
        <v>275</v>
      </c>
      <c r="C2305" t="s">
        <v>276</v>
      </c>
      <c r="D2305">
        <v>5</v>
      </c>
      <c r="E2305">
        <v>9.0814483199999998</v>
      </c>
      <c r="F2305">
        <f t="shared" si="36"/>
        <v>45.407241599999999</v>
      </c>
    </row>
    <row r="2306" spans="1:6" x14ac:dyDescent="0.2">
      <c r="A2306">
        <v>834</v>
      </c>
      <c r="B2306" t="s">
        <v>334</v>
      </c>
      <c r="C2306" t="s">
        <v>329</v>
      </c>
      <c r="D2306">
        <v>1</v>
      </c>
      <c r="E2306">
        <v>149.03076923076924</v>
      </c>
      <c r="F2306">
        <f t="shared" si="36"/>
        <v>149.03076923076924</v>
      </c>
    </row>
    <row r="2307" spans="1:6" x14ac:dyDescent="0.2">
      <c r="A2307">
        <v>834</v>
      </c>
      <c r="B2307" t="s">
        <v>335</v>
      </c>
      <c r="C2307" t="s">
        <v>331</v>
      </c>
      <c r="D2307">
        <v>1</v>
      </c>
      <c r="E2307">
        <v>703.1</v>
      </c>
      <c r="F2307">
        <f t="shared" si="36"/>
        <v>703.1</v>
      </c>
    </row>
    <row r="2308" spans="1:6" x14ac:dyDescent="0.2">
      <c r="A2308">
        <v>834</v>
      </c>
      <c r="B2308" t="s">
        <v>336</v>
      </c>
      <c r="C2308" t="s">
        <v>333</v>
      </c>
      <c r="D2308">
        <v>1</v>
      </c>
      <c r="E2308">
        <v>288.42307692307691</v>
      </c>
      <c r="F2308">
        <f t="shared" si="36"/>
        <v>288.42307692307691</v>
      </c>
    </row>
    <row r="2309" spans="1:6" x14ac:dyDescent="0.2">
      <c r="A2309">
        <v>834</v>
      </c>
      <c r="B2309" t="s">
        <v>337</v>
      </c>
      <c r="C2309" t="s">
        <v>297</v>
      </c>
      <c r="D2309">
        <v>5</v>
      </c>
      <c r="E2309">
        <v>11.761099999999999</v>
      </c>
      <c r="F2309">
        <f t="shared" si="36"/>
        <v>58.805499999999995</v>
      </c>
    </row>
    <row r="2310" spans="1:6" x14ac:dyDescent="0.2">
      <c r="A2310">
        <v>834</v>
      </c>
      <c r="B2310" t="s">
        <v>338</v>
      </c>
      <c r="C2310" t="s">
        <v>297</v>
      </c>
      <c r="D2310">
        <v>5</v>
      </c>
      <c r="E2310">
        <v>11.712959999999999</v>
      </c>
      <c r="F2310">
        <f t="shared" si="36"/>
        <v>58.564799999999991</v>
      </c>
    </row>
    <row r="2311" spans="1:6" x14ac:dyDescent="0.2">
      <c r="A2311">
        <v>834</v>
      </c>
      <c r="B2311" t="s">
        <v>339</v>
      </c>
      <c r="C2311" t="s">
        <v>297</v>
      </c>
      <c r="D2311">
        <v>1</v>
      </c>
      <c r="E2311">
        <v>20.279038079999996</v>
      </c>
      <c r="F2311">
        <f t="shared" si="36"/>
        <v>20.279038079999996</v>
      </c>
    </row>
    <row r="2312" spans="1:6" x14ac:dyDescent="0.2">
      <c r="A2312">
        <v>834</v>
      </c>
      <c r="B2312" t="s">
        <v>340</v>
      </c>
      <c r="C2312" t="s">
        <v>309</v>
      </c>
      <c r="D2312">
        <v>1</v>
      </c>
      <c r="E2312">
        <v>1536.3343027199999</v>
      </c>
      <c r="F2312">
        <f t="shared" si="36"/>
        <v>1536.3343027199999</v>
      </c>
    </row>
    <row r="2313" spans="1:6" x14ac:dyDescent="0.2">
      <c r="A2313">
        <v>834</v>
      </c>
      <c r="B2313" t="s">
        <v>341</v>
      </c>
      <c r="C2313" t="s">
        <v>342</v>
      </c>
      <c r="D2313">
        <v>4</v>
      </c>
      <c r="E2313">
        <v>307.22449999999998</v>
      </c>
      <c r="F2313">
        <f t="shared" si="36"/>
        <v>1228.8979999999999</v>
      </c>
    </row>
    <row r="2314" spans="1:6" x14ac:dyDescent="0.2">
      <c r="A2314">
        <v>834</v>
      </c>
      <c r="B2314" t="s">
        <v>284</v>
      </c>
      <c r="C2314" t="s">
        <v>273</v>
      </c>
      <c r="D2314">
        <v>3</v>
      </c>
      <c r="E2314">
        <v>15.547002240000001</v>
      </c>
      <c r="F2314">
        <f t="shared" si="36"/>
        <v>46.641006720000007</v>
      </c>
    </row>
    <row r="2315" spans="1:6" x14ac:dyDescent="0.2">
      <c r="A2315">
        <v>834</v>
      </c>
      <c r="B2315" t="s">
        <v>283</v>
      </c>
      <c r="C2315" t="s">
        <v>278</v>
      </c>
      <c r="D2315">
        <v>1</v>
      </c>
      <c r="E2315">
        <v>101.76219647999997</v>
      </c>
      <c r="F2315">
        <f t="shared" si="36"/>
        <v>101.76219647999997</v>
      </c>
    </row>
    <row r="2316" spans="1:6" x14ac:dyDescent="0.2">
      <c r="A2316">
        <v>834</v>
      </c>
      <c r="B2316" t="s">
        <v>281</v>
      </c>
      <c r="C2316" t="s">
        <v>282</v>
      </c>
      <c r="D2316">
        <v>3</v>
      </c>
      <c r="E2316">
        <v>43.369186559999996</v>
      </c>
      <c r="F2316">
        <f t="shared" si="36"/>
        <v>130.10755967999998</v>
      </c>
    </row>
    <row r="2317" spans="1:6" x14ac:dyDescent="0.2">
      <c r="A2317">
        <v>834</v>
      </c>
      <c r="B2317" t="s">
        <v>279</v>
      </c>
      <c r="C2317" t="s">
        <v>280</v>
      </c>
      <c r="D2317">
        <v>2</v>
      </c>
      <c r="E2317">
        <v>36.786503039999999</v>
      </c>
      <c r="F2317">
        <f t="shared" si="36"/>
        <v>73.573006079999999</v>
      </c>
    </row>
    <row r="2318" spans="1:6" x14ac:dyDescent="0.2">
      <c r="A2318">
        <v>834</v>
      </c>
      <c r="B2318" t="s">
        <v>343</v>
      </c>
      <c r="C2318" t="s">
        <v>282</v>
      </c>
      <c r="D2318">
        <v>4</v>
      </c>
      <c r="E2318">
        <v>16.807499999999997</v>
      </c>
      <c r="F2318">
        <f t="shared" si="36"/>
        <v>67.22999999999999</v>
      </c>
    </row>
    <row r="2319" spans="1:6" x14ac:dyDescent="0.2">
      <c r="A2319">
        <v>834</v>
      </c>
      <c r="B2319" t="s">
        <v>344</v>
      </c>
      <c r="C2319" t="s">
        <v>282</v>
      </c>
      <c r="D2319">
        <v>1</v>
      </c>
      <c r="E2319">
        <v>12.767126399999999</v>
      </c>
      <c r="F2319">
        <f t="shared" si="36"/>
        <v>12.767126399999999</v>
      </c>
    </row>
    <row r="2320" spans="1:6" x14ac:dyDescent="0.2">
      <c r="A2320">
        <v>834</v>
      </c>
      <c r="B2320" t="s">
        <v>270</v>
      </c>
      <c r="C2320" t="s">
        <v>271</v>
      </c>
      <c r="D2320">
        <v>118</v>
      </c>
      <c r="E2320">
        <v>3027.0973823999993</v>
      </c>
      <c r="F2320">
        <f t="shared" si="36"/>
        <v>357197.49112319993</v>
      </c>
    </row>
    <row r="2321" spans="1:6" x14ac:dyDescent="0.2">
      <c r="A2321">
        <v>834</v>
      </c>
      <c r="B2321" t="s">
        <v>272</v>
      </c>
      <c r="C2321" t="s">
        <v>273</v>
      </c>
      <c r="D2321">
        <v>1</v>
      </c>
      <c r="E2321">
        <v>170.11122239999997</v>
      </c>
      <c r="F2321">
        <f t="shared" si="36"/>
        <v>170.11122239999997</v>
      </c>
    </row>
    <row r="2322" spans="1:6" x14ac:dyDescent="0.2">
      <c r="A2322">
        <v>834</v>
      </c>
      <c r="B2322" t="s">
        <v>274</v>
      </c>
      <c r="C2322" t="s">
        <v>273</v>
      </c>
      <c r="D2322">
        <v>1</v>
      </c>
      <c r="E2322">
        <v>149.23091903999997</v>
      </c>
      <c r="F2322">
        <f t="shared" si="36"/>
        <v>149.23091903999997</v>
      </c>
    </row>
    <row r="2323" spans="1:6" x14ac:dyDescent="0.2">
      <c r="A2323">
        <v>834</v>
      </c>
      <c r="B2323" t="s">
        <v>275</v>
      </c>
      <c r="C2323" t="s">
        <v>276</v>
      </c>
      <c r="D2323">
        <v>3</v>
      </c>
      <c r="E2323">
        <v>9.0814483199999998</v>
      </c>
      <c r="F2323">
        <f t="shared" si="36"/>
        <v>27.244344959999999</v>
      </c>
    </row>
    <row r="2324" spans="1:6" x14ac:dyDescent="0.2">
      <c r="A2324">
        <v>834</v>
      </c>
      <c r="B2324" t="s">
        <v>277</v>
      </c>
      <c r="C2324" t="s">
        <v>278</v>
      </c>
      <c r="D2324">
        <v>1</v>
      </c>
      <c r="E2324">
        <v>41.026594559999999</v>
      </c>
      <c r="F2324">
        <f t="shared" si="36"/>
        <v>41.026594559999999</v>
      </c>
    </row>
    <row r="2325" spans="1:6" x14ac:dyDescent="0.2">
      <c r="A2325">
        <v>834</v>
      </c>
      <c r="B2325" t="s">
        <v>279</v>
      </c>
      <c r="C2325" t="s">
        <v>280</v>
      </c>
      <c r="D2325">
        <v>2</v>
      </c>
      <c r="E2325">
        <v>36.786503039999999</v>
      </c>
      <c r="F2325">
        <f t="shared" si="36"/>
        <v>73.573006079999999</v>
      </c>
    </row>
    <row r="2326" spans="1:6" x14ac:dyDescent="0.2">
      <c r="A2326">
        <v>834</v>
      </c>
      <c r="B2326" t="s">
        <v>281</v>
      </c>
      <c r="C2326" t="s">
        <v>282</v>
      </c>
      <c r="D2326">
        <v>3</v>
      </c>
      <c r="E2326">
        <v>43.369186559999996</v>
      </c>
      <c r="F2326">
        <f t="shared" si="36"/>
        <v>130.10755967999998</v>
      </c>
    </row>
    <row r="2327" spans="1:6" x14ac:dyDescent="0.2">
      <c r="A2327">
        <v>834</v>
      </c>
      <c r="B2327" t="s">
        <v>283</v>
      </c>
      <c r="C2327" t="s">
        <v>278</v>
      </c>
      <c r="D2327">
        <v>6</v>
      </c>
      <c r="E2327">
        <v>101.76219647999997</v>
      </c>
      <c r="F2327">
        <f t="shared" si="36"/>
        <v>610.57317887999989</v>
      </c>
    </row>
    <row r="2328" spans="1:6" x14ac:dyDescent="0.2">
      <c r="A2328">
        <v>834</v>
      </c>
      <c r="B2328" t="s">
        <v>284</v>
      </c>
      <c r="C2328" t="s">
        <v>273</v>
      </c>
      <c r="D2328">
        <v>6</v>
      </c>
      <c r="E2328">
        <v>15.547002240000001</v>
      </c>
      <c r="F2328">
        <f t="shared" si="36"/>
        <v>93.282013440000014</v>
      </c>
    </row>
    <row r="2329" spans="1:6" x14ac:dyDescent="0.2">
      <c r="A2329">
        <v>834</v>
      </c>
      <c r="B2329" t="s">
        <v>285</v>
      </c>
      <c r="C2329" t="s">
        <v>286</v>
      </c>
      <c r="D2329">
        <v>1</v>
      </c>
      <c r="E2329">
        <v>58.189985279999981</v>
      </c>
      <c r="F2329">
        <f t="shared" si="36"/>
        <v>58.189985279999981</v>
      </c>
    </row>
    <row r="2330" spans="1:6" x14ac:dyDescent="0.2">
      <c r="A2330">
        <v>834</v>
      </c>
      <c r="B2330" t="s">
        <v>287</v>
      </c>
      <c r="C2330" t="s">
        <v>273</v>
      </c>
      <c r="D2330">
        <v>3</v>
      </c>
      <c r="E2330">
        <v>100.66898687999999</v>
      </c>
      <c r="F2330">
        <f t="shared" si="36"/>
        <v>302.00696063999999</v>
      </c>
    </row>
    <row r="2331" spans="1:6" x14ac:dyDescent="0.2">
      <c r="A2331">
        <v>834</v>
      </c>
      <c r="B2331" t="s">
        <v>288</v>
      </c>
      <c r="C2331" t="s">
        <v>289</v>
      </c>
      <c r="D2331">
        <v>1</v>
      </c>
      <c r="E2331">
        <v>7.3401215999999998</v>
      </c>
      <c r="F2331">
        <f t="shared" si="36"/>
        <v>7.3401215999999998</v>
      </c>
    </row>
    <row r="2332" spans="1:6" x14ac:dyDescent="0.2">
      <c r="A2332">
        <v>834</v>
      </c>
      <c r="B2332" t="s">
        <v>290</v>
      </c>
      <c r="C2332" t="s">
        <v>278</v>
      </c>
      <c r="D2332">
        <v>1</v>
      </c>
      <c r="E2332">
        <v>43.751809919999999</v>
      </c>
      <c r="F2332">
        <f t="shared" si="36"/>
        <v>43.751809919999999</v>
      </c>
    </row>
    <row r="2333" spans="1:6" x14ac:dyDescent="0.2">
      <c r="A2333">
        <v>834</v>
      </c>
      <c r="B2333" t="s">
        <v>277</v>
      </c>
      <c r="C2333" t="s">
        <v>278</v>
      </c>
      <c r="D2333">
        <v>3</v>
      </c>
      <c r="E2333">
        <v>41.026594559999999</v>
      </c>
      <c r="F2333">
        <f t="shared" si="36"/>
        <v>123.07978367999999</v>
      </c>
    </row>
    <row r="2334" spans="1:6" x14ac:dyDescent="0.2">
      <c r="A2334">
        <v>834</v>
      </c>
      <c r="B2334" t="s">
        <v>291</v>
      </c>
      <c r="C2334" t="s">
        <v>278</v>
      </c>
      <c r="D2334">
        <v>2</v>
      </c>
      <c r="E2334">
        <v>24.136399999999998</v>
      </c>
      <c r="F2334">
        <f t="shared" si="36"/>
        <v>48.272799999999997</v>
      </c>
    </row>
    <row r="2335" spans="1:6" x14ac:dyDescent="0.2">
      <c r="A2335">
        <v>834</v>
      </c>
      <c r="B2335" t="s">
        <v>292</v>
      </c>
      <c r="C2335" t="s">
        <v>293</v>
      </c>
      <c r="D2335">
        <v>1</v>
      </c>
      <c r="E2335">
        <v>96.852699999999999</v>
      </c>
      <c r="F2335">
        <f t="shared" si="36"/>
        <v>96.852699999999999</v>
      </c>
    </row>
    <row r="2336" spans="1:6" x14ac:dyDescent="0.2">
      <c r="A2336">
        <v>834</v>
      </c>
      <c r="B2336" t="s">
        <v>294</v>
      </c>
      <c r="C2336" t="s">
        <v>278</v>
      </c>
      <c r="D2336">
        <v>5</v>
      </c>
      <c r="E2336">
        <v>26.221413119999998</v>
      </c>
      <c r="F2336">
        <f t="shared" si="36"/>
        <v>131.1070656</v>
      </c>
    </row>
    <row r="2337" spans="1:6" x14ac:dyDescent="0.2">
      <c r="A2337">
        <v>834</v>
      </c>
      <c r="B2337" t="s">
        <v>295</v>
      </c>
      <c r="C2337" t="s">
        <v>273</v>
      </c>
      <c r="D2337">
        <v>1</v>
      </c>
      <c r="E2337">
        <v>54.886930560000003</v>
      </c>
      <c r="F2337">
        <f t="shared" si="36"/>
        <v>54.886930560000003</v>
      </c>
    </row>
    <row r="2338" spans="1:6" x14ac:dyDescent="0.2">
      <c r="A2338">
        <v>834</v>
      </c>
      <c r="B2338" t="s">
        <v>296</v>
      </c>
      <c r="C2338" t="s">
        <v>297</v>
      </c>
      <c r="D2338">
        <v>3</v>
      </c>
      <c r="E2338">
        <v>5.5028999999999995</v>
      </c>
      <c r="F2338">
        <f t="shared" si="36"/>
        <v>16.508699999999997</v>
      </c>
    </row>
    <row r="2339" spans="1:6" x14ac:dyDescent="0.2">
      <c r="A2339">
        <v>834</v>
      </c>
      <c r="B2339" t="s">
        <v>298</v>
      </c>
      <c r="C2339" t="s">
        <v>297</v>
      </c>
      <c r="D2339">
        <v>6</v>
      </c>
      <c r="E2339">
        <v>5.9344999999999999</v>
      </c>
      <c r="F2339">
        <f t="shared" si="36"/>
        <v>35.606999999999999</v>
      </c>
    </row>
    <row r="2340" spans="1:6" x14ac:dyDescent="0.2">
      <c r="A2340">
        <v>834</v>
      </c>
      <c r="B2340" t="s">
        <v>299</v>
      </c>
      <c r="C2340" t="s">
        <v>297</v>
      </c>
      <c r="D2340">
        <v>6</v>
      </c>
      <c r="E2340">
        <v>4.3574999999999999</v>
      </c>
      <c r="F2340">
        <f t="shared" si="36"/>
        <v>26.145</v>
      </c>
    </row>
    <row r="2341" spans="1:6" x14ac:dyDescent="0.2">
      <c r="A2341">
        <v>834</v>
      </c>
      <c r="B2341" t="s">
        <v>122</v>
      </c>
      <c r="C2341" t="s">
        <v>276</v>
      </c>
      <c r="D2341">
        <v>1</v>
      </c>
      <c r="E2341">
        <v>14.915099999999999</v>
      </c>
      <c r="F2341">
        <f t="shared" ref="F2341:F2404" si="37">D2341*E2341</f>
        <v>14.915099999999999</v>
      </c>
    </row>
    <row r="2342" spans="1:6" x14ac:dyDescent="0.2">
      <c r="A2342">
        <v>834</v>
      </c>
      <c r="B2342" t="s">
        <v>120</v>
      </c>
      <c r="C2342" t="s">
        <v>278</v>
      </c>
      <c r="D2342">
        <v>3</v>
      </c>
      <c r="E2342">
        <v>1.5603999999999998</v>
      </c>
      <c r="F2342">
        <f t="shared" si="37"/>
        <v>4.6811999999999996</v>
      </c>
    </row>
    <row r="2343" spans="1:6" x14ac:dyDescent="0.2">
      <c r="A2343">
        <v>834</v>
      </c>
      <c r="B2343" t="s">
        <v>300</v>
      </c>
      <c r="C2343" t="s">
        <v>273</v>
      </c>
      <c r="D2343">
        <v>1</v>
      </c>
      <c r="E2343">
        <v>60.589999999999996</v>
      </c>
      <c r="F2343">
        <f t="shared" si="37"/>
        <v>60.589999999999996</v>
      </c>
    </row>
    <row r="2344" spans="1:6" x14ac:dyDescent="0.2">
      <c r="A2344">
        <v>834</v>
      </c>
      <c r="B2344" t="s">
        <v>301</v>
      </c>
      <c r="C2344" t="s">
        <v>302</v>
      </c>
      <c r="D2344">
        <v>1</v>
      </c>
      <c r="E2344">
        <v>104.88565247999999</v>
      </c>
      <c r="F2344">
        <f t="shared" si="37"/>
        <v>104.88565247999999</v>
      </c>
    </row>
    <row r="2345" spans="1:6" x14ac:dyDescent="0.2">
      <c r="A2345">
        <v>834</v>
      </c>
      <c r="B2345" t="s">
        <v>303</v>
      </c>
      <c r="C2345" t="s">
        <v>304</v>
      </c>
      <c r="D2345">
        <v>3</v>
      </c>
      <c r="E2345">
        <v>683.94489999999996</v>
      </c>
      <c r="F2345">
        <f t="shared" si="37"/>
        <v>2051.8346999999999</v>
      </c>
    </row>
    <row r="2346" spans="1:6" x14ac:dyDescent="0.2">
      <c r="A2346">
        <v>834</v>
      </c>
      <c r="B2346" t="s">
        <v>305</v>
      </c>
      <c r="C2346" t="s">
        <v>273</v>
      </c>
      <c r="D2346">
        <v>2</v>
      </c>
      <c r="E2346">
        <v>71.189099999999996</v>
      </c>
      <c r="F2346">
        <f t="shared" si="37"/>
        <v>142.37819999999999</v>
      </c>
    </row>
    <row r="2347" spans="1:6" x14ac:dyDescent="0.2">
      <c r="A2347">
        <v>834</v>
      </c>
      <c r="B2347" t="s">
        <v>294</v>
      </c>
      <c r="C2347" t="s">
        <v>278</v>
      </c>
      <c r="D2347">
        <v>1</v>
      </c>
      <c r="E2347">
        <v>26.221413119999998</v>
      </c>
      <c r="F2347">
        <f t="shared" si="37"/>
        <v>26.221413119999998</v>
      </c>
    </row>
    <row r="2348" spans="1:6" x14ac:dyDescent="0.2">
      <c r="A2348">
        <v>834</v>
      </c>
      <c r="B2348" t="s">
        <v>306</v>
      </c>
      <c r="C2348" t="s">
        <v>273</v>
      </c>
      <c r="D2348">
        <v>5</v>
      </c>
      <c r="E2348">
        <v>99.575777279999997</v>
      </c>
      <c r="F2348">
        <f t="shared" si="37"/>
        <v>497.8788864</v>
      </c>
    </row>
    <row r="2349" spans="1:6" x14ac:dyDescent="0.2">
      <c r="A2349">
        <v>834</v>
      </c>
      <c r="B2349" t="s">
        <v>294</v>
      </c>
      <c r="C2349" t="s">
        <v>278</v>
      </c>
      <c r="D2349">
        <v>1</v>
      </c>
      <c r="E2349">
        <v>26.221413119999998</v>
      </c>
      <c r="F2349">
        <f t="shared" si="37"/>
        <v>26.221413119999998</v>
      </c>
    </row>
    <row r="2350" spans="1:6" x14ac:dyDescent="0.2">
      <c r="A2350">
        <v>834</v>
      </c>
      <c r="B2350" t="s">
        <v>306</v>
      </c>
      <c r="C2350" t="s">
        <v>273</v>
      </c>
      <c r="D2350">
        <v>1</v>
      </c>
      <c r="E2350">
        <v>99.575777279999997</v>
      </c>
      <c r="F2350">
        <f t="shared" si="37"/>
        <v>99.575777279999997</v>
      </c>
    </row>
    <row r="2351" spans="1:6" x14ac:dyDescent="0.2">
      <c r="A2351">
        <v>834</v>
      </c>
      <c r="B2351" t="s">
        <v>308</v>
      </c>
      <c r="C2351" t="s">
        <v>309</v>
      </c>
      <c r="D2351">
        <v>1</v>
      </c>
      <c r="E2351">
        <v>167.62307692307692</v>
      </c>
      <c r="F2351">
        <f t="shared" si="37"/>
        <v>167.62307692307692</v>
      </c>
    </row>
    <row r="2352" spans="1:6" x14ac:dyDescent="0.2">
      <c r="A2352">
        <v>834</v>
      </c>
      <c r="B2352" t="s">
        <v>310</v>
      </c>
      <c r="C2352" t="s">
        <v>273</v>
      </c>
      <c r="D2352">
        <v>5</v>
      </c>
      <c r="E2352">
        <v>0.33200000000000002</v>
      </c>
      <c r="F2352">
        <f t="shared" si="37"/>
        <v>1.6600000000000001</v>
      </c>
    </row>
    <row r="2353" spans="1:6" x14ac:dyDescent="0.2">
      <c r="A2353">
        <v>834</v>
      </c>
      <c r="B2353" t="s">
        <v>197</v>
      </c>
      <c r="C2353" t="s">
        <v>278</v>
      </c>
      <c r="D2353">
        <v>5</v>
      </c>
      <c r="E2353">
        <v>7.4699999999999989E-2</v>
      </c>
      <c r="F2353">
        <f t="shared" si="37"/>
        <v>0.37349999999999994</v>
      </c>
    </row>
    <row r="2354" spans="1:6" x14ac:dyDescent="0.2">
      <c r="A2354">
        <v>834</v>
      </c>
      <c r="B2354" t="s">
        <v>311</v>
      </c>
      <c r="C2354" t="s">
        <v>273</v>
      </c>
      <c r="D2354">
        <v>1</v>
      </c>
      <c r="E2354">
        <v>1.5935999999999999</v>
      </c>
      <c r="F2354">
        <f t="shared" si="37"/>
        <v>1.5935999999999999</v>
      </c>
    </row>
    <row r="2355" spans="1:6" x14ac:dyDescent="0.2">
      <c r="A2355">
        <v>834</v>
      </c>
      <c r="B2355" t="s">
        <v>312</v>
      </c>
      <c r="C2355" t="s">
        <v>278</v>
      </c>
      <c r="D2355">
        <v>1</v>
      </c>
      <c r="E2355">
        <v>21.040500000000002</v>
      </c>
      <c r="F2355">
        <f t="shared" si="37"/>
        <v>21.040500000000002</v>
      </c>
    </row>
    <row r="2356" spans="1:6" x14ac:dyDescent="0.2">
      <c r="A2356">
        <v>834</v>
      </c>
      <c r="B2356" t="s">
        <v>75</v>
      </c>
      <c r="C2356" t="s">
        <v>313</v>
      </c>
      <c r="D2356">
        <v>4</v>
      </c>
      <c r="E2356">
        <v>0.1153846153846154</v>
      </c>
      <c r="F2356">
        <f t="shared" si="37"/>
        <v>0.46153846153846162</v>
      </c>
    </row>
    <row r="2357" spans="1:6" x14ac:dyDescent="0.2">
      <c r="A2357">
        <v>834</v>
      </c>
      <c r="B2357" t="s">
        <v>314</v>
      </c>
      <c r="C2357" t="s">
        <v>273</v>
      </c>
      <c r="D2357">
        <v>3</v>
      </c>
      <c r="E2357">
        <v>0.45650000000000002</v>
      </c>
      <c r="F2357">
        <f t="shared" si="37"/>
        <v>1.3694999999999999</v>
      </c>
    </row>
    <row r="2358" spans="1:6" x14ac:dyDescent="0.2">
      <c r="A2358">
        <v>834</v>
      </c>
      <c r="B2358" t="s">
        <v>314</v>
      </c>
      <c r="C2358" t="s">
        <v>315</v>
      </c>
      <c r="D2358">
        <v>1</v>
      </c>
      <c r="E2358">
        <v>0.45650000000000002</v>
      </c>
      <c r="F2358">
        <f t="shared" si="37"/>
        <v>0.45650000000000002</v>
      </c>
    </row>
    <row r="2359" spans="1:6" x14ac:dyDescent="0.2">
      <c r="A2359">
        <v>834</v>
      </c>
      <c r="B2359" t="s">
        <v>316</v>
      </c>
      <c r="C2359" t="s">
        <v>317</v>
      </c>
      <c r="D2359">
        <v>3</v>
      </c>
      <c r="E2359">
        <v>92.206615384615375</v>
      </c>
      <c r="F2359">
        <f t="shared" si="37"/>
        <v>276.61984615384614</v>
      </c>
    </row>
    <row r="2360" spans="1:6" x14ac:dyDescent="0.2">
      <c r="A2360">
        <v>834</v>
      </c>
      <c r="B2360" t="s">
        <v>318</v>
      </c>
      <c r="C2360" t="s">
        <v>319</v>
      </c>
      <c r="D2360">
        <v>2</v>
      </c>
      <c r="E2360">
        <v>85.453846153846172</v>
      </c>
      <c r="F2360">
        <f t="shared" si="37"/>
        <v>170.90769230769234</v>
      </c>
    </row>
    <row r="2361" spans="1:6" x14ac:dyDescent="0.2">
      <c r="A2361">
        <v>834</v>
      </c>
      <c r="B2361" t="s">
        <v>320</v>
      </c>
      <c r="C2361" t="s">
        <v>321</v>
      </c>
      <c r="D2361">
        <v>4</v>
      </c>
      <c r="E2361">
        <v>92.206615384615375</v>
      </c>
      <c r="F2361">
        <f t="shared" si="37"/>
        <v>368.8264615384615</v>
      </c>
    </row>
    <row r="2362" spans="1:6" x14ac:dyDescent="0.2">
      <c r="A2362">
        <v>834</v>
      </c>
      <c r="B2362" t="s">
        <v>267</v>
      </c>
      <c r="C2362" t="s">
        <v>268</v>
      </c>
      <c r="D2362">
        <v>1</v>
      </c>
      <c r="E2362">
        <v>84863.132923076919</v>
      </c>
      <c r="F2362">
        <f t="shared" si="37"/>
        <v>84863.132923076919</v>
      </c>
    </row>
    <row r="2363" spans="1:6" x14ac:dyDescent="0.2">
      <c r="A2363">
        <v>834</v>
      </c>
      <c r="B2363" t="s">
        <v>260</v>
      </c>
      <c r="C2363" t="s">
        <v>261</v>
      </c>
      <c r="D2363">
        <v>118</v>
      </c>
      <c r="E2363">
        <v>2908.2944615384613</v>
      </c>
      <c r="F2363">
        <f t="shared" si="37"/>
        <v>343178.74646153842</v>
      </c>
    </row>
    <row r="2364" spans="1:6" x14ac:dyDescent="0.2">
      <c r="A2364">
        <v>834</v>
      </c>
      <c r="B2364" t="s">
        <v>262</v>
      </c>
      <c r="C2364" t="s">
        <v>263</v>
      </c>
      <c r="D2364">
        <v>1</v>
      </c>
      <c r="E2364">
        <v>3207.1966153846147</v>
      </c>
      <c r="F2364">
        <f t="shared" si="37"/>
        <v>3207.1966153846147</v>
      </c>
    </row>
    <row r="2365" spans="1:6" x14ac:dyDescent="0.2">
      <c r="A2365">
        <v>834</v>
      </c>
      <c r="B2365" t="s">
        <v>264</v>
      </c>
      <c r="C2365" t="s">
        <v>265</v>
      </c>
      <c r="D2365">
        <v>1</v>
      </c>
      <c r="E2365">
        <v>3466.73123076923</v>
      </c>
      <c r="F2365">
        <f t="shared" si="37"/>
        <v>3466.73123076923</v>
      </c>
    </row>
    <row r="2366" spans="1:6" x14ac:dyDescent="0.2">
      <c r="A2366">
        <v>834</v>
      </c>
      <c r="B2366" t="s">
        <v>259</v>
      </c>
      <c r="C2366" t="s">
        <v>258</v>
      </c>
      <c r="D2366">
        <v>3</v>
      </c>
      <c r="E2366">
        <v>3325.9759999999997</v>
      </c>
      <c r="F2366">
        <f t="shared" si="37"/>
        <v>9977.9279999999999</v>
      </c>
    </row>
    <row r="2367" spans="1:6" x14ac:dyDescent="0.2">
      <c r="A2367">
        <v>834</v>
      </c>
      <c r="B2367" t="s">
        <v>257</v>
      </c>
      <c r="C2367" t="s">
        <v>258</v>
      </c>
      <c r="D2367">
        <v>1</v>
      </c>
      <c r="E2367">
        <v>3325.9759999999997</v>
      </c>
      <c r="F2367">
        <f t="shared" si="37"/>
        <v>3325.9759999999997</v>
      </c>
    </row>
    <row r="2368" spans="1:6" x14ac:dyDescent="0.2">
      <c r="A2368">
        <v>834</v>
      </c>
      <c r="B2368" t="s">
        <v>255</v>
      </c>
      <c r="C2368" t="s">
        <v>256</v>
      </c>
      <c r="D2368">
        <v>2</v>
      </c>
      <c r="E2368">
        <v>18546.094615384613</v>
      </c>
      <c r="F2368">
        <f t="shared" si="37"/>
        <v>37092.189230769225</v>
      </c>
    </row>
    <row r="2369" spans="1:6" x14ac:dyDescent="0.2">
      <c r="A2369">
        <v>834</v>
      </c>
      <c r="B2369" t="s">
        <v>253</v>
      </c>
      <c r="C2369" t="s">
        <v>254</v>
      </c>
      <c r="D2369">
        <v>3</v>
      </c>
      <c r="E2369">
        <v>21043.67953846154</v>
      </c>
      <c r="F2369">
        <f t="shared" si="37"/>
        <v>63131.038615384619</v>
      </c>
    </row>
    <row r="2370" spans="1:6" x14ac:dyDescent="0.2">
      <c r="A2370">
        <v>834</v>
      </c>
      <c r="B2370" t="s">
        <v>359</v>
      </c>
      <c r="C2370" t="s">
        <v>360</v>
      </c>
      <c r="D2370">
        <v>6</v>
      </c>
      <c r="E2370">
        <v>1844.9384615384615</v>
      </c>
      <c r="F2370">
        <f t="shared" si="37"/>
        <v>11069.630769230769</v>
      </c>
    </row>
    <row r="2371" spans="1:6" x14ac:dyDescent="0.2">
      <c r="A2371">
        <v>834</v>
      </c>
      <c r="B2371" t="s">
        <v>389</v>
      </c>
      <c r="C2371" t="s">
        <v>390</v>
      </c>
      <c r="D2371">
        <v>1</v>
      </c>
      <c r="E2371">
        <v>4906</v>
      </c>
      <c r="F2371">
        <f t="shared" si="37"/>
        <v>4906</v>
      </c>
    </row>
    <row r="2372" spans="1:6" x14ac:dyDescent="0.2">
      <c r="A2372">
        <v>835</v>
      </c>
      <c r="B2372" s="3" t="s">
        <v>62</v>
      </c>
      <c r="C2372" s="3" t="s">
        <v>63</v>
      </c>
      <c r="D2372" s="3">
        <v>1</v>
      </c>
      <c r="E2372" s="3">
        <v>0.34860000000000002</v>
      </c>
      <c r="F2372">
        <f t="shared" si="37"/>
        <v>0.34860000000000002</v>
      </c>
    </row>
    <row r="2373" spans="1:6" x14ac:dyDescent="0.2">
      <c r="A2373">
        <v>835</v>
      </c>
      <c r="B2373" s="3" t="s">
        <v>64</v>
      </c>
      <c r="C2373" s="3" t="s">
        <v>65</v>
      </c>
      <c r="D2373" s="3">
        <v>3</v>
      </c>
      <c r="E2373" s="3">
        <v>803.07692310000004</v>
      </c>
      <c r="F2373">
        <f t="shared" si="37"/>
        <v>2409.2307693000002</v>
      </c>
    </row>
    <row r="2374" spans="1:6" x14ac:dyDescent="0.2">
      <c r="A2374">
        <v>835</v>
      </c>
      <c r="B2374" s="3" t="s">
        <v>67</v>
      </c>
      <c r="C2374" s="3" t="s">
        <v>68</v>
      </c>
      <c r="D2374" s="3">
        <v>1</v>
      </c>
      <c r="E2374" s="3">
        <v>49.67856768</v>
      </c>
      <c r="F2374">
        <f t="shared" si="37"/>
        <v>49.67856768</v>
      </c>
    </row>
    <row r="2375" spans="1:6" x14ac:dyDescent="0.2">
      <c r="A2375">
        <v>835</v>
      </c>
      <c r="B2375" s="3" t="s">
        <v>70</v>
      </c>
      <c r="C2375" s="3" t="s">
        <v>71</v>
      </c>
      <c r="D2375" s="3">
        <v>1</v>
      </c>
      <c r="E2375" s="3">
        <v>407.98649999999998</v>
      </c>
      <c r="F2375">
        <f t="shared" si="37"/>
        <v>407.98649999999998</v>
      </c>
    </row>
    <row r="2376" spans="1:6" x14ac:dyDescent="0.2">
      <c r="A2376">
        <v>835</v>
      </c>
      <c r="B2376" s="3" t="s">
        <v>73</v>
      </c>
      <c r="C2376" s="3" t="s">
        <v>74</v>
      </c>
      <c r="D2376" s="3">
        <v>3</v>
      </c>
      <c r="E2376" s="3">
        <v>0.57783936000000002</v>
      </c>
      <c r="F2376">
        <f t="shared" si="37"/>
        <v>1.7335180800000001</v>
      </c>
    </row>
    <row r="2377" spans="1:6" x14ac:dyDescent="0.2">
      <c r="A2377">
        <v>835</v>
      </c>
      <c r="B2377" s="3" t="s">
        <v>75</v>
      </c>
      <c r="C2377" s="3" t="s">
        <v>76</v>
      </c>
      <c r="D2377" s="3">
        <v>2</v>
      </c>
      <c r="E2377" s="3">
        <v>0.115384615</v>
      </c>
      <c r="F2377">
        <f t="shared" si="37"/>
        <v>0.23076922999999999</v>
      </c>
    </row>
    <row r="2378" spans="1:6" x14ac:dyDescent="0.2">
      <c r="A2378">
        <v>835</v>
      </c>
      <c r="B2378" s="3" t="s">
        <v>77</v>
      </c>
      <c r="C2378" s="3" t="s">
        <v>74</v>
      </c>
      <c r="D2378" s="3">
        <v>1</v>
      </c>
      <c r="E2378" s="3">
        <v>1.3944000000000001</v>
      </c>
      <c r="F2378">
        <f t="shared" si="37"/>
        <v>1.3944000000000001</v>
      </c>
    </row>
    <row r="2379" spans="1:6" x14ac:dyDescent="0.2">
      <c r="A2379">
        <v>835</v>
      </c>
      <c r="B2379" s="3" t="s">
        <v>78</v>
      </c>
      <c r="C2379" s="3" t="s">
        <v>76</v>
      </c>
      <c r="D2379" s="3">
        <v>5</v>
      </c>
      <c r="E2379" s="3">
        <v>0.71839487999999996</v>
      </c>
      <c r="F2379">
        <f t="shared" si="37"/>
        <v>3.5919743999999998</v>
      </c>
    </row>
    <row r="2380" spans="1:6" x14ac:dyDescent="0.2">
      <c r="A2380">
        <v>835</v>
      </c>
      <c r="B2380" s="3" t="s">
        <v>79</v>
      </c>
      <c r="C2380" s="3" t="s">
        <v>74</v>
      </c>
      <c r="D2380" s="3">
        <v>1</v>
      </c>
      <c r="E2380" s="3">
        <v>1.930769231</v>
      </c>
      <c r="F2380">
        <f t="shared" si="37"/>
        <v>1.930769231</v>
      </c>
    </row>
    <row r="2381" spans="1:6" x14ac:dyDescent="0.2">
      <c r="A2381">
        <v>835</v>
      </c>
      <c r="B2381" s="3" t="s">
        <v>80</v>
      </c>
      <c r="C2381" s="3" t="s">
        <v>74</v>
      </c>
      <c r="D2381" s="3">
        <v>1</v>
      </c>
      <c r="E2381" s="3">
        <v>0.95450000000000002</v>
      </c>
      <c r="F2381">
        <f t="shared" si="37"/>
        <v>0.95450000000000002</v>
      </c>
    </row>
    <row r="2382" spans="1:6" x14ac:dyDescent="0.2">
      <c r="A2382">
        <v>835</v>
      </c>
      <c r="B2382" s="3" t="s">
        <v>81</v>
      </c>
      <c r="C2382" s="3" t="s">
        <v>74</v>
      </c>
      <c r="D2382" s="3">
        <v>1</v>
      </c>
      <c r="E2382" s="3">
        <v>0.76359999999999995</v>
      </c>
      <c r="F2382">
        <f t="shared" si="37"/>
        <v>0.76359999999999995</v>
      </c>
    </row>
    <row r="2383" spans="1:6" x14ac:dyDescent="0.2">
      <c r="A2383">
        <v>835</v>
      </c>
      <c r="B2383" s="3" t="s">
        <v>82</v>
      </c>
      <c r="C2383" s="3" t="s">
        <v>83</v>
      </c>
      <c r="D2383" s="3">
        <v>5</v>
      </c>
      <c r="E2383" s="3">
        <v>20.351600000000001</v>
      </c>
      <c r="F2383">
        <f t="shared" si="37"/>
        <v>101.75800000000001</v>
      </c>
    </row>
    <row r="2384" spans="1:6" x14ac:dyDescent="0.2">
      <c r="A2384">
        <v>835</v>
      </c>
      <c r="B2384" s="3" t="s">
        <v>84</v>
      </c>
      <c r="C2384" s="3" t="s">
        <v>85</v>
      </c>
      <c r="D2384" s="3">
        <v>5</v>
      </c>
      <c r="E2384" s="3">
        <v>102.33222720000001</v>
      </c>
      <c r="F2384">
        <f t="shared" si="37"/>
        <v>511.66113600000006</v>
      </c>
    </row>
    <row r="2385" spans="1:6" x14ac:dyDescent="0.2">
      <c r="A2385">
        <v>835</v>
      </c>
      <c r="B2385" s="3" t="s">
        <v>86</v>
      </c>
      <c r="C2385" s="3" t="s">
        <v>85</v>
      </c>
      <c r="D2385" s="3">
        <v>1</v>
      </c>
      <c r="E2385" s="3">
        <v>144.264624</v>
      </c>
      <c r="F2385">
        <f t="shared" si="37"/>
        <v>144.264624</v>
      </c>
    </row>
    <row r="2386" spans="1:6" x14ac:dyDescent="0.2">
      <c r="A2386">
        <v>835</v>
      </c>
      <c r="B2386" s="3" t="s">
        <v>87</v>
      </c>
      <c r="C2386" s="3" t="s">
        <v>88</v>
      </c>
      <c r="D2386" s="3">
        <v>1</v>
      </c>
      <c r="E2386" s="3">
        <v>162.0214714</v>
      </c>
      <c r="F2386">
        <f t="shared" si="37"/>
        <v>162.0214714</v>
      </c>
    </row>
    <row r="2387" spans="1:6" x14ac:dyDescent="0.2">
      <c r="A2387">
        <v>835</v>
      </c>
      <c r="B2387" s="3" t="s">
        <v>89</v>
      </c>
      <c r="C2387" s="3" t="s">
        <v>85</v>
      </c>
      <c r="D2387" s="3">
        <v>4</v>
      </c>
      <c r="E2387" s="3">
        <v>211.01287869999999</v>
      </c>
      <c r="F2387">
        <f t="shared" si="37"/>
        <v>844.05151479999995</v>
      </c>
    </row>
    <row r="2388" spans="1:6" x14ac:dyDescent="0.2">
      <c r="A2388">
        <v>835</v>
      </c>
      <c r="B2388" s="3" t="s">
        <v>90</v>
      </c>
      <c r="C2388" s="3" t="s">
        <v>88</v>
      </c>
      <c r="D2388" s="3">
        <v>3</v>
      </c>
      <c r="E2388" s="3">
        <v>238.16352000000001</v>
      </c>
      <c r="F2388">
        <f t="shared" si="37"/>
        <v>714.49055999999996</v>
      </c>
    </row>
    <row r="2389" spans="1:6" x14ac:dyDescent="0.2">
      <c r="A2389">
        <v>835</v>
      </c>
      <c r="B2389" s="3" t="s">
        <v>92</v>
      </c>
      <c r="C2389" s="3" t="s">
        <v>93</v>
      </c>
      <c r="D2389" s="3">
        <v>1</v>
      </c>
      <c r="E2389" s="3">
        <v>19.297499999999999</v>
      </c>
      <c r="F2389">
        <f t="shared" si="37"/>
        <v>19.297499999999999</v>
      </c>
    </row>
    <row r="2390" spans="1:6" x14ac:dyDescent="0.2">
      <c r="A2390">
        <v>835</v>
      </c>
      <c r="B2390" s="3" t="s">
        <v>94</v>
      </c>
      <c r="C2390" s="3" t="s">
        <v>95</v>
      </c>
      <c r="D2390" s="3">
        <v>3</v>
      </c>
      <c r="E2390" s="3">
        <v>644.46267650000004</v>
      </c>
      <c r="F2390">
        <f t="shared" si="37"/>
        <v>1933.3880295000001</v>
      </c>
    </row>
    <row r="2391" spans="1:6" x14ac:dyDescent="0.2">
      <c r="A2391">
        <v>835</v>
      </c>
      <c r="B2391" s="3" t="s">
        <v>236</v>
      </c>
      <c r="C2391" s="3" t="s">
        <v>237</v>
      </c>
      <c r="D2391" s="3">
        <v>2</v>
      </c>
      <c r="E2391" s="3">
        <v>132.80000000000001</v>
      </c>
      <c r="F2391">
        <f t="shared" si="37"/>
        <v>265.60000000000002</v>
      </c>
    </row>
    <row r="2392" spans="1:6" x14ac:dyDescent="0.2">
      <c r="A2392">
        <v>835</v>
      </c>
      <c r="B2392" s="3" t="s">
        <v>238</v>
      </c>
      <c r="C2392" s="3" t="s">
        <v>239</v>
      </c>
      <c r="D2392" s="3">
        <v>4</v>
      </c>
      <c r="E2392" s="3">
        <v>340.93846150000002</v>
      </c>
      <c r="F2392">
        <f t="shared" si="37"/>
        <v>1363.7538460000001</v>
      </c>
    </row>
    <row r="2393" spans="1:6" x14ac:dyDescent="0.2">
      <c r="A2393">
        <v>835</v>
      </c>
      <c r="B2393" s="3" t="s">
        <v>240</v>
      </c>
      <c r="C2393" s="3" t="s">
        <v>241</v>
      </c>
      <c r="D2393" s="3">
        <v>1</v>
      </c>
      <c r="E2393" s="3">
        <v>309.0153846</v>
      </c>
      <c r="F2393">
        <f t="shared" si="37"/>
        <v>309.0153846</v>
      </c>
    </row>
    <row r="2394" spans="1:6" x14ac:dyDescent="0.2">
      <c r="A2394">
        <v>835</v>
      </c>
      <c r="B2394" s="3" t="s">
        <v>242</v>
      </c>
      <c r="C2394" s="3" t="s">
        <v>243</v>
      </c>
      <c r="D2394" s="3">
        <v>118</v>
      </c>
      <c r="E2394" s="3">
        <v>427.7692308</v>
      </c>
      <c r="F2394">
        <f t="shared" si="37"/>
        <v>50476.769234400002</v>
      </c>
    </row>
    <row r="2395" spans="1:6" x14ac:dyDescent="0.2">
      <c r="A2395">
        <v>835</v>
      </c>
      <c r="B2395" s="3" t="s">
        <v>244</v>
      </c>
      <c r="C2395" s="3" t="s">
        <v>184</v>
      </c>
      <c r="D2395" s="3">
        <v>1</v>
      </c>
      <c r="E2395" s="3">
        <v>18.643076919999999</v>
      </c>
      <c r="F2395">
        <f t="shared" si="37"/>
        <v>18.643076919999999</v>
      </c>
    </row>
    <row r="2396" spans="1:6" x14ac:dyDescent="0.2">
      <c r="A2396">
        <v>835</v>
      </c>
      <c r="B2396" s="3" t="s">
        <v>245</v>
      </c>
      <c r="C2396" s="3" t="s">
        <v>246</v>
      </c>
      <c r="D2396" s="3">
        <v>1</v>
      </c>
      <c r="E2396" s="3">
        <v>0.44819999999999999</v>
      </c>
      <c r="F2396">
        <f t="shared" si="37"/>
        <v>0.44819999999999999</v>
      </c>
    </row>
    <row r="2397" spans="1:6" x14ac:dyDescent="0.2">
      <c r="A2397">
        <v>835</v>
      </c>
      <c r="B2397" s="3" t="s">
        <v>75</v>
      </c>
      <c r="C2397" s="3" t="s">
        <v>247</v>
      </c>
      <c r="D2397" s="3">
        <v>3</v>
      </c>
      <c r="E2397" s="3">
        <v>0.115384615</v>
      </c>
      <c r="F2397">
        <f t="shared" si="37"/>
        <v>0.34615384500000002</v>
      </c>
    </row>
    <row r="2398" spans="1:6" x14ac:dyDescent="0.2">
      <c r="A2398">
        <v>835</v>
      </c>
      <c r="B2398" s="3" t="s">
        <v>197</v>
      </c>
      <c r="C2398" s="3" t="s">
        <v>117</v>
      </c>
      <c r="D2398" s="3">
        <v>1</v>
      </c>
      <c r="E2398" s="3">
        <v>7.4700000000000003E-2</v>
      </c>
      <c r="F2398">
        <f t="shared" si="37"/>
        <v>7.4700000000000003E-2</v>
      </c>
    </row>
    <row r="2399" spans="1:6" x14ac:dyDescent="0.2">
      <c r="A2399">
        <v>835</v>
      </c>
      <c r="B2399" s="3" t="s">
        <v>248</v>
      </c>
      <c r="C2399" s="3" t="s">
        <v>249</v>
      </c>
      <c r="D2399" s="3">
        <v>2</v>
      </c>
      <c r="E2399" s="3">
        <v>31064.984619999999</v>
      </c>
      <c r="F2399">
        <f t="shared" si="37"/>
        <v>62129.969239999999</v>
      </c>
    </row>
    <row r="2400" spans="1:6" x14ac:dyDescent="0.2">
      <c r="A2400">
        <v>835</v>
      </c>
      <c r="B2400" s="3" t="s">
        <v>250</v>
      </c>
      <c r="C2400" s="3" t="s">
        <v>251</v>
      </c>
      <c r="D2400" s="3">
        <v>3</v>
      </c>
      <c r="E2400" s="3">
        <v>564.54124609999997</v>
      </c>
      <c r="F2400">
        <f t="shared" si="37"/>
        <v>1693.6237382999998</v>
      </c>
    </row>
    <row r="2401" spans="1:6" x14ac:dyDescent="0.2">
      <c r="A2401">
        <v>835</v>
      </c>
      <c r="B2401" s="3" t="s">
        <v>146</v>
      </c>
      <c r="C2401" s="3" t="s">
        <v>147</v>
      </c>
      <c r="D2401" s="3">
        <v>6</v>
      </c>
      <c r="E2401" s="3">
        <v>8021.5765000000001</v>
      </c>
      <c r="F2401">
        <f t="shared" si="37"/>
        <v>48129.459000000003</v>
      </c>
    </row>
    <row r="2402" spans="1:6" x14ac:dyDescent="0.2">
      <c r="A2402">
        <v>835</v>
      </c>
      <c r="B2402" s="3" t="s">
        <v>215</v>
      </c>
      <c r="C2402" s="3" t="s">
        <v>208</v>
      </c>
      <c r="D2402" s="3">
        <v>6</v>
      </c>
      <c r="E2402" s="3">
        <v>1.42898112</v>
      </c>
      <c r="F2402">
        <f t="shared" si="37"/>
        <v>8.5738867200000008</v>
      </c>
    </row>
    <row r="2403" spans="1:6" x14ac:dyDescent="0.2">
      <c r="A2403">
        <v>835</v>
      </c>
      <c r="B2403" s="3" t="s">
        <v>200</v>
      </c>
      <c r="C2403" s="3" t="s">
        <v>199</v>
      </c>
      <c r="D2403" s="3">
        <v>1</v>
      </c>
      <c r="E2403" s="3">
        <v>0.66373439999999995</v>
      </c>
      <c r="F2403">
        <f t="shared" si="37"/>
        <v>0.66373439999999995</v>
      </c>
    </row>
    <row r="2404" spans="1:6" x14ac:dyDescent="0.2">
      <c r="A2404">
        <v>835</v>
      </c>
      <c r="B2404" s="3" t="s">
        <v>216</v>
      </c>
      <c r="C2404" s="3" t="s">
        <v>199</v>
      </c>
      <c r="D2404" s="3">
        <v>3</v>
      </c>
      <c r="E2404" s="3">
        <v>0.66400000000000003</v>
      </c>
      <c r="F2404">
        <f t="shared" si="37"/>
        <v>1.992</v>
      </c>
    </row>
    <row r="2405" spans="1:6" x14ac:dyDescent="0.2">
      <c r="A2405">
        <v>835</v>
      </c>
      <c r="B2405" s="3" t="s">
        <v>217</v>
      </c>
      <c r="C2405" s="3" t="s">
        <v>199</v>
      </c>
      <c r="D2405" s="3">
        <v>1</v>
      </c>
      <c r="E2405" s="3">
        <v>4.2164000000000001</v>
      </c>
      <c r="F2405">
        <f t="shared" ref="F2405:F2468" si="38">D2405*E2405</f>
        <v>4.2164000000000001</v>
      </c>
    </row>
    <row r="2406" spans="1:6" x14ac:dyDescent="0.2">
      <c r="A2406">
        <v>835</v>
      </c>
      <c r="B2406" s="3" t="s">
        <v>218</v>
      </c>
      <c r="C2406" s="3" t="s">
        <v>208</v>
      </c>
      <c r="D2406" s="3">
        <v>1</v>
      </c>
      <c r="E2406" s="3">
        <v>7.3455000000000004</v>
      </c>
      <c r="F2406">
        <f t="shared" si="38"/>
        <v>7.3455000000000004</v>
      </c>
    </row>
    <row r="2407" spans="1:6" x14ac:dyDescent="0.2">
      <c r="A2407">
        <v>835</v>
      </c>
      <c r="B2407" s="3" t="s">
        <v>219</v>
      </c>
      <c r="C2407" s="3" t="s">
        <v>199</v>
      </c>
      <c r="D2407" s="3">
        <v>3</v>
      </c>
      <c r="E2407" s="3">
        <v>1.4774</v>
      </c>
      <c r="F2407">
        <f t="shared" si="38"/>
        <v>4.4321999999999999</v>
      </c>
    </row>
    <row r="2408" spans="1:6" x14ac:dyDescent="0.2">
      <c r="A2408">
        <v>835</v>
      </c>
      <c r="B2408" s="3" t="s">
        <v>220</v>
      </c>
      <c r="C2408" s="3" t="s">
        <v>208</v>
      </c>
      <c r="D2408" s="3">
        <v>2</v>
      </c>
      <c r="E2408" s="3">
        <v>3.7267000000000001</v>
      </c>
      <c r="F2408">
        <f t="shared" si="38"/>
        <v>7.4534000000000002</v>
      </c>
    </row>
    <row r="2409" spans="1:6" x14ac:dyDescent="0.2">
      <c r="A2409">
        <v>835</v>
      </c>
      <c r="B2409" s="3" t="s">
        <v>221</v>
      </c>
      <c r="C2409" s="3" t="s">
        <v>199</v>
      </c>
      <c r="D2409" s="3">
        <v>1</v>
      </c>
      <c r="E2409" s="3">
        <v>0.97940000000000005</v>
      </c>
      <c r="F2409">
        <f t="shared" si="38"/>
        <v>0.97940000000000005</v>
      </c>
    </row>
    <row r="2410" spans="1:6" x14ac:dyDescent="0.2">
      <c r="A2410">
        <v>835</v>
      </c>
      <c r="B2410" s="3" t="s">
        <v>222</v>
      </c>
      <c r="C2410" s="3" t="s">
        <v>208</v>
      </c>
      <c r="D2410" s="3">
        <v>5</v>
      </c>
      <c r="E2410" s="3">
        <v>6.0673000000000004</v>
      </c>
      <c r="F2410">
        <f t="shared" si="38"/>
        <v>30.336500000000001</v>
      </c>
    </row>
    <row r="2411" spans="1:6" x14ac:dyDescent="0.2">
      <c r="A2411">
        <v>835</v>
      </c>
      <c r="B2411" s="3" t="s">
        <v>223</v>
      </c>
      <c r="C2411" s="3" t="s">
        <v>224</v>
      </c>
      <c r="D2411" s="3">
        <v>1</v>
      </c>
      <c r="E2411" s="3">
        <v>19.4635</v>
      </c>
      <c r="F2411">
        <f t="shared" si="38"/>
        <v>19.4635</v>
      </c>
    </row>
    <row r="2412" spans="1:6" x14ac:dyDescent="0.2">
      <c r="A2412">
        <v>835</v>
      </c>
      <c r="B2412" s="3" t="s">
        <v>225</v>
      </c>
      <c r="C2412" s="3" t="s">
        <v>226</v>
      </c>
      <c r="D2412" s="3">
        <v>3</v>
      </c>
      <c r="E2412" s="3">
        <v>10.22150976</v>
      </c>
      <c r="F2412">
        <f t="shared" si="38"/>
        <v>30.66452928</v>
      </c>
    </row>
    <row r="2413" spans="1:6" x14ac:dyDescent="0.2">
      <c r="A2413">
        <v>835</v>
      </c>
      <c r="B2413" s="3" t="s">
        <v>227</v>
      </c>
      <c r="C2413" s="3" t="s">
        <v>208</v>
      </c>
      <c r="D2413" s="3">
        <v>6</v>
      </c>
      <c r="E2413" s="3">
        <v>3.6307692309999999</v>
      </c>
      <c r="F2413">
        <f t="shared" si="38"/>
        <v>21.784615385999999</v>
      </c>
    </row>
    <row r="2414" spans="1:6" x14ac:dyDescent="0.2">
      <c r="A2414">
        <v>835</v>
      </c>
      <c r="B2414" s="3" t="s">
        <v>228</v>
      </c>
      <c r="C2414" s="3" t="s">
        <v>229</v>
      </c>
      <c r="D2414" s="3">
        <v>6</v>
      </c>
      <c r="E2414" s="3">
        <v>306.94982979999997</v>
      </c>
      <c r="F2414">
        <f t="shared" si="38"/>
        <v>1841.6989787999998</v>
      </c>
    </row>
    <row r="2415" spans="1:6" x14ac:dyDescent="0.2">
      <c r="A2415">
        <v>835</v>
      </c>
      <c r="B2415" s="3" t="s">
        <v>116</v>
      </c>
      <c r="C2415" s="3" t="s">
        <v>117</v>
      </c>
      <c r="D2415" s="3">
        <v>1</v>
      </c>
      <c r="E2415" s="3">
        <v>0.25729999999999997</v>
      </c>
      <c r="F2415">
        <f t="shared" si="38"/>
        <v>0.25729999999999997</v>
      </c>
    </row>
    <row r="2416" spans="1:6" x14ac:dyDescent="0.2">
      <c r="A2416">
        <v>835</v>
      </c>
      <c r="B2416" s="3" t="s">
        <v>78</v>
      </c>
      <c r="C2416" s="3" t="s">
        <v>76</v>
      </c>
      <c r="D2416" s="3">
        <v>3</v>
      </c>
      <c r="E2416" s="3">
        <v>0.71839487999999996</v>
      </c>
      <c r="F2416">
        <f t="shared" si="38"/>
        <v>2.1551846399999999</v>
      </c>
    </row>
    <row r="2417" spans="1:6" x14ac:dyDescent="0.2">
      <c r="A2417">
        <v>835</v>
      </c>
      <c r="B2417" s="3" t="s">
        <v>231</v>
      </c>
      <c r="C2417" s="3" t="s">
        <v>208</v>
      </c>
      <c r="D2417" s="3">
        <v>1</v>
      </c>
      <c r="E2417" s="3">
        <v>2.0832999999999999</v>
      </c>
      <c r="F2417">
        <f t="shared" si="38"/>
        <v>2.0832999999999999</v>
      </c>
    </row>
    <row r="2418" spans="1:6" x14ac:dyDescent="0.2">
      <c r="A2418">
        <v>835</v>
      </c>
      <c r="B2418" s="3" t="s">
        <v>232</v>
      </c>
      <c r="C2418" s="3" t="s">
        <v>119</v>
      </c>
      <c r="D2418" s="3">
        <v>1</v>
      </c>
      <c r="E2418" s="3">
        <v>1.5935999999999999</v>
      </c>
      <c r="F2418">
        <f t="shared" si="38"/>
        <v>1.5935999999999999</v>
      </c>
    </row>
    <row r="2419" spans="1:6" x14ac:dyDescent="0.2">
      <c r="A2419">
        <v>835</v>
      </c>
      <c r="B2419" s="3" t="s">
        <v>233</v>
      </c>
      <c r="C2419" s="3" t="s">
        <v>234</v>
      </c>
      <c r="D2419" s="3">
        <v>3</v>
      </c>
      <c r="E2419" s="3">
        <v>3989.2954</v>
      </c>
      <c r="F2419">
        <f t="shared" si="38"/>
        <v>11967.886200000001</v>
      </c>
    </row>
    <row r="2420" spans="1:6" x14ac:dyDescent="0.2">
      <c r="A2420">
        <v>835</v>
      </c>
      <c r="B2420" s="3" t="s">
        <v>142</v>
      </c>
      <c r="C2420" s="3" t="s">
        <v>143</v>
      </c>
      <c r="D2420" s="3">
        <v>2</v>
      </c>
      <c r="E2420" s="3">
        <v>18141.642</v>
      </c>
      <c r="F2420">
        <f t="shared" si="38"/>
        <v>36283.284</v>
      </c>
    </row>
    <row r="2421" spans="1:6" x14ac:dyDescent="0.2">
      <c r="A2421">
        <v>835</v>
      </c>
      <c r="B2421" s="3" t="s">
        <v>144</v>
      </c>
      <c r="C2421" s="3" t="s">
        <v>145</v>
      </c>
      <c r="D2421" s="3">
        <v>1</v>
      </c>
      <c r="E2421" s="3">
        <v>7346.676923</v>
      </c>
      <c r="F2421">
        <f t="shared" si="38"/>
        <v>7346.676923</v>
      </c>
    </row>
    <row r="2422" spans="1:6" x14ac:dyDescent="0.2">
      <c r="A2422">
        <v>835</v>
      </c>
      <c r="B2422" s="3" t="s">
        <v>197</v>
      </c>
      <c r="C2422" s="3" t="s">
        <v>117</v>
      </c>
      <c r="D2422" s="3">
        <v>5</v>
      </c>
      <c r="E2422" s="3">
        <v>7.4700000000000003E-2</v>
      </c>
      <c r="F2422">
        <f t="shared" si="38"/>
        <v>0.3735</v>
      </c>
    </row>
    <row r="2423" spans="1:6" x14ac:dyDescent="0.2">
      <c r="A2423">
        <v>835</v>
      </c>
      <c r="B2423" s="3" t="s">
        <v>198</v>
      </c>
      <c r="C2423" s="3" t="s">
        <v>199</v>
      </c>
      <c r="D2423" s="3">
        <v>1</v>
      </c>
      <c r="E2423" s="3">
        <v>0.66373439999999995</v>
      </c>
      <c r="F2423">
        <f t="shared" si="38"/>
        <v>0.66373439999999995</v>
      </c>
    </row>
    <row r="2424" spans="1:6" x14ac:dyDescent="0.2">
      <c r="A2424">
        <v>835</v>
      </c>
      <c r="B2424" s="3" t="s">
        <v>200</v>
      </c>
      <c r="C2424" s="3" t="s">
        <v>199</v>
      </c>
      <c r="D2424" s="3">
        <v>1</v>
      </c>
      <c r="E2424" s="3">
        <v>0.66373439999999995</v>
      </c>
      <c r="F2424">
        <f t="shared" si="38"/>
        <v>0.66373439999999995</v>
      </c>
    </row>
    <row r="2425" spans="1:6" x14ac:dyDescent="0.2">
      <c r="A2425">
        <v>835</v>
      </c>
      <c r="B2425" s="3" t="s">
        <v>201</v>
      </c>
      <c r="C2425" s="3" t="s">
        <v>76</v>
      </c>
      <c r="D2425" s="3">
        <v>1</v>
      </c>
      <c r="E2425" s="3">
        <v>0.22645056</v>
      </c>
      <c r="F2425">
        <f t="shared" si="38"/>
        <v>0.22645056</v>
      </c>
    </row>
    <row r="2426" spans="1:6" x14ac:dyDescent="0.2">
      <c r="A2426">
        <v>835</v>
      </c>
      <c r="B2426" s="3" t="s">
        <v>202</v>
      </c>
      <c r="C2426" s="3" t="s">
        <v>203</v>
      </c>
      <c r="D2426" s="3">
        <v>5</v>
      </c>
      <c r="E2426" s="3">
        <v>12.45</v>
      </c>
      <c r="F2426">
        <f t="shared" si="38"/>
        <v>62.25</v>
      </c>
    </row>
    <row r="2427" spans="1:6" x14ac:dyDescent="0.2">
      <c r="A2427">
        <v>835</v>
      </c>
      <c r="B2427" s="3" t="s">
        <v>204</v>
      </c>
      <c r="C2427" s="3" t="s">
        <v>205</v>
      </c>
      <c r="D2427" s="3">
        <v>5</v>
      </c>
      <c r="E2427" s="3">
        <v>103.7221651</v>
      </c>
      <c r="F2427">
        <f t="shared" si="38"/>
        <v>518.61082550000003</v>
      </c>
    </row>
    <row r="2428" spans="1:6" x14ac:dyDescent="0.2">
      <c r="A2428">
        <v>835</v>
      </c>
      <c r="B2428" s="3" t="s">
        <v>116</v>
      </c>
      <c r="C2428" s="3" t="s">
        <v>117</v>
      </c>
      <c r="D2428" s="3">
        <v>1</v>
      </c>
      <c r="E2428" s="3">
        <v>0.25729999999999997</v>
      </c>
      <c r="F2428">
        <f t="shared" si="38"/>
        <v>0.25729999999999997</v>
      </c>
    </row>
    <row r="2429" spans="1:6" x14ac:dyDescent="0.2">
      <c r="A2429">
        <v>835</v>
      </c>
      <c r="B2429" s="3" t="s">
        <v>78</v>
      </c>
      <c r="C2429" s="3" t="s">
        <v>76</v>
      </c>
      <c r="D2429" s="3">
        <v>1</v>
      </c>
      <c r="E2429" s="3">
        <v>0.71839487999999996</v>
      </c>
      <c r="F2429">
        <f t="shared" si="38"/>
        <v>0.71839487999999996</v>
      </c>
    </row>
    <row r="2430" spans="1:6" x14ac:dyDescent="0.2">
      <c r="A2430">
        <v>835</v>
      </c>
      <c r="B2430" s="3" t="s">
        <v>207</v>
      </c>
      <c r="C2430" s="3" t="s">
        <v>208</v>
      </c>
      <c r="D2430" s="3">
        <v>4</v>
      </c>
      <c r="E2430" s="3">
        <v>4.6314000000000002</v>
      </c>
      <c r="F2430">
        <f t="shared" si="38"/>
        <v>18.525600000000001</v>
      </c>
    </row>
    <row r="2431" spans="1:6" x14ac:dyDescent="0.2">
      <c r="A2431">
        <v>835</v>
      </c>
      <c r="B2431" s="3" t="s">
        <v>209</v>
      </c>
      <c r="C2431" s="3" t="s">
        <v>210</v>
      </c>
      <c r="D2431" s="3">
        <v>3</v>
      </c>
      <c r="E2431" s="3">
        <v>39.550761600000001</v>
      </c>
      <c r="F2431">
        <f t="shared" si="38"/>
        <v>118.6522848</v>
      </c>
    </row>
    <row r="2432" spans="1:6" x14ac:dyDescent="0.2">
      <c r="A2432">
        <v>835</v>
      </c>
      <c r="B2432" s="3" t="s">
        <v>211</v>
      </c>
      <c r="C2432" s="3" t="s">
        <v>203</v>
      </c>
      <c r="D2432" s="3">
        <v>1</v>
      </c>
      <c r="E2432" s="3">
        <v>25.754899999999999</v>
      </c>
      <c r="F2432">
        <f t="shared" si="38"/>
        <v>25.754899999999999</v>
      </c>
    </row>
    <row r="2433" spans="1:6" x14ac:dyDescent="0.2">
      <c r="A2433">
        <v>835</v>
      </c>
      <c r="B2433" s="3" t="s">
        <v>212</v>
      </c>
      <c r="C2433" s="3" t="s">
        <v>213</v>
      </c>
      <c r="D2433" s="3">
        <v>3</v>
      </c>
      <c r="E2433" s="3">
        <v>272.92059999999998</v>
      </c>
      <c r="F2433">
        <f t="shared" si="38"/>
        <v>818.76179999999999</v>
      </c>
    </row>
    <row r="2434" spans="1:6" x14ac:dyDescent="0.2">
      <c r="A2434">
        <v>835</v>
      </c>
      <c r="B2434" s="3" t="s">
        <v>149</v>
      </c>
      <c r="C2434" s="3" t="s">
        <v>150</v>
      </c>
      <c r="D2434" s="3">
        <v>2</v>
      </c>
      <c r="E2434" s="3">
        <v>0.70550000000000002</v>
      </c>
      <c r="F2434">
        <f t="shared" si="38"/>
        <v>1.411</v>
      </c>
    </row>
    <row r="2435" spans="1:6" x14ac:dyDescent="0.2">
      <c r="A2435">
        <v>835</v>
      </c>
      <c r="B2435" s="3" t="s">
        <v>151</v>
      </c>
      <c r="C2435" s="3" t="s">
        <v>152</v>
      </c>
      <c r="D2435" s="3">
        <v>4</v>
      </c>
      <c r="E2435" s="3">
        <v>5.6191000000000004</v>
      </c>
      <c r="F2435">
        <f t="shared" si="38"/>
        <v>22.476400000000002</v>
      </c>
    </row>
    <row r="2436" spans="1:6" x14ac:dyDescent="0.2">
      <c r="A2436">
        <v>835</v>
      </c>
      <c r="B2436" s="3" t="s">
        <v>153</v>
      </c>
      <c r="C2436" s="3" t="s">
        <v>119</v>
      </c>
      <c r="D2436" s="3">
        <v>1</v>
      </c>
      <c r="E2436" s="3">
        <v>1.11663552</v>
      </c>
      <c r="F2436">
        <f t="shared" si="38"/>
        <v>1.11663552</v>
      </c>
    </row>
    <row r="2437" spans="1:6" x14ac:dyDescent="0.2">
      <c r="A2437">
        <v>835</v>
      </c>
      <c r="B2437" s="3" t="s">
        <v>154</v>
      </c>
      <c r="C2437" s="3" t="s">
        <v>117</v>
      </c>
      <c r="D2437" s="3">
        <v>118</v>
      </c>
      <c r="E2437" s="3">
        <v>4.3658000000000001</v>
      </c>
      <c r="F2437">
        <f t="shared" si="38"/>
        <v>515.1644</v>
      </c>
    </row>
    <row r="2438" spans="1:6" x14ac:dyDescent="0.2">
      <c r="A2438">
        <v>835</v>
      </c>
      <c r="B2438" s="3" t="s">
        <v>155</v>
      </c>
      <c r="C2438" s="3" t="s">
        <v>156</v>
      </c>
      <c r="D2438" s="3">
        <v>1</v>
      </c>
      <c r="E2438" s="3">
        <v>28.552</v>
      </c>
      <c r="F2438">
        <f t="shared" si="38"/>
        <v>28.552</v>
      </c>
    </row>
    <row r="2439" spans="1:6" x14ac:dyDescent="0.2">
      <c r="A2439">
        <v>835</v>
      </c>
      <c r="B2439" s="3" t="s">
        <v>157</v>
      </c>
      <c r="C2439" s="3" t="s">
        <v>158</v>
      </c>
      <c r="D2439" s="3">
        <v>1</v>
      </c>
      <c r="E2439" s="3">
        <v>29.456700000000001</v>
      </c>
      <c r="F2439">
        <f t="shared" si="38"/>
        <v>29.456700000000001</v>
      </c>
    </row>
    <row r="2440" spans="1:6" x14ac:dyDescent="0.2">
      <c r="A2440">
        <v>835</v>
      </c>
      <c r="B2440" s="3" t="s">
        <v>159</v>
      </c>
      <c r="C2440" s="3" t="s">
        <v>117</v>
      </c>
      <c r="D2440" s="3">
        <v>3</v>
      </c>
      <c r="E2440" s="3">
        <v>11.976900000000001</v>
      </c>
      <c r="F2440">
        <f t="shared" si="38"/>
        <v>35.930700000000002</v>
      </c>
    </row>
    <row r="2441" spans="1:6" x14ac:dyDescent="0.2">
      <c r="A2441">
        <v>835</v>
      </c>
      <c r="B2441" s="3" t="s">
        <v>116</v>
      </c>
      <c r="C2441" s="3" t="s">
        <v>117</v>
      </c>
      <c r="D2441" s="3">
        <v>1</v>
      </c>
      <c r="E2441" s="3">
        <v>0.25729999999999997</v>
      </c>
      <c r="F2441">
        <f t="shared" si="38"/>
        <v>0.25729999999999997</v>
      </c>
    </row>
    <row r="2442" spans="1:6" x14ac:dyDescent="0.2">
      <c r="A2442">
        <v>835</v>
      </c>
      <c r="B2442" s="3" t="s">
        <v>160</v>
      </c>
      <c r="C2442" s="3" t="s">
        <v>161</v>
      </c>
      <c r="D2442" s="3">
        <v>2</v>
      </c>
      <c r="E2442" s="3">
        <v>15.9194</v>
      </c>
      <c r="F2442">
        <f t="shared" si="38"/>
        <v>31.838799999999999</v>
      </c>
    </row>
    <row r="2443" spans="1:6" x14ac:dyDescent="0.2">
      <c r="A2443">
        <v>835</v>
      </c>
      <c r="B2443" s="3" t="s">
        <v>162</v>
      </c>
      <c r="C2443" s="3" t="s">
        <v>163</v>
      </c>
      <c r="D2443" s="3">
        <v>3</v>
      </c>
      <c r="E2443" s="3">
        <v>62.822699999999998</v>
      </c>
      <c r="F2443">
        <f t="shared" si="38"/>
        <v>188.46809999999999</v>
      </c>
    </row>
    <row r="2444" spans="1:6" x14ac:dyDescent="0.2">
      <c r="A2444">
        <v>835</v>
      </c>
      <c r="B2444" s="3" t="s">
        <v>164</v>
      </c>
      <c r="C2444" s="3" t="s">
        <v>165</v>
      </c>
      <c r="D2444" s="3">
        <v>6</v>
      </c>
      <c r="E2444" s="3">
        <v>29.382000000000001</v>
      </c>
      <c r="F2444">
        <f t="shared" si="38"/>
        <v>176.292</v>
      </c>
    </row>
    <row r="2445" spans="1:6" x14ac:dyDescent="0.2">
      <c r="A2445">
        <v>835</v>
      </c>
      <c r="B2445" s="3" t="s">
        <v>166</v>
      </c>
      <c r="C2445" s="3" t="s">
        <v>76</v>
      </c>
      <c r="D2445" s="3">
        <v>6</v>
      </c>
      <c r="E2445" s="3">
        <v>0.97109999999999996</v>
      </c>
      <c r="F2445">
        <f t="shared" si="38"/>
        <v>5.8266</v>
      </c>
    </row>
    <row r="2446" spans="1:6" x14ac:dyDescent="0.2">
      <c r="A2446">
        <v>835</v>
      </c>
      <c r="B2446" s="3" t="s">
        <v>167</v>
      </c>
      <c r="C2446" s="3" t="s">
        <v>168</v>
      </c>
      <c r="D2446" s="3">
        <v>1</v>
      </c>
      <c r="E2446" s="3">
        <v>68.201099999999997</v>
      </c>
      <c r="F2446">
        <f t="shared" si="38"/>
        <v>68.201099999999997</v>
      </c>
    </row>
    <row r="2447" spans="1:6" x14ac:dyDescent="0.2">
      <c r="A2447">
        <v>835</v>
      </c>
      <c r="B2447" s="3" t="s">
        <v>169</v>
      </c>
      <c r="C2447" s="3" t="s">
        <v>119</v>
      </c>
      <c r="D2447" s="3">
        <v>3</v>
      </c>
      <c r="E2447" s="3">
        <v>26.078600000000002</v>
      </c>
      <c r="F2447">
        <f t="shared" si="38"/>
        <v>78.235800000000012</v>
      </c>
    </row>
    <row r="2448" spans="1:6" x14ac:dyDescent="0.2">
      <c r="A2448">
        <v>835</v>
      </c>
      <c r="B2448" s="3" t="s">
        <v>170</v>
      </c>
      <c r="C2448" s="3" t="s">
        <v>171</v>
      </c>
      <c r="D2448" s="3">
        <v>1</v>
      </c>
      <c r="E2448" s="3">
        <v>15.438000000000001</v>
      </c>
      <c r="F2448">
        <f t="shared" si="38"/>
        <v>15.438000000000001</v>
      </c>
    </row>
    <row r="2449" spans="1:6" x14ac:dyDescent="0.2">
      <c r="A2449">
        <v>835</v>
      </c>
      <c r="B2449" s="3" t="s">
        <v>172</v>
      </c>
      <c r="C2449" s="3" t="s">
        <v>173</v>
      </c>
      <c r="D2449" s="3">
        <v>1</v>
      </c>
      <c r="E2449" s="3">
        <v>158.41380000000001</v>
      </c>
      <c r="F2449">
        <f t="shared" si="38"/>
        <v>158.41380000000001</v>
      </c>
    </row>
    <row r="2450" spans="1:6" x14ac:dyDescent="0.2">
      <c r="A2450">
        <v>835</v>
      </c>
      <c r="B2450" s="3" t="s">
        <v>174</v>
      </c>
      <c r="C2450" s="3" t="s">
        <v>119</v>
      </c>
      <c r="D2450" s="3">
        <v>3</v>
      </c>
      <c r="E2450" s="3">
        <v>1.2616000000000001</v>
      </c>
      <c r="F2450">
        <f t="shared" si="38"/>
        <v>3.7848000000000002</v>
      </c>
    </row>
    <row r="2451" spans="1:6" x14ac:dyDescent="0.2">
      <c r="A2451">
        <v>835</v>
      </c>
      <c r="B2451" s="3" t="s">
        <v>175</v>
      </c>
      <c r="C2451" s="3" t="s">
        <v>176</v>
      </c>
      <c r="D2451" s="3">
        <v>2</v>
      </c>
      <c r="E2451" s="3">
        <v>194.7595</v>
      </c>
      <c r="F2451">
        <f t="shared" si="38"/>
        <v>389.51900000000001</v>
      </c>
    </row>
    <row r="2452" spans="1:6" x14ac:dyDescent="0.2">
      <c r="A2452">
        <v>835</v>
      </c>
      <c r="B2452" s="3" t="s">
        <v>177</v>
      </c>
      <c r="C2452" s="3" t="s">
        <v>178</v>
      </c>
      <c r="D2452" s="3">
        <v>1</v>
      </c>
      <c r="E2452" s="3">
        <v>1660.6244260000001</v>
      </c>
      <c r="F2452">
        <f t="shared" si="38"/>
        <v>1660.6244260000001</v>
      </c>
    </row>
    <row r="2453" spans="1:6" x14ac:dyDescent="0.2">
      <c r="A2453">
        <v>835</v>
      </c>
      <c r="B2453" s="3" t="s">
        <v>179</v>
      </c>
      <c r="C2453" s="3" t="s">
        <v>119</v>
      </c>
      <c r="D2453" s="3">
        <v>5</v>
      </c>
      <c r="E2453" s="3">
        <v>32.444699999999997</v>
      </c>
      <c r="F2453">
        <f t="shared" si="38"/>
        <v>162.2235</v>
      </c>
    </row>
    <row r="2454" spans="1:6" x14ac:dyDescent="0.2">
      <c r="A2454">
        <v>835</v>
      </c>
      <c r="B2454" s="3" t="s">
        <v>180</v>
      </c>
      <c r="C2454" s="3" t="s">
        <v>181</v>
      </c>
      <c r="D2454" s="3">
        <v>1</v>
      </c>
      <c r="E2454" s="3">
        <v>64.117500000000007</v>
      </c>
      <c r="F2454">
        <f t="shared" si="38"/>
        <v>64.117500000000007</v>
      </c>
    </row>
    <row r="2455" spans="1:6" x14ac:dyDescent="0.2">
      <c r="A2455">
        <v>835</v>
      </c>
      <c r="B2455" s="3" t="s">
        <v>182</v>
      </c>
      <c r="C2455" s="3" t="s">
        <v>158</v>
      </c>
      <c r="D2455" s="3">
        <v>1</v>
      </c>
      <c r="E2455" s="3">
        <v>80.788189439999996</v>
      </c>
      <c r="F2455">
        <f t="shared" si="38"/>
        <v>80.788189439999996</v>
      </c>
    </row>
    <row r="2456" spans="1:6" x14ac:dyDescent="0.2">
      <c r="A2456">
        <v>835</v>
      </c>
      <c r="B2456" s="3" t="s">
        <v>183</v>
      </c>
      <c r="C2456" s="3" t="s">
        <v>184</v>
      </c>
      <c r="D2456" s="3">
        <v>1</v>
      </c>
      <c r="E2456" s="3">
        <v>548.61538459999997</v>
      </c>
      <c r="F2456">
        <f t="shared" si="38"/>
        <v>548.61538459999997</v>
      </c>
    </row>
    <row r="2457" spans="1:6" x14ac:dyDescent="0.2">
      <c r="A2457">
        <v>835</v>
      </c>
      <c r="B2457" s="3" t="s">
        <v>185</v>
      </c>
      <c r="C2457" s="3" t="s">
        <v>186</v>
      </c>
      <c r="D2457" s="3">
        <v>5</v>
      </c>
      <c r="E2457" s="3">
        <v>278.05</v>
      </c>
      <c r="F2457">
        <f t="shared" si="38"/>
        <v>1390.25</v>
      </c>
    </row>
    <row r="2458" spans="1:6" x14ac:dyDescent="0.2">
      <c r="A2458">
        <v>835</v>
      </c>
      <c r="B2458" s="3" t="s">
        <v>187</v>
      </c>
      <c r="C2458" s="3" t="s">
        <v>188</v>
      </c>
      <c r="D2458" s="3">
        <v>5</v>
      </c>
      <c r="E2458" s="3">
        <v>105.0365</v>
      </c>
      <c r="F2458">
        <f t="shared" si="38"/>
        <v>525.1825</v>
      </c>
    </row>
    <row r="2459" spans="1:6" x14ac:dyDescent="0.2">
      <c r="A2459">
        <v>835</v>
      </c>
      <c r="B2459" s="3" t="s">
        <v>189</v>
      </c>
      <c r="C2459" s="3" t="s">
        <v>163</v>
      </c>
      <c r="D2459" s="3">
        <v>1</v>
      </c>
      <c r="E2459" s="3">
        <v>154.25968320000001</v>
      </c>
      <c r="F2459">
        <f t="shared" si="38"/>
        <v>154.25968320000001</v>
      </c>
    </row>
    <row r="2460" spans="1:6" x14ac:dyDescent="0.2">
      <c r="A2460">
        <v>835</v>
      </c>
      <c r="B2460" s="3" t="s">
        <v>190</v>
      </c>
      <c r="C2460" s="3" t="s">
        <v>191</v>
      </c>
      <c r="D2460" s="3">
        <v>1</v>
      </c>
      <c r="E2460" s="3">
        <v>1397.886</v>
      </c>
      <c r="F2460">
        <f t="shared" si="38"/>
        <v>1397.886</v>
      </c>
    </row>
    <row r="2461" spans="1:6" x14ac:dyDescent="0.2">
      <c r="A2461">
        <v>835</v>
      </c>
      <c r="B2461" s="3" t="s">
        <v>192</v>
      </c>
      <c r="C2461" s="3" t="s">
        <v>193</v>
      </c>
      <c r="D2461" s="3">
        <v>4</v>
      </c>
      <c r="E2461" s="3">
        <v>843.03639169999997</v>
      </c>
      <c r="F2461">
        <f t="shared" si="38"/>
        <v>3372.1455667999999</v>
      </c>
    </row>
    <row r="2462" spans="1:6" x14ac:dyDescent="0.2">
      <c r="A2462">
        <v>835</v>
      </c>
      <c r="B2462" s="3" t="s">
        <v>194</v>
      </c>
      <c r="C2462" s="3" t="s">
        <v>193</v>
      </c>
      <c r="D2462" s="3">
        <v>3</v>
      </c>
      <c r="E2462" s="3">
        <v>868.20489999999995</v>
      </c>
      <c r="F2462">
        <f t="shared" si="38"/>
        <v>2604.6147000000001</v>
      </c>
    </row>
    <row r="2463" spans="1:6" x14ac:dyDescent="0.2">
      <c r="A2463">
        <v>835</v>
      </c>
      <c r="B2463" s="3" t="s">
        <v>195</v>
      </c>
      <c r="C2463" s="3" t="s">
        <v>117</v>
      </c>
      <c r="D2463" s="3">
        <v>1</v>
      </c>
      <c r="E2463" s="3">
        <v>1.0375000000000001</v>
      </c>
      <c r="F2463">
        <f t="shared" si="38"/>
        <v>1.0375000000000001</v>
      </c>
    </row>
    <row r="2464" spans="1:6" x14ac:dyDescent="0.2">
      <c r="A2464">
        <v>835</v>
      </c>
      <c r="B2464" s="3" t="s">
        <v>135</v>
      </c>
      <c r="C2464" s="3" t="s">
        <v>136</v>
      </c>
      <c r="D2464" s="3">
        <v>3</v>
      </c>
      <c r="E2464" s="3">
        <v>395.04690620000002</v>
      </c>
      <c r="F2464">
        <f t="shared" si="38"/>
        <v>1185.1407186000001</v>
      </c>
    </row>
    <row r="2465" spans="1:6" x14ac:dyDescent="0.2">
      <c r="A2465">
        <v>835</v>
      </c>
      <c r="B2465" s="3" t="s">
        <v>137</v>
      </c>
      <c r="C2465" s="3" t="s">
        <v>138</v>
      </c>
      <c r="D2465" s="3">
        <v>2</v>
      </c>
      <c r="E2465" s="3">
        <v>252.98431869999999</v>
      </c>
      <c r="F2465">
        <f t="shared" si="38"/>
        <v>505.96863739999998</v>
      </c>
    </row>
    <row r="2466" spans="1:6" x14ac:dyDescent="0.2">
      <c r="A2466">
        <v>835</v>
      </c>
      <c r="B2466" s="3" t="s">
        <v>139</v>
      </c>
      <c r="C2466" s="3" t="s">
        <v>140</v>
      </c>
      <c r="D2466" s="3">
        <v>4</v>
      </c>
      <c r="E2466" s="3">
        <v>2054.4575</v>
      </c>
      <c r="F2466">
        <f t="shared" si="38"/>
        <v>8217.83</v>
      </c>
    </row>
    <row r="2467" spans="1:6" x14ac:dyDescent="0.2">
      <c r="A2467">
        <v>835</v>
      </c>
      <c r="B2467" s="3" t="s">
        <v>116</v>
      </c>
      <c r="C2467" s="3" t="s">
        <v>117</v>
      </c>
      <c r="D2467" s="3">
        <v>1</v>
      </c>
      <c r="E2467" s="3">
        <v>0.25729999999999997</v>
      </c>
      <c r="F2467">
        <f t="shared" si="38"/>
        <v>0.25729999999999997</v>
      </c>
    </row>
    <row r="2468" spans="1:6" x14ac:dyDescent="0.2">
      <c r="A2468">
        <v>835</v>
      </c>
      <c r="B2468" s="3" t="s">
        <v>118</v>
      </c>
      <c r="C2468" s="3" t="s">
        <v>119</v>
      </c>
      <c r="D2468" s="3">
        <v>118</v>
      </c>
      <c r="E2468" s="3">
        <v>0.83</v>
      </c>
      <c r="F2468">
        <f t="shared" si="38"/>
        <v>97.94</v>
      </c>
    </row>
    <row r="2469" spans="1:6" x14ac:dyDescent="0.2">
      <c r="A2469">
        <v>835</v>
      </c>
      <c r="B2469" s="3" t="s">
        <v>120</v>
      </c>
      <c r="C2469" s="3" t="s">
        <v>117</v>
      </c>
      <c r="D2469" s="3">
        <v>1</v>
      </c>
      <c r="E2469" s="3">
        <v>1.5604</v>
      </c>
      <c r="F2469">
        <f t="shared" ref="F2469:F2532" si="39">D2469*E2469</f>
        <v>1.5604</v>
      </c>
    </row>
    <row r="2470" spans="1:6" x14ac:dyDescent="0.2">
      <c r="A2470">
        <v>835</v>
      </c>
      <c r="B2470" s="3" t="s">
        <v>121</v>
      </c>
      <c r="C2470" s="3" t="s">
        <v>117</v>
      </c>
      <c r="D2470" s="3">
        <v>1</v>
      </c>
      <c r="E2470" s="3">
        <v>270.83730000000003</v>
      </c>
      <c r="F2470">
        <f t="shared" si="39"/>
        <v>270.83730000000003</v>
      </c>
    </row>
    <row r="2471" spans="1:6" x14ac:dyDescent="0.2">
      <c r="A2471">
        <v>835</v>
      </c>
      <c r="B2471" s="3" t="s">
        <v>122</v>
      </c>
      <c r="C2471" s="3" t="s">
        <v>76</v>
      </c>
      <c r="D2471" s="3">
        <v>3</v>
      </c>
      <c r="E2471" s="3">
        <v>14.915100000000001</v>
      </c>
      <c r="F2471">
        <f t="shared" si="39"/>
        <v>44.7453</v>
      </c>
    </row>
    <row r="2472" spans="1:6" x14ac:dyDescent="0.2">
      <c r="A2472">
        <v>835</v>
      </c>
      <c r="B2472" s="3" t="s">
        <v>123</v>
      </c>
      <c r="C2472" s="3" t="s">
        <v>119</v>
      </c>
      <c r="D2472" s="3">
        <v>1</v>
      </c>
      <c r="E2472" s="3">
        <v>122.52460000000001</v>
      </c>
      <c r="F2472">
        <f t="shared" si="39"/>
        <v>122.52460000000001</v>
      </c>
    </row>
    <row r="2473" spans="1:6" x14ac:dyDescent="0.2">
      <c r="A2473">
        <v>835</v>
      </c>
      <c r="B2473" s="3" t="s">
        <v>124</v>
      </c>
      <c r="C2473" s="3" t="s">
        <v>119</v>
      </c>
      <c r="D2473" s="3">
        <v>2</v>
      </c>
      <c r="E2473" s="3">
        <v>65.877099999999999</v>
      </c>
      <c r="F2473">
        <f t="shared" si="39"/>
        <v>131.7542</v>
      </c>
    </row>
    <row r="2474" spans="1:6" x14ac:dyDescent="0.2">
      <c r="A2474">
        <v>835</v>
      </c>
      <c r="B2474" s="3" t="s">
        <v>125</v>
      </c>
      <c r="C2474" s="3" t="s">
        <v>117</v>
      </c>
      <c r="D2474" s="3">
        <v>3</v>
      </c>
      <c r="E2474" s="3">
        <v>45.957099999999997</v>
      </c>
      <c r="F2474">
        <f t="shared" si="39"/>
        <v>137.87129999999999</v>
      </c>
    </row>
    <row r="2475" spans="1:6" x14ac:dyDescent="0.2">
      <c r="A2475">
        <v>835</v>
      </c>
      <c r="B2475" s="3" t="s">
        <v>126</v>
      </c>
      <c r="C2475" s="3" t="s">
        <v>127</v>
      </c>
      <c r="D2475" s="3">
        <v>6</v>
      </c>
      <c r="E2475" s="3">
        <v>411.49740000000003</v>
      </c>
      <c r="F2475">
        <f t="shared" si="39"/>
        <v>2468.9844000000003</v>
      </c>
    </row>
    <row r="2476" spans="1:6" x14ac:dyDescent="0.2">
      <c r="A2476">
        <v>835</v>
      </c>
      <c r="B2476" s="3" t="s">
        <v>129</v>
      </c>
      <c r="C2476" s="3" t="s">
        <v>130</v>
      </c>
      <c r="D2476" s="3">
        <v>6</v>
      </c>
      <c r="E2476" s="3">
        <v>6724.2781999999997</v>
      </c>
      <c r="F2476">
        <f t="shared" si="39"/>
        <v>40345.669199999997</v>
      </c>
    </row>
    <row r="2477" spans="1:6" x14ac:dyDescent="0.2">
      <c r="A2477">
        <v>835</v>
      </c>
      <c r="B2477" s="3">
        <v>4656354</v>
      </c>
      <c r="C2477" s="3" t="s">
        <v>133</v>
      </c>
      <c r="D2477" s="3">
        <v>1</v>
      </c>
      <c r="E2477" s="3">
        <v>1168.0257999999999</v>
      </c>
      <c r="F2477">
        <f t="shared" si="39"/>
        <v>1168.0257999999999</v>
      </c>
    </row>
    <row r="2478" spans="1:6" x14ac:dyDescent="0.2">
      <c r="A2478">
        <v>835</v>
      </c>
      <c r="B2478" s="3" t="s">
        <v>110</v>
      </c>
      <c r="C2478" s="3" t="s">
        <v>111</v>
      </c>
      <c r="D2478" s="3">
        <v>3</v>
      </c>
      <c r="E2478" s="3">
        <v>119.83540000000001</v>
      </c>
      <c r="F2478">
        <f t="shared" si="39"/>
        <v>359.50620000000004</v>
      </c>
    </row>
    <row r="2479" spans="1:6" x14ac:dyDescent="0.2">
      <c r="A2479">
        <v>835</v>
      </c>
      <c r="B2479" s="3" t="s">
        <v>112</v>
      </c>
      <c r="C2479" s="3" t="s">
        <v>113</v>
      </c>
      <c r="D2479" s="3">
        <v>1</v>
      </c>
      <c r="E2479" s="3">
        <v>97.646153850000005</v>
      </c>
      <c r="F2479">
        <f t="shared" si="39"/>
        <v>97.646153850000005</v>
      </c>
    </row>
    <row r="2480" spans="1:6" x14ac:dyDescent="0.2">
      <c r="A2480">
        <v>835</v>
      </c>
      <c r="B2480" s="3" t="s">
        <v>110</v>
      </c>
      <c r="C2480" s="3" t="s">
        <v>111</v>
      </c>
      <c r="D2480" s="3">
        <v>1</v>
      </c>
      <c r="E2480" s="3">
        <v>119.83540000000001</v>
      </c>
      <c r="F2480">
        <f t="shared" si="39"/>
        <v>119.83540000000001</v>
      </c>
    </row>
    <row r="2481" spans="1:6" x14ac:dyDescent="0.2">
      <c r="A2481">
        <v>835</v>
      </c>
      <c r="B2481" s="3" t="s">
        <v>112</v>
      </c>
      <c r="C2481" s="3" t="s">
        <v>113</v>
      </c>
      <c r="D2481" s="3">
        <v>3</v>
      </c>
      <c r="E2481" s="3">
        <v>97.646153850000005</v>
      </c>
      <c r="F2481">
        <f t="shared" si="39"/>
        <v>292.93846155</v>
      </c>
    </row>
    <row r="2482" spans="1:6" x14ac:dyDescent="0.2">
      <c r="A2482">
        <v>835</v>
      </c>
      <c r="B2482" s="3" t="s">
        <v>97</v>
      </c>
      <c r="C2482" s="3" t="s">
        <v>98</v>
      </c>
      <c r="D2482" s="3">
        <v>2</v>
      </c>
      <c r="E2482" s="3">
        <v>189.87909999999999</v>
      </c>
      <c r="F2482">
        <f t="shared" si="39"/>
        <v>379.75819999999999</v>
      </c>
    </row>
    <row r="2483" spans="1:6" x14ac:dyDescent="0.2">
      <c r="A2483">
        <v>835</v>
      </c>
      <c r="B2483" s="3" t="s">
        <v>99</v>
      </c>
      <c r="C2483" s="3" t="s">
        <v>100</v>
      </c>
      <c r="D2483" s="3">
        <v>1</v>
      </c>
      <c r="E2483" s="3">
        <v>1287.1384619999999</v>
      </c>
      <c r="F2483">
        <f t="shared" si="39"/>
        <v>1287.1384619999999</v>
      </c>
    </row>
    <row r="2484" spans="1:6" x14ac:dyDescent="0.2">
      <c r="A2484">
        <v>835</v>
      </c>
      <c r="B2484" s="3" t="s">
        <v>101</v>
      </c>
      <c r="C2484" s="3" t="s">
        <v>102</v>
      </c>
      <c r="D2484" s="3">
        <v>5</v>
      </c>
      <c r="E2484" s="3">
        <v>1363.037155</v>
      </c>
      <c r="F2484">
        <f t="shared" si="39"/>
        <v>6815.1857749999999</v>
      </c>
    </row>
    <row r="2485" spans="1:6" x14ac:dyDescent="0.2">
      <c r="A2485">
        <v>835</v>
      </c>
      <c r="B2485" s="3" t="s">
        <v>103</v>
      </c>
      <c r="C2485" s="3" t="s">
        <v>104</v>
      </c>
      <c r="D2485" s="3">
        <v>1</v>
      </c>
      <c r="E2485" s="3">
        <v>423.5822</v>
      </c>
      <c r="F2485">
        <f t="shared" si="39"/>
        <v>423.5822</v>
      </c>
    </row>
    <row r="2486" spans="1:6" x14ac:dyDescent="0.2">
      <c r="A2486">
        <v>835</v>
      </c>
      <c r="B2486" s="3" t="s">
        <v>105</v>
      </c>
      <c r="C2486" s="3" t="s">
        <v>106</v>
      </c>
      <c r="D2486" s="3">
        <v>3</v>
      </c>
      <c r="E2486" s="3">
        <v>36.470199999999998</v>
      </c>
      <c r="F2486">
        <f t="shared" si="39"/>
        <v>109.41059999999999</v>
      </c>
    </row>
    <row r="2487" spans="1:6" x14ac:dyDescent="0.2">
      <c r="A2487">
        <v>835</v>
      </c>
      <c r="B2487" s="3" t="s">
        <v>107</v>
      </c>
      <c r="C2487" s="3" t="s">
        <v>108</v>
      </c>
      <c r="D2487" s="3">
        <v>6</v>
      </c>
      <c r="E2487" s="3">
        <v>61.492307689999997</v>
      </c>
      <c r="F2487">
        <f t="shared" si="39"/>
        <v>368.95384614</v>
      </c>
    </row>
    <row r="2488" spans="1:6" x14ac:dyDescent="0.2">
      <c r="A2488">
        <v>835</v>
      </c>
      <c r="B2488" s="3" t="s">
        <v>62</v>
      </c>
      <c r="C2488" s="3" t="s">
        <v>323</v>
      </c>
      <c r="D2488" s="3">
        <v>6</v>
      </c>
      <c r="E2488" s="3">
        <v>0.34860000000000002</v>
      </c>
      <c r="F2488">
        <f t="shared" si="39"/>
        <v>2.0916000000000001</v>
      </c>
    </row>
    <row r="2489" spans="1:6" x14ac:dyDescent="0.2">
      <c r="A2489">
        <v>835</v>
      </c>
      <c r="B2489" s="3" t="s">
        <v>324</v>
      </c>
      <c r="C2489" s="3" t="s">
        <v>273</v>
      </c>
      <c r="D2489" s="3">
        <v>1</v>
      </c>
      <c r="E2489" s="3">
        <v>0.95450000000000002</v>
      </c>
      <c r="F2489">
        <f t="shared" si="39"/>
        <v>0.95450000000000002</v>
      </c>
    </row>
    <row r="2490" spans="1:6" x14ac:dyDescent="0.2">
      <c r="A2490">
        <v>835</v>
      </c>
      <c r="B2490" s="3" t="s">
        <v>325</v>
      </c>
      <c r="C2490" s="3" t="s">
        <v>273</v>
      </c>
      <c r="D2490" s="3">
        <v>3</v>
      </c>
      <c r="E2490" s="3">
        <v>3.3692307690000001</v>
      </c>
      <c r="F2490">
        <f t="shared" si="39"/>
        <v>10.107692307000001</v>
      </c>
    </row>
    <row r="2491" spans="1:6" x14ac:dyDescent="0.2">
      <c r="A2491">
        <v>835</v>
      </c>
      <c r="B2491" s="3" t="s">
        <v>154</v>
      </c>
      <c r="C2491" s="3" t="s">
        <v>278</v>
      </c>
      <c r="D2491" s="3">
        <v>1</v>
      </c>
      <c r="E2491" s="3">
        <v>4.3658000000000001</v>
      </c>
      <c r="F2491">
        <f t="shared" si="39"/>
        <v>4.3658000000000001</v>
      </c>
    </row>
    <row r="2492" spans="1:6" x14ac:dyDescent="0.2">
      <c r="A2492">
        <v>835</v>
      </c>
      <c r="B2492" s="3" t="s">
        <v>290</v>
      </c>
      <c r="C2492" s="3" t="s">
        <v>278</v>
      </c>
      <c r="D2492" s="3">
        <v>1</v>
      </c>
      <c r="E2492" s="3">
        <v>43.751809919999999</v>
      </c>
      <c r="F2492">
        <f t="shared" si="39"/>
        <v>43.751809919999999</v>
      </c>
    </row>
    <row r="2493" spans="1:6" x14ac:dyDescent="0.2">
      <c r="A2493">
        <v>835</v>
      </c>
      <c r="B2493" s="3" t="s">
        <v>288</v>
      </c>
      <c r="C2493" s="3" t="s">
        <v>289</v>
      </c>
      <c r="D2493" s="3">
        <v>3</v>
      </c>
      <c r="E2493" s="3">
        <v>7.3401215999999998</v>
      </c>
      <c r="F2493">
        <f t="shared" si="39"/>
        <v>22.020364799999999</v>
      </c>
    </row>
    <row r="2494" spans="1:6" x14ac:dyDescent="0.2">
      <c r="A2494">
        <v>835</v>
      </c>
      <c r="B2494" s="3" t="s">
        <v>287</v>
      </c>
      <c r="C2494" s="3" t="s">
        <v>273</v>
      </c>
      <c r="D2494" s="3">
        <v>2</v>
      </c>
      <c r="E2494" s="3">
        <v>100.66898689999999</v>
      </c>
      <c r="F2494">
        <f t="shared" si="39"/>
        <v>201.33797379999999</v>
      </c>
    </row>
    <row r="2495" spans="1:6" x14ac:dyDescent="0.2">
      <c r="A2495">
        <v>835</v>
      </c>
      <c r="B2495" s="3" t="s">
        <v>285</v>
      </c>
      <c r="C2495" s="3" t="s">
        <v>286</v>
      </c>
      <c r="D2495" s="3">
        <v>1</v>
      </c>
      <c r="E2495" s="3">
        <v>58.189985280000002</v>
      </c>
      <c r="F2495">
        <f t="shared" si="39"/>
        <v>58.189985280000002</v>
      </c>
    </row>
    <row r="2496" spans="1:6" x14ac:dyDescent="0.2">
      <c r="A2496">
        <v>835</v>
      </c>
      <c r="B2496" s="3" t="s">
        <v>291</v>
      </c>
      <c r="C2496" s="3" t="s">
        <v>278</v>
      </c>
      <c r="D2496" s="3">
        <v>5</v>
      </c>
      <c r="E2496" s="3">
        <v>24.136399999999998</v>
      </c>
      <c r="F2496">
        <f t="shared" si="39"/>
        <v>120.68199999999999</v>
      </c>
    </row>
    <row r="2497" spans="1:6" x14ac:dyDescent="0.2">
      <c r="A2497">
        <v>835</v>
      </c>
      <c r="B2497" s="3" t="s">
        <v>277</v>
      </c>
      <c r="C2497" s="3" t="s">
        <v>278</v>
      </c>
      <c r="D2497" s="3">
        <v>1</v>
      </c>
      <c r="E2497" s="3">
        <v>41.026594559999999</v>
      </c>
      <c r="F2497">
        <f t="shared" si="39"/>
        <v>41.026594559999999</v>
      </c>
    </row>
    <row r="2498" spans="1:6" x14ac:dyDescent="0.2">
      <c r="A2498">
        <v>835</v>
      </c>
      <c r="B2498" s="3" t="s">
        <v>326</v>
      </c>
      <c r="C2498" s="3" t="s">
        <v>278</v>
      </c>
      <c r="D2498" s="3">
        <v>1</v>
      </c>
      <c r="E2498" s="3">
        <v>3.97459776</v>
      </c>
      <c r="F2498">
        <f t="shared" si="39"/>
        <v>3.97459776</v>
      </c>
    </row>
    <row r="2499" spans="1:6" x14ac:dyDescent="0.2">
      <c r="A2499">
        <v>835</v>
      </c>
      <c r="B2499" s="3" t="s">
        <v>274</v>
      </c>
      <c r="C2499" s="3" t="s">
        <v>273</v>
      </c>
      <c r="D2499" s="3">
        <v>1</v>
      </c>
      <c r="E2499" s="3">
        <v>149.230919</v>
      </c>
      <c r="F2499">
        <f t="shared" si="39"/>
        <v>149.230919</v>
      </c>
    </row>
    <row r="2500" spans="1:6" x14ac:dyDescent="0.2">
      <c r="A2500">
        <v>835</v>
      </c>
      <c r="B2500" s="3" t="s">
        <v>327</v>
      </c>
      <c r="C2500" s="3" t="s">
        <v>309</v>
      </c>
      <c r="D2500" s="3">
        <v>5</v>
      </c>
      <c r="E2500" s="3">
        <v>1532.523686</v>
      </c>
      <c r="F2500">
        <f t="shared" si="39"/>
        <v>7662.6184300000004</v>
      </c>
    </row>
    <row r="2501" spans="1:6" x14ac:dyDescent="0.2">
      <c r="A2501">
        <v>835</v>
      </c>
      <c r="B2501" s="3" t="s">
        <v>328</v>
      </c>
      <c r="C2501" s="3" t="s">
        <v>329</v>
      </c>
      <c r="D2501" s="3">
        <v>5</v>
      </c>
      <c r="E2501" s="3">
        <v>155.6230769</v>
      </c>
      <c r="F2501">
        <f t="shared" si="39"/>
        <v>778.1153845</v>
      </c>
    </row>
    <row r="2502" spans="1:6" x14ac:dyDescent="0.2">
      <c r="A2502">
        <v>835</v>
      </c>
      <c r="B2502" s="3" t="s">
        <v>330</v>
      </c>
      <c r="C2502" s="3" t="s">
        <v>331</v>
      </c>
      <c r="D2502" s="3">
        <v>1</v>
      </c>
      <c r="E2502" s="3">
        <v>710.44615380000005</v>
      </c>
      <c r="F2502">
        <f t="shared" si="39"/>
        <v>710.44615380000005</v>
      </c>
    </row>
    <row r="2503" spans="1:6" x14ac:dyDescent="0.2">
      <c r="A2503">
        <v>835</v>
      </c>
      <c r="B2503" s="3" t="s">
        <v>332</v>
      </c>
      <c r="C2503" s="3" t="s">
        <v>333</v>
      </c>
      <c r="D2503" s="3">
        <v>1</v>
      </c>
      <c r="E2503" s="3">
        <v>167.55384620000001</v>
      </c>
      <c r="F2503">
        <f t="shared" si="39"/>
        <v>167.55384620000001</v>
      </c>
    </row>
    <row r="2504" spans="1:6" x14ac:dyDescent="0.2">
      <c r="A2504">
        <v>835</v>
      </c>
      <c r="B2504" s="3" t="s">
        <v>272</v>
      </c>
      <c r="C2504" s="3" t="s">
        <v>273</v>
      </c>
      <c r="D2504" s="3">
        <v>4</v>
      </c>
      <c r="E2504" s="3">
        <v>170.1112224</v>
      </c>
      <c r="F2504">
        <f t="shared" si="39"/>
        <v>680.44488960000001</v>
      </c>
    </row>
    <row r="2505" spans="1:6" x14ac:dyDescent="0.2">
      <c r="A2505">
        <v>835</v>
      </c>
      <c r="B2505" s="3" t="s">
        <v>275</v>
      </c>
      <c r="C2505" s="3" t="s">
        <v>276</v>
      </c>
      <c r="D2505" s="3">
        <v>3</v>
      </c>
      <c r="E2505" s="3">
        <v>9.0814483199999998</v>
      </c>
      <c r="F2505">
        <f t="shared" si="39"/>
        <v>27.244344959999999</v>
      </c>
    </row>
    <row r="2506" spans="1:6" x14ac:dyDescent="0.2">
      <c r="A2506">
        <v>835</v>
      </c>
      <c r="B2506" s="3" t="s">
        <v>334</v>
      </c>
      <c r="C2506" s="3" t="s">
        <v>329</v>
      </c>
      <c r="D2506" s="3">
        <v>1</v>
      </c>
      <c r="E2506" s="3">
        <v>149.03076920000001</v>
      </c>
      <c r="F2506">
        <f t="shared" si="39"/>
        <v>149.03076920000001</v>
      </c>
    </row>
    <row r="2507" spans="1:6" x14ac:dyDescent="0.2">
      <c r="A2507">
        <v>835</v>
      </c>
      <c r="B2507" s="3" t="s">
        <v>335</v>
      </c>
      <c r="C2507" s="3" t="s">
        <v>331</v>
      </c>
      <c r="D2507" s="3">
        <v>3</v>
      </c>
      <c r="E2507" s="3">
        <v>703.1</v>
      </c>
      <c r="F2507">
        <f t="shared" si="39"/>
        <v>2109.3000000000002</v>
      </c>
    </row>
    <row r="2508" spans="1:6" x14ac:dyDescent="0.2">
      <c r="A2508">
        <v>835</v>
      </c>
      <c r="B2508" s="3" t="s">
        <v>336</v>
      </c>
      <c r="C2508" s="3" t="s">
        <v>333</v>
      </c>
      <c r="D2508" s="3">
        <v>2</v>
      </c>
      <c r="E2508" s="3">
        <v>288.42307690000001</v>
      </c>
      <c r="F2508">
        <f t="shared" si="39"/>
        <v>576.84615380000002</v>
      </c>
    </row>
    <row r="2509" spans="1:6" x14ac:dyDescent="0.2">
      <c r="A2509">
        <v>835</v>
      </c>
      <c r="B2509" s="3" t="s">
        <v>337</v>
      </c>
      <c r="C2509" s="3" t="s">
        <v>297</v>
      </c>
      <c r="D2509" s="3">
        <v>4</v>
      </c>
      <c r="E2509" s="3">
        <v>11.761100000000001</v>
      </c>
      <c r="F2509">
        <f t="shared" si="39"/>
        <v>47.044400000000003</v>
      </c>
    </row>
    <row r="2510" spans="1:6" x14ac:dyDescent="0.2">
      <c r="A2510">
        <v>835</v>
      </c>
      <c r="B2510" s="3" t="s">
        <v>338</v>
      </c>
      <c r="C2510" s="3" t="s">
        <v>297</v>
      </c>
      <c r="D2510" s="3">
        <v>1</v>
      </c>
      <c r="E2510" s="3">
        <v>11.712960000000001</v>
      </c>
      <c r="F2510">
        <f t="shared" si="39"/>
        <v>11.712960000000001</v>
      </c>
    </row>
    <row r="2511" spans="1:6" x14ac:dyDescent="0.2">
      <c r="A2511">
        <v>835</v>
      </c>
      <c r="B2511" s="3" t="s">
        <v>339</v>
      </c>
      <c r="C2511" s="3" t="s">
        <v>297</v>
      </c>
      <c r="D2511" s="3">
        <v>118</v>
      </c>
      <c r="E2511" s="3">
        <v>20.279038079999999</v>
      </c>
      <c r="F2511">
        <f t="shared" si="39"/>
        <v>2392.9264934399998</v>
      </c>
    </row>
    <row r="2512" spans="1:6" x14ac:dyDescent="0.2">
      <c r="A2512">
        <v>835</v>
      </c>
      <c r="B2512" s="3" t="s">
        <v>340</v>
      </c>
      <c r="C2512" s="3" t="s">
        <v>309</v>
      </c>
      <c r="D2512" s="3">
        <v>1</v>
      </c>
      <c r="E2512" s="3">
        <v>1536.3343030000001</v>
      </c>
      <c r="F2512">
        <f t="shared" si="39"/>
        <v>1536.3343030000001</v>
      </c>
    </row>
    <row r="2513" spans="1:6" x14ac:dyDescent="0.2">
      <c r="A2513">
        <v>835</v>
      </c>
      <c r="B2513" s="3" t="s">
        <v>341</v>
      </c>
      <c r="C2513" s="3" t="s">
        <v>342</v>
      </c>
      <c r="D2513" s="3">
        <v>1</v>
      </c>
      <c r="E2513" s="3">
        <v>307.22449999999998</v>
      </c>
      <c r="F2513">
        <f t="shared" si="39"/>
        <v>307.22449999999998</v>
      </c>
    </row>
    <row r="2514" spans="1:6" x14ac:dyDescent="0.2">
      <c r="A2514">
        <v>835</v>
      </c>
      <c r="B2514" s="3" t="s">
        <v>284</v>
      </c>
      <c r="C2514" s="3" t="s">
        <v>273</v>
      </c>
      <c r="D2514" s="3">
        <v>3</v>
      </c>
      <c r="E2514" s="3">
        <v>15.547002239999999</v>
      </c>
      <c r="F2514">
        <f t="shared" si="39"/>
        <v>46.64100672</v>
      </c>
    </row>
    <row r="2515" spans="1:6" x14ac:dyDescent="0.2">
      <c r="A2515">
        <v>835</v>
      </c>
      <c r="B2515" s="3" t="s">
        <v>283</v>
      </c>
      <c r="C2515" s="3" t="s">
        <v>278</v>
      </c>
      <c r="D2515" s="3">
        <v>1</v>
      </c>
      <c r="E2515" s="3">
        <v>101.7621965</v>
      </c>
      <c r="F2515">
        <f t="shared" si="39"/>
        <v>101.7621965</v>
      </c>
    </row>
    <row r="2516" spans="1:6" x14ac:dyDescent="0.2">
      <c r="A2516">
        <v>835</v>
      </c>
      <c r="B2516" s="3" t="s">
        <v>281</v>
      </c>
      <c r="C2516" s="3" t="s">
        <v>282</v>
      </c>
      <c r="D2516" s="3">
        <v>2</v>
      </c>
      <c r="E2516" s="3">
        <v>43.369186560000003</v>
      </c>
      <c r="F2516">
        <f t="shared" si="39"/>
        <v>86.738373120000006</v>
      </c>
    </row>
    <row r="2517" spans="1:6" x14ac:dyDescent="0.2">
      <c r="A2517">
        <v>835</v>
      </c>
      <c r="B2517" s="3" t="s">
        <v>279</v>
      </c>
      <c r="C2517" s="3" t="s">
        <v>280</v>
      </c>
      <c r="D2517" s="3">
        <v>3</v>
      </c>
      <c r="E2517" s="3">
        <v>36.786503039999999</v>
      </c>
      <c r="F2517">
        <f t="shared" si="39"/>
        <v>110.35950912</v>
      </c>
    </row>
    <row r="2518" spans="1:6" x14ac:dyDescent="0.2">
      <c r="A2518">
        <v>835</v>
      </c>
      <c r="B2518" s="3" t="s">
        <v>343</v>
      </c>
      <c r="C2518" s="3" t="s">
        <v>282</v>
      </c>
      <c r="D2518" s="3">
        <v>6</v>
      </c>
      <c r="E2518" s="3">
        <v>16.807500000000001</v>
      </c>
      <c r="F2518">
        <f t="shared" si="39"/>
        <v>100.845</v>
      </c>
    </row>
    <row r="2519" spans="1:6" x14ac:dyDescent="0.2">
      <c r="A2519">
        <v>835</v>
      </c>
      <c r="B2519" s="3" t="s">
        <v>344</v>
      </c>
      <c r="C2519" s="3" t="s">
        <v>282</v>
      </c>
      <c r="D2519" s="3">
        <v>6</v>
      </c>
      <c r="E2519" s="3">
        <v>12.7671264</v>
      </c>
      <c r="F2519">
        <f t="shared" si="39"/>
        <v>76.602758399999999</v>
      </c>
    </row>
    <row r="2520" spans="1:6" x14ac:dyDescent="0.2">
      <c r="A2520">
        <v>835</v>
      </c>
      <c r="B2520" s="3" t="s">
        <v>270</v>
      </c>
      <c r="C2520" s="3" t="s">
        <v>271</v>
      </c>
      <c r="D2520" s="3">
        <v>1</v>
      </c>
      <c r="E2520" s="3">
        <v>3027.0973819999999</v>
      </c>
      <c r="F2520">
        <f t="shared" si="39"/>
        <v>3027.0973819999999</v>
      </c>
    </row>
    <row r="2521" spans="1:6" x14ac:dyDescent="0.2">
      <c r="A2521">
        <v>835</v>
      </c>
      <c r="B2521" s="3" t="s">
        <v>272</v>
      </c>
      <c r="C2521" s="3" t="s">
        <v>273</v>
      </c>
      <c r="D2521" s="3">
        <v>3</v>
      </c>
      <c r="E2521" s="3">
        <v>170.1112224</v>
      </c>
      <c r="F2521">
        <f t="shared" si="39"/>
        <v>510.33366720000004</v>
      </c>
    </row>
    <row r="2522" spans="1:6" x14ac:dyDescent="0.2">
      <c r="A2522">
        <v>835</v>
      </c>
      <c r="B2522" s="3" t="s">
        <v>274</v>
      </c>
      <c r="C2522" s="3" t="s">
        <v>273</v>
      </c>
      <c r="D2522" s="3">
        <v>1</v>
      </c>
      <c r="E2522" s="3">
        <v>149.230919</v>
      </c>
      <c r="F2522">
        <f t="shared" si="39"/>
        <v>149.230919</v>
      </c>
    </row>
    <row r="2523" spans="1:6" x14ac:dyDescent="0.2">
      <c r="A2523">
        <v>835</v>
      </c>
      <c r="B2523" s="3" t="s">
        <v>275</v>
      </c>
      <c r="C2523" s="3" t="s">
        <v>276</v>
      </c>
      <c r="D2523" s="3">
        <v>1</v>
      </c>
      <c r="E2523" s="3">
        <v>9.0814483199999998</v>
      </c>
      <c r="F2523">
        <f t="shared" si="39"/>
        <v>9.0814483199999998</v>
      </c>
    </row>
    <row r="2524" spans="1:6" x14ac:dyDescent="0.2">
      <c r="A2524">
        <v>835</v>
      </c>
      <c r="B2524" s="3" t="s">
        <v>277</v>
      </c>
      <c r="C2524" s="3" t="s">
        <v>278</v>
      </c>
      <c r="D2524" s="3">
        <v>3</v>
      </c>
      <c r="E2524" s="3">
        <v>41.026594559999999</v>
      </c>
      <c r="F2524">
        <f t="shared" si="39"/>
        <v>123.07978367999999</v>
      </c>
    </row>
    <row r="2525" spans="1:6" x14ac:dyDescent="0.2">
      <c r="A2525">
        <v>835</v>
      </c>
      <c r="B2525" s="3" t="s">
        <v>279</v>
      </c>
      <c r="C2525" s="3" t="s">
        <v>280</v>
      </c>
      <c r="D2525" s="3">
        <v>2</v>
      </c>
      <c r="E2525" s="3">
        <v>36.786503039999999</v>
      </c>
      <c r="F2525">
        <f t="shared" si="39"/>
        <v>73.573006079999999</v>
      </c>
    </row>
    <row r="2526" spans="1:6" x14ac:dyDescent="0.2">
      <c r="A2526">
        <v>835</v>
      </c>
      <c r="B2526" s="3" t="s">
        <v>281</v>
      </c>
      <c r="C2526" s="3" t="s">
        <v>282</v>
      </c>
      <c r="D2526" s="3">
        <v>1</v>
      </c>
      <c r="E2526" s="3">
        <v>43.369186560000003</v>
      </c>
      <c r="F2526">
        <f t="shared" si="39"/>
        <v>43.369186560000003</v>
      </c>
    </row>
    <row r="2527" spans="1:6" x14ac:dyDescent="0.2">
      <c r="A2527">
        <v>835</v>
      </c>
      <c r="B2527" s="3" t="s">
        <v>283</v>
      </c>
      <c r="C2527" s="3" t="s">
        <v>278</v>
      </c>
      <c r="D2527" s="3">
        <v>5</v>
      </c>
      <c r="E2527" s="3">
        <v>101.7621965</v>
      </c>
      <c r="F2527">
        <f t="shared" si="39"/>
        <v>508.81098250000002</v>
      </c>
    </row>
    <row r="2528" spans="1:6" x14ac:dyDescent="0.2">
      <c r="A2528">
        <v>835</v>
      </c>
      <c r="B2528" s="3" t="s">
        <v>284</v>
      </c>
      <c r="C2528" s="3" t="s">
        <v>273</v>
      </c>
      <c r="D2528" s="3">
        <v>1</v>
      </c>
      <c r="E2528" s="3">
        <v>15.547002239999999</v>
      </c>
      <c r="F2528">
        <f t="shared" si="39"/>
        <v>15.547002239999999</v>
      </c>
    </row>
    <row r="2529" spans="1:6" x14ac:dyDescent="0.2">
      <c r="A2529">
        <v>835</v>
      </c>
      <c r="B2529" s="3" t="s">
        <v>285</v>
      </c>
      <c r="C2529" s="3" t="s">
        <v>286</v>
      </c>
      <c r="D2529" s="3">
        <v>1</v>
      </c>
      <c r="E2529" s="3">
        <v>58.189985280000002</v>
      </c>
      <c r="F2529">
        <f t="shared" si="39"/>
        <v>58.189985280000002</v>
      </c>
    </row>
    <row r="2530" spans="1:6" x14ac:dyDescent="0.2">
      <c r="A2530">
        <v>835</v>
      </c>
      <c r="B2530" s="3" t="s">
        <v>287</v>
      </c>
      <c r="C2530" s="3" t="s">
        <v>273</v>
      </c>
      <c r="D2530" s="3">
        <v>1</v>
      </c>
      <c r="E2530" s="3">
        <v>100.66898689999999</v>
      </c>
      <c r="F2530">
        <f t="shared" si="39"/>
        <v>100.66898689999999</v>
      </c>
    </row>
    <row r="2531" spans="1:6" x14ac:dyDescent="0.2">
      <c r="A2531">
        <v>835</v>
      </c>
      <c r="B2531" s="3" t="s">
        <v>288</v>
      </c>
      <c r="C2531" s="3" t="s">
        <v>289</v>
      </c>
      <c r="D2531" s="3">
        <v>5</v>
      </c>
      <c r="E2531" s="3">
        <v>7.3401215999999998</v>
      </c>
      <c r="F2531">
        <f t="shared" si="39"/>
        <v>36.700608000000003</v>
      </c>
    </row>
    <row r="2532" spans="1:6" x14ac:dyDescent="0.2">
      <c r="A2532">
        <v>835</v>
      </c>
      <c r="B2532" s="3" t="s">
        <v>290</v>
      </c>
      <c r="C2532" s="3" t="s">
        <v>278</v>
      </c>
      <c r="D2532" s="3">
        <v>5</v>
      </c>
      <c r="E2532" s="3">
        <v>43.751809919999999</v>
      </c>
      <c r="F2532">
        <f t="shared" si="39"/>
        <v>218.7590496</v>
      </c>
    </row>
    <row r="2533" spans="1:6" x14ac:dyDescent="0.2">
      <c r="A2533">
        <v>835</v>
      </c>
      <c r="B2533" s="3" t="s">
        <v>277</v>
      </c>
      <c r="C2533" s="3" t="s">
        <v>278</v>
      </c>
      <c r="D2533" s="3">
        <v>1</v>
      </c>
      <c r="E2533" s="3">
        <v>41.026594559999999</v>
      </c>
      <c r="F2533">
        <f t="shared" ref="F2533:F2596" si="40">D2533*E2533</f>
        <v>41.026594559999999</v>
      </c>
    </row>
    <row r="2534" spans="1:6" x14ac:dyDescent="0.2">
      <c r="A2534">
        <v>835</v>
      </c>
      <c r="B2534" s="3" t="s">
        <v>291</v>
      </c>
      <c r="C2534" s="3" t="s">
        <v>278</v>
      </c>
      <c r="D2534" s="3">
        <v>1</v>
      </c>
      <c r="E2534" s="3">
        <v>24.136399999999998</v>
      </c>
      <c r="F2534">
        <f t="shared" si="40"/>
        <v>24.136399999999998</v>
      </c>
    </row>
    <row r="2535" spans="1:6" x14ac:dyDescent="0.2">
      <c r="A2535">
        <v>835</v>
      </c>
      <c r="B2535" s="3" t="s">
        <v>292</v>
      </c>
      <c r="C2535" s="3" t="s">
        <v>293</v>
      </c>
      <c r="D2535" s="3">
        <v>4</v>
      </c>
      <c r="E2535" s="3">
        <v>96.852699999999999</v>
      </c>
      <c r="F2535">
        <f t="shared" si="40"/>
        <v>387.41079999999999</v>
      </c>
    </row>
    <row r="2536" spans="1:6" x14ac:dyDescent="0.2">
      <c r="A2536">
        <v>835</v>
      </c>
      <c r="B2536" s="3" t="s">
        <v>294</v>
      </c>
      <c r="C2536" s="3" t="s">
        <v>278</v>
      </c>
      <c r="D2536" s="3">
        <v>3</v>
      </c>
      <c r="E2536" s="3">
        <v>26.221413120000001</v>
      </c>
      <c r="F2536">
        <f t="shared" si="40"/>
        <v>78.66423936000001</v>
      </c>
    </row>
    <row r="2537" spans="1:6" x14ac:dyDescent="0.2">
      <c r="A2537">
        <v>835</v>
      </c>
      <c r="B2537" s="3" t="s">
        <v>295</v>
      </c>
      <c r="C2537" s="3" t="s">
        <v>273</v>
      </c>
      <c r="D2537" s="3">
        <v>1</v>
      </c>
      <c r="E2537" s="3">
        <v>54.886930560000003</v>
      </c>
      <c r="F2537">
        <f t="shared" si="40"/>
        <v>54.886930560000003</v>
      </c>
    </row>
    <row r="2538" spans="1:6" x14ac:dyDescent="0.2">
      <c r="A2538">
        <v>835</v>
      </c>
      <c r="B2538" s="3" t="s">
        <v>296</v>
      </c>
      <c r="C2538" s="3" t="s">
        <v>297</v>
      </c>
      <c r="D2538" s="3">
        <v>3</v>
      </c>
      <c r="E2538" s="3">
        <v>5.5029000000000003</v>
      </c>
      <c r="F2538">
        <f t="shared" si="40"/>
        <v>16.508700000000001</v>
      </c>
    </row>
    <row r="2539" spans="1:6" x14ac:dyDescent="0.2">
      <c r="A2539">
        <v>835</v>
      </c>
      <c r="B2539" s="3" t="s">
        <v>298</v>
      </c>
      <c r="C2539" s="3" t="s">
        <v>297</v>
      </c>
      <c r="D2539" s="3">
        <v>2</v>
      </c>
      <c r="E2539" s="3">
        <v>5.9344999999999999</v>
      </c>
      <c r="F2539">
        <f t="shared" si="40"/>
        <v>11.869</v>
      </c>
    </row>
    <row r="2540" spans="1:6" x14ac:dyDescent="0.2">
      <c r="A2540">
        <v>835</v>
      </c>
      <c r="B2540" s="3" t="s">
        <v>299</v>
      </c>
      <c r="C2540" s="3" t="s">
        <v>297</v>
      </c>
      <c r="D2540" s="3">
        <v>4</v>
      </c>
      <c r="E2540" s="3">
        <v>4.3574999999999999</v>
      </c>
      <c r="F2540">
        <f t="shared" si="40"/>
        <v>17.43</v>
      </c>
    </row>
    <row r="2541" spans="1:6" x14ac:dyDescent="0.2">
      <c r="A2541">
        <v>835</v>
      </c>
      <c r="B2541" s="3" t="s">
        <v>122</v>
      </c>
      <c r="C2541" s="3" t="s">
        <v>276</v>
      </c>
      <c r="D2541" s="3">
        <v>1</v>
      </c>
      <c r="E2541" s="3">
        <v>14.915100000000001</v>
      </c>
      <c r="F2541">
        <f t="shared" si="40"/>
        <v>14.915100000000001</v>
      </c>
    </row>
    <row r="2542" spans="1:6" x14ac:dyDescent="0.2">
      <c r="A2542">
        <v>835</v>
      </c>
      <c r="B2542" s="3" t="s">
        <v>120</v>
      </c>
      <c r="C2542" s="3" t="s">
        <v>278</v>
      </c>
      <c r="D2542" s="3">
        <v>118</v>
      </c>
      <c r="E2542" s="3">
        <v>1.5604</v>
      </c>
      <c r="F2542">
        <f t="shared" si="40"/>
        <v>184.12719999999999</v>
      </c>
    </row>
    <row r="2543" spans="1:6" x14ac:dyDescent="0.2">
      <c r="A2543">
        <v>835</v>
      </c>
      <c r="B2543" s="3" t="s">
        <v>300</v>
      </c>
      <c r="C2543" s="3" t="s">
        <v>273</v>
      </c>
      <c r="D2543" s="3">
        <v>1</v>
      </c>
      <c r="E2543" s="3">
        <v>60.59</v>
      </c>
      <c r="F2543">
        <f t="shared" si="40"/>
        <v>60.59</v>
      </c>
    </row>
    <row r="2544" spans="1:6" x14ac:dyDescent="0.2">
      <c r="A2544">
        <v>835</v>
      </c>
      <c r="B2544" s="3" t="s">
        <v>301</v>
      </c>
      <c r="C2544" s="3" t="s">
        <v>302</v>
      </c>
      <c r="D2544" s="3">
        <v>1</v>
      </c>
      <c r="E2544" s="3">
        <v>104.88565250000001</v>
      </c>
      <c r="F2544">
        <f t="shared" si="40"/>
        <v>104.88565250000001</v>
      </c>
    </row>
    <row r="2545" spans="1:6" x14ac:dyDescent="0.2">
      <c r="A2545">
        <v>835</v>
      </c>
      <c r="B2545" s="3" t="s">
        <v>303</v>
      </c>
      <c r="C2545" s="3" t="s">
        <v>304</v>
      </c>
      <c r="D2545" s="3">
        <v>3</v>
      </c>
      <c r="E2545" s="3">
        <v>683.94489999999996</v>
      </c>
      <c r="F2545">
        <f t="shared" si="40"/>
        <v>2051.8346999999999</v>
      </c>
    </row>
    <row r="2546" spans="1:6" x14ac:dyDescent="0.2">
      <c r="A2546">
        <v>835</v>
      </c>
      <c r="B2546" s="3" t="s">
        <v>305</v>
      </c>
      <c r="C2546" s="3" t="s">
        <v>273</v>
      </c>
      <c r="D2546" s="3">
        <v>1</v>
      </c>
      <c r="E2546" s="3">
        <v>71.189099999999996</v>
      </c>
      <c r="F2546">
        <f t="shared" si="40"/>
        <v>71.189099999999996</v>
      </c>
    </row>
    <row r="2547" spans="1:6" x14ac:dyDescent="0.2">
      <c r="A2547">
        <v>835</v>
      </c>
      <c r="B2547" s="3" t="s">
        <v>294</v>
      </c>
      <c r="C2547" s="3" t="s">
        <v>278</v>
      </c>
      <c r="D2547" s="3">
        <v>2</v>
      </c>
      <c r="E2547" s="3">
        <v>26.221413120000001</v>
      </c>
      <c r="F2547">
        <f t="shared" si="40"/>
        <v>52.442826240000002</v>
      </c>
    </row>
    <row r="2548" spans="1:6" x14ac:dyDescent="0.2">
      <c r="A2548">
        <v>835</v>
      </c>
      <c r="B2548" s="3" t="s">
        <v>306</v>
      </c>
      <c r="C2548" s="3" t="s">
        <v>273</v>
      </c>
      <c r="D2548" s="3">
        <v>3</v>
      </c>
      <c r="E2548" s="3">
        <v>99.575777279999997</v>
      </c>
      <c r="F2548">
        <f t="shared" si="40"/>
        <v>298.72733183999998</v>
      </c>
    </row>
    <row r="2549" spans="1:6" x14ac:dyDescent="0.2">
      <c r="A2549">
        <v>835</v>
      </c>
      <c r="B2549" s="3" t="s">
        <v>294</v>
      </c>
      <c r="C2549" s="3" t="s">
        <v>278</v>
      </c>
      <c r="D2549" s="3">
        <v>6</v>
      </c>
      <c r="E2549" s="3">
        <v>26.221413120000001</v>
      </c>
      <c r="F2549">
        <f t="shared" si="40"/>
        <v>157.32847872000002</v>
      </c>
    </row>
    <row r="2550" spans="1:6" x14ac:dyDescent="0.2">
      <c r="A2550">
        <v>835</v>
      </c>
      <c r="B2550" s="3" t="s">
        <v>306</v>
      </c>
      <c r="C2550" s="3" t="s">
        <v>273</v>
      </c>
      <c r="D2550" s="3">
        <v>6</v>
      </c>
      <c r="E2550" s="3">
        <v>99.575777279999997</v>
      </c>
      <c r="F2550">
        <f t="shared" si="40"/>
        <v>597.45466367999995</v>
      </c>
    </row>
    <row r="2551" spans="1:6" x14ac:dyDescent="0.2">
      <c r="A2551">
        <v>835</v>
      </c>
      <c r="B2551" s="3" t="s">
        <v>308</v>
      </c>
      <c r="C2551" s="3" t="s">
        <v>309</v>
      </c>
      <c r="D2551" s="3">
        <v>1</v>
      </c>
      <c r="E2551" s="3">
        <v>167.6230769</v>
      </c>
      <c r="F2551">
        <f t="shared" si="40"/>
        <v>167.6230769</v>
      </c>
    </row>
    <row r="2552" spans="1:6" x14ac:dyDescent="0.2">
      <c r="A2552">
        <v>835</v>
      </c>
      <c r="B2552" s="3" t="s">
        <v>310</v>
      </c>
      <c r="C2552" s="3" t="s">
        <v>273</v>
      </c>
      <c r="D2552" s="3">
        <v>3</v>
      </c>
      <c r="E2552" s="3">
        <v>0.33200000000000002</v>
      </c>
      <c r="F2552">
        <f t="shared" si="40"/>
        <v>0.996</v>
      </c>
    </row>
    <row r="2553" spans="1:6" x14ac:dyDescent="0.2">
      <c r="A2553">
        <v>835</v>
      </c>
      <c r="B2553" s="3" t="s">
        <v>197</v>
      </c>
      <c r="C2553" s="3" t="s">
        <v>278</v>
      </c>
      <c r="D2553" s="3">
        <v>1</v>
      </c>
      <c r="E2553" s="3">
        <v>7.4700000000000003E-2</v>
      </c>
      <c r="F2553">
        <f t="shared" si="40"/>
        <v>7.4700000000000003E-2</v>
      </c>
    </row>
    <row r="2554" spans="1:6" x14ac:dyDescent="0.2">
      <c r="A2554">
        <v>835</v>
      </c>
      <c r="B2554" s="3" t="s">
        <v>311</v>
      </c>
      <c r="C2554" s="3" t="s">
        <v>273</v>
      </c>
      <c r="D2554" s="3">
        <v>1</v>
      </c>
      <c r="E2554" s="3">
        <v>1.5935999999999999</v>
      </c>
      <c r="F2554">
        <f t="shared" si="40"/>
        <v>1.5935999999999999</v>
      </c>
    </row>
    <row r="2555" spans="1:6" x14ac:dyDescent="0.2">
      <c r="A2555">
        <v>835</v>
      </c>
      <c r="B2555" s="3" t="s">
        <v>312</v>
      </c>
      <c r="C2555" s="3" t="s">
        <v>278</v>
      </c>
      <c r="D2555" s="3">
        <v>3</v>
      </c>
      <c r="E2555" s="3">
        <v>21.040500000000002</v>
      </c>
      <c r="F2555">
        <f t="shared" si="40"/>
        <v>63.121500000000005</v>
      </c>
    </row>
    <row r="2556" spans="1:6" x14ac:dyDescent="0.2">
      <c r="A2556">
        <v>835</v>
      </c>
      <c r="B2556" s="3" t="s">
        <v>75</v>
      </c>
      <c r="C2556" s="3" t="s">
        <v>313</v>
      </c>
      <c r="D2556" s="3">
        <v>2</v>
      </c>
      <c r="E2556" s="3">
        <v>0.115384615</v>
      </c>
      <c r="F2556">
        <f t="shared" si="40"/>
        <v>0.23076922999999999</v>
      </c>
    </row>
    <row r="2557" spans="1:6" x14ac:dyDescent="0.2">
      <c r="A2557">
        <v>835</v>
      </c>
      <c r="B2557" s="3" t="s">
        <v>314</v>
      </c>
      <c r="C2557" s="3" t="s">
        <v>273</v>
      </c>
      <c r="D2557" s="3">
        <v>1</v>
      </c>
      <c r="E2557" s="3">
        <v>0.45650000000000002</v>
      </c>
      <c r="F2557">
        <f t="shared" si="40"/>
        <v>0.45650000000000002</v>
      </c>
    </row>
    <row r="2558" spans="1:6" x14ac:dyDescent="0.2">
      <c r="A2558">
        <v>835</v>
      </c>
      <c r="B2558" s="3" t="s">
        <v>314</v>
      </c>
      <c r="C2558" s="3" t="s">
        <v>315</v>
      </c>
      <c r="D2558" s="3">
        <v>5</v>
      </c>
      <c r="E2558" s="3">
        <v>0.45650000000000002</v>
      </c>
      <c r="F2558">
        <f t="shared" si="40"/>
        <v>2.2825000000000002</v>
      </c>
    </row>
    <row r="2559" spans="1:6" x14ac:dyDescent="0.2">
      <c r="A2559">
        <v>835</v>
      </c>
      <c r="B2559" s="3" t="s">
        <v>316</v>
      </c>
      <c r="C2559" s="3" t="s">
        <v>317</v>
      </c>
      <c r="D2559" s="3">
        <v>1</v>
      </c>
      <c r="E2559" s="3">
        <v>92.206615380000002</v>
      </c>
      <c r="F2559">
        <f t="shared" si="40"/>
        <v>92.206615380000002</v>
      </c>
    </row>
    <row r="2560" spans="1:6" x14ac:dyDescent="0.2">
      <c r="A2560">
        <v>835</v>
      </c>
      <c r="B2560" s="3" t="s">
        <v>318</v>
      </c>
      <c r="C2560" s="3" t="s">
        <v>319</v>
      </c>
      <c r="D2560" s="3">
        <v>1</v>
      </c>
      <c r="E2560" s="3">
        <v>85.453846150000004</v>
      </c>
      <c r="F2560">
        <f t="shared" si="40"/>
        <v>85.453846150000004</v>
      </c>
    </row>
    <row r="2561" spans="1:6" x14ac:dyDescent="0.2">
      <c r="A2561">
        <v>835</v>
      </c>
      <c r="B2561" s="3" t="s">
        <v>320</v>
      </c>
      <c r="C2561" s="3" t="s">
        <v>321</v>
      </c>
      <c r="D2561" s="3">
        <v>1</v>
      </c>
      <c r="E2561" s="3">
        <v>92.206615380000002</v>
      </c>
      <c r="F2561">
        <f t="shared" si="40"/>
        <v>92.206615380000002</v>
      </c>
    </row>
    <row r="2562" spans="1:6" x14ac:dyDescent="0.2">
      <c r="A2562">
        <v>835</v>
      </c>
      <c r="B2562" s="3" t="s">
        <v>267</v>
      </c>
      <c r="C2562" s="3" t="s">
        <v>268</v>
      </c>
      <c r="D2562" s="3">
        <v>5</v>
      </c>
      <c r="E2562" s="3">
        <v>84863.132920000004</v>
      </c>
      <c r="F2562">
        <f t="shared" si="40"/>
        <v>424315.66460000002</v>
      </c>
    </row>
    <row r="2563" spans="1:6" x14ac:dyDescent="0.2">
      <c r="A2563">
        <v>835</v>
      </c>
      <c r="B2563" s="3" t="s">
        <v>260</v>
      </c>
      <c r="C2563" s="3" t="s">
        <v>261</v>
      </c>
      <c r="D2563" s="3">
        <v>5</v>
      </c>
      <c r="E2563" s="3">
        <v>2908.2944619999998</v>
      </c>
      <c r="F2563">
        <f t="shared" si="40"/>
        <v>14541.472309999999</v>
      </c>
    </row>
    <row r="2564" spans="1:6" x14ac:dyDescent="0.2">
      <c r="A2564">
        <v>835</v>
      </c>
      <c r="B2564" s="3" t="s">
        <v>262</v>
      </c>
      <c r="C2564" s="3" t="s">
        <v>263</v>
      </c>
      <c r="D2564" s="3">
        <v>1</v>
      </c>
      <c r="E2564" s="3">
        <v>3207.1966149999998</v>
      </c>
      <c r="F2564">
        <f t="shared" si="40"/>
        <v>3207.1966149999998</v>
      </c>
    </row>
    <row r="2565" spans="1:6" x14ac:dyDescent="0.2">
      <c r="A2565">
        <v>835</v>
      </c>
      <c r="B2565" s="3" t="s">
        <v>264</v>
      </c>
      <c r="C2565" s="3" t="s">
        <v>265</v>
      </c>
      <c r="D2565" s="3">
        <v>1</v>
      </c>
      <c r="E2565" s="3">
        <v>3466.7312310000002</v>
      </c>
      <c r="F2565">
        <f t="shared" si="40"/>
        <v>3466.7312310000002</v>
      </c>
    </row>
    <row r="2566" spans="1:6" x14ac:dyDescent="0.2">
      <c r="A2566">
        <v>835</v>
      </c>
      <c r="B2566" s="3" t="s">
        <v>259</v>
      </c>
      <c r="C2566" s="3" t="s">
        <v>258</v>
      </c>
      <c r="D2566" s="3">
        <v>4</v>
      </c>
      <c r="E2566" s="3">
        <v>3325.9760000000001</v>
      </c>
      <c r="F2566">
        <f t="shared" si="40"/>
        <v>13303.904</v>
      </c>
    </row>
    <row r="2567" spans="1:6" x14ac:dyDescent="0.2">
      <c r="A2567">
        <v>835</v>
      </c>
      <c r="B2567" s="3" t="s">
        <v>257</v>
      </c>
      <c r="C2567" s="3" t="s">
        <v>258</v>
      </c>
      <c r="D2567" s="3">
        <v>3</v>
      </c>
      <c r="E2567" s="3">
        <v>3325.9760000000001</v>
      </c>
      <c r="F2567">
        <f t="shared" si="40"/>
        <v>9977.9279999999999</v>
      </c>
    </row>
    <row r="2568" spans="1:6" x14ac:dyDescent="0.2">
      <c r="A2568">
        <v>835</v>
      </c>
      <c r="B2568" s="3" t="s">
        <v>255</v>
      </c>
      <c r="C2568" s="3" t="s">
        <v>256</v>
      </c>
      <c r="D2568" s="3">
        <v>1</v>
      </c>
      <c r="E2568" s="3">
        <v>18546.09462</v>
      </c>
      <c r="F2568">
        <f t="shared" si="40"/>
        <v>18546.09462</v>
      </c>
    </row>
    <row r="2569" spans="1:6" x14ac:dyDescent="0.2">
      <c r="A2569">
        <v>835</v>
      </c>
      <c r="B2569" s="3" t="s">
        <v>253</v>
      </c>
      <c r="C2569" s="3" t="s">
        <v>254</v>
      </c>
      <c r="D2569" s="3">
        <v>3</v>
      </c>
      <c r="E2569" s="3">
        <v>21043.679540000001</v>
      </c>
      <c r="F2569">
        <f t="shared" si="40"/>
        <v>63131.038620000007</v>
      </c>
    </row>
    <row r="2570" spans="1:6" x14ac:dyDescent="0.2">
      <c r="A2570">
        <v>835</v>
      </c>
      <c r="B2570" s="3" t="s">
        <v>359</v>
      </c>
      <c r="C2570" s="3" t="s">
        <v>360</v>
      </c>
      <c r="D2570" s="3">
        <v>2</v>
      </c>
      <c r="E2570" s="3">
        <v>1844.9384620000001</v>
      </c>
      <c r="F2570">
        <f t="shared" si="40"/>
        <v>3689.8769240000001</v>
      </c>
    </row>
    <row r="2571" spans="1:6" x14ac:dyDescent="0.2">
      <c r="A2571">
        <v>835</v>
      </c>
      <c r="B2571" s="3" t="s">
        <v>389</v>
      </c>
      <c r="C2571" s="3" t="s">
        <v>390</v>
      </c>
      <c r="D2571">
        <v>1</v>
      </c>
      <c r="E2571" s="3">
        <v>4906</v>
      </c>
      <c r="F2571">
        <f t="shared" si="40"/>
        <v>4906</v>
      </c>
    </row>
    <row r="2572" spans="1:6" x14ac:dyDescent="0.2">
      <c r="A2572">
        <v>836</v>
      </c>
      <c r="B2572" s="3" t="s">
        <v>62</v>
      </c>
      <c r="C2572" s="3" t="s">
        <v>63</v>
      </c>
      <c r="D2572" s="3">
        <v>1</v>
      </c>
      <c r="E2572" s="3">
        <v>0.34860000000000002</v>
      </c>
      <c r="F2572">
        <f t="shared" si="40"/>
        <v>0.34860000000000002</v>
      </c>
    </row>
    <row r="2573" spans="1:6" x14ac:dyDescent="0.2">
      <c r="A2573">
        <v>836</v>
      </c>
      <c r="B2573" s="3" t="s">
        <v>64</v>
      </c>
      <c r="C2573" s="3" t="s">
        <v>65</v>
      </c>
      <c r="D2573" s="3">
        <v>118</v>
      </c>
      <c r="E2573" s="3">
        <v>803.07692310000004</v>
      </c>
      <c r="F2573">
        <f t="shared" si="40"/>
        <v>94763.076925800007</v>
      </c>
    </row>
    <row r="2574" spans="1:6" x14ac:dyDescent="0.2">
      <c r="A2574">
        <v>836</v>
      </c>
      <c r="B2574" s="3" t="s">
        <v>67</v>
      </c>
      <c r="C2574" s="3" t="s">
        <v>68</v>
      </c>
      <c r="D2574" s="3">
        <v>1</v>
      </c>
      <c r="E2574" s="3">
        <v>49.67856768</v>
      </c>
      <c r="F2574">
        <f t="shared" si="40"/>
        <v>49.67856768</v>
      </c>
    </row>
    <row r="2575" spans="1:6" x14ac:dyDescent="0.2">
      <c r="A2575">
        <v>836</v>
      </c>
      <c r="B2575" s="3" t="s">
        <v>70</v>
      </c>
      <c r="C2575" s="3" t="s">
        <v>71</v>
      </c>
      <c r="D2575" s="3">
        <v>1</v>
      </c>
      <c r="E2575" s="3">
        <v>407.98649999999998</v>
      </c>
      <c r="F2575">
        <f t="shared" si="40"/>
        <v>407.98649999999998</v>
      </c>
    </row>
    <row r="2576" spans="1:6" x14ac:dyDescent="0.2">
      <c r="A2576">
        <v>836</v>
      </c>
      <c r="B2576" s="3" t="s">
        <v>73</v>
      </c>
      <c r="C2576" s="3" t="s">
        <v>74</v>
      </c>
      <c r="D2576" s="3">
        <v>3</v>
      </c>
      <c r="E2576" s="3">
        <v>0.57783936000000002</v>
      </c>
      <c r="F2576">
        <f t="shared" si="40"/>
        <v>1.7335180800000001</v>
      </c>
    </row>
    <row r="2577" spans="1:6" x14ac:dyDescent="0.2">
      <c r="A2577">
        <v>836</v>
      </c>
      <c r="B2577" s="3" t="s">
        <v>75</v>
      </c>
      <c r="C2577" s="3" t="s">
        <v>76</v>
      </c>
      <c r="D2577" s="3">
        <v>1</v>
      </c>
      <c r="E2577" s="3">
        <v>0.115384615</v>
      </c>
      <c r="F2577">
        <f t="shared" si="40"/>
        <v>0.115384615</v>
      </c>
    </row>
    <row r="2578" spans="1:6" x14ac:dyDescent="0.2">
      <c r="A2578">
        <v>836</v>
      </c>
      <c r="B2578" s="3" t="s">
        <v>77</v>
      </c>
      <c r="C2578" s="3" t="s">
        <v>74</v>
      </c>
      <c r="D2578" s="3">
        <v>2</v>
      </c>
      <c r="E2578" s="3">
        <v>1.3944000000000001</v>
      </c>
      <c r="F2578">
        <f t="shared" si="40"/>
        <v>2.7888000000000002</v>
      </c>
    </row>
    <row r="2579" spans="1:6" x14ac:dyDescent="0.2">
      <c r="A2579">
        <v>836</v>
      </c>
      <c r="B2579" s="3" t="s">
        <v>78</v>
      </c>
      <c r="C2579" s="3" t="s">
        <v>76</v>
      </c>
      <c r="D2579" s="3">
        <v>3</v>
      </c>
      <c r="E2579" s="3">
        <v>0.71839487999999996</v>
      </c>
      <c r="F2579">
        <f t="shared" si="40"/>
        <v>2.1551846399999999</v>
      </c>
    </row>
    <row r="2580" spans="1:6" x14ac:dyDescent="0.2">
      <c r="A2580">
        <v>836</v>
      </c>
      <c r="B2580" s="3" t="s">
        <v>79</v>
      </c>
      <c r="C2580" s="3" t="s">
        <v>74</v>
      </c>
      <c r="D2580" s="3">
        <v>6</v>
      </c>
      <c r="E2580" s="3">
        <v>1.930769231</v>
      </c>
      <c r="F2580">
        <f t="shared" si="40"/>
        <v>11.584615385999999</v>
      </c>
    </row>
    <row r="2581" spans="1:6" x14ac:dyDescent="0.2">
      <c r="A2581">
        <v>836</v>
      </c>
      <c r="B2581" s="3" t="s">
        <v>80</v>
      </c>
      <c r="C2581" s="3" t="s">
        <v>74</v>
      </c>
      <c r="D2581" s="3">
        <v>6</v>
      </c>
      <c r="E2581" s="3">
        <v>0.95450000000000002</v>
      </c>
      <c r="F2581">
        <f t="shared" si="40"/>
        <v>5.7270000000000003</v>
      </c>
    </row>
    <row r="2582" spans="1:6" x14ac:dyDescent="0.2">
      <c r="A2582">
        <v>836</v>
      </c>
      <c r="B2582" s="3" t="s">
        <v>81</v>
      </c>
      <c r="C2582" s="3" t="s">
        <v>74</v>
      </c>
      <c r="D2582" s="3">
        <v>1</v>
      </c>
      <c r="E2582" s="3">
        <v>0.76359999999999995</v>
      </c>
      <c r="F2582">
        <f t="shared" si="40"/>
        <v>0.76359999999999995</v>
      </c>
    </row>
    <row r="2583" spans="1:6" x14ac:dyDescent="0.2">
      <c r="A2583">
        <v>836</v>
      </c>
      <c r="B2583" s="3" t="s">
        <v>82</v>
      </c>
      <c r="C2583" s="3" t="s">
        <v>83</v>
      </c>
      <c r="D2583" s="3">
        <v>3</v>
      </c>
      <c r="E2583" s="3">
        <v>20.351600000000001</v>
      </c>
      <c r="F2583">
        <f t="shared" si="40"/>
        <v>61.0548</v>
      </c>
    </row>
    <row r="2584" spans="1:6" x14ac:dyDescent="0.2">
      <c r="A2584">
        <v>836</v>
      </c>
      <c r="B2584" s="3" t="s">
        <v>84</v>
      </c>
      <c r="C2584" s="3" t="s">
        <v>85</v>
      </c>
      <c r="D2584" s="3">
        <v>1</v>
      </c>
      <c r="E2584" s="3">
        <v>102.33222720000001</v>
      </c>
      <c r="F2584">
        <f t="shared" si="40"/>
        <v>102.33222720000001</v>
      </c>
    </row>
    <row r="2585" spans="1:6" x14ac:dyDescent="0.2">
      <c r="A2585">
        <v>836</v>
      </c>
      <c r="B2585" s="3" t="s">
        <v>86</v>
      </c>
      <c r="C2585" s="3" t="s">
        <v>85</v>
      </c>
      <c r="D2585" s="3">
        <v>1</v>
      </c>
      <c r="E2585" s="3">
        <v>144.264624</v>
      </c>
      <c r="F2585">
        <f t="shared" si="40"/>
        <v>144.264624</v>
      </c>
    </row>
    <row r="2586" spans="1:6" x14ac:dyDescent="0.2">
      <c r="A2586">
        <v>836</v>
      </c>
      <c r="B2586" s="3" t="s">
        <v>87</v>
      </c>
      <c r="C2586" s="3" t="s">
        <v>88</v>
      </c>
      <c r="D2586" s="3">
        <v>3</v>
      </c>
      <c r="E2586" s="3">
        <v>162.0214714</v>
      </c>
      <c r="F2586">
        <f t="shared" si="40"/>
        <v>486.06441419999999</v>
      </c>
    </row>
    <row r="2587" spans="1:6" x14ac:dyDescent="0.2">
      <c r="A2587">
        <v>836</v>
      </c>
      <c r="B2587" s="3" t="s">
        <v>89</v>
      </c>
      <c r="C2587" s="3" t="s">
        <v>85</v>
      </c>
      <c r="D2587" s="3">
        <v>2</v>
      </c>
      <c r="E2587" s="3">
        <v>211.01287869999999</v>
      </c>
      <c r="F2587">
        <f t="shared" si="40"/>
        <v>422.02575739999997</v>
      </c>
    </row>
    <row r="2588" spans="1:6" x14ac:dyDescent="0.2">
      <c r="A2588">
        <v>836</v>
      </c>
      <c r="B2588" s="3" t="s">
        <v>90</v>
      </c>
      <c r="C2588" s="3" t="s">
        <v>88</v>
      </c>
      <c r="D2588" s="3">
        <v>1</v>
      </c>
      <c r="E2588" s="3">
        <v>238.16352000000001</v>
      </c>
      <c r="F2588">
        <f t="shared" si="40"/>
        <v>238.16352000000001</v>
      </c>
    </row>
    <row r="2589" spans="1:6" x14ac:dyDescent="0.2">
      <c r="A2589">
        <v>836</v>
      </c>
      <c r="B2589" s="3" t="s">
        <v>92</v>
      </c>
      <c r="C2589" s="3" t="s">
        <v>93</v>
      </c>
      <c r="D2589" s="3">
        <v>5</v>
      </c>
      <c r="E2589" s="3">
        <v>19.297499999999999</v>
      </c>
      <c r="F2589">
        <f t="shared" si="40"/>
        <v>96.487499999999997</v>
      </c>
    </row>
    <row r="2590" spans="1:6" x14ac:dyDescent="0.2">
      <c r="A2590">
        <v>836</v>
      </c>
      <c r="B2590" s="3" t="s">
        <v>94</v>
      </c>
      <c r="C2590" s="3" t="s">
        <v>95</v>
      </c>
      <c r="D2590" s="3">
        <v>1</v>
      </c>
      <c r="E2590" s="3">
        <v>644.46267650000004</v>
      </c>
      <c r="F2590">
        <f t="shared" si="40"/>
        <v>644.46267650000004</v>
      </c>
    </row>
    <row r="2591" spans="1:6" x14ac:dyDescent="0.2">
      <c r="A2591">
        <v>836</v>
      </c>
      <c r="B2591" s="3" t="s">
        <v>236</v>
      </c>
      <c r="C2591" s="3" t="s">
        <v>237</v>
      </c>
      <c r="D2591" s="3">
        <v>1</v>
      </c>
      <c r="E2591" s="3">
        <v>132.80000000000001</v>
      </c>
      <c r="F2591">
        <f t="shared" si="40"/>
        <v>132.80000000000001</v>
      </c>
    </row>
    <row r="2592" spans="1:6" x14ac:dyDescent="0.2">
      <c r="A2592">
        <v>836</v>
      </c>
      <c r="B2592" s="3" t="s">
        <v>238</v>
      </c>
      <c r="C2592" s="3" t="s">
        <v>239</v>
      </c>
      <c r="D2592" s="3">
        <v>1</v>
      </c>
      <c r="E2592" s="3">
        <v>340.93846150000002</v>
      </c>
      <c r="F2592">
        <f t="shared" si="40"/>
        <v>340.93846150000002</v>
      </c>
    </row>
    <row r="2593" spans="1:6" x14ac:dyDescent="0.2">
      <c r="A2593">
        <v>836</v>
      </c>
      <c r="B2593" s="3" t="s">
        <v>240</v>
      </c>
      <c r="C2593" s="3" t="s">
        <v>241</v>
      </c>
      <c r="D2593" s="3">
        <v>5</v>
      </c>
      <c r="E2593" s="3">
        <v>309.0153846</v>
      </c>
      <c r="F2593">
        <f t="shared" si="40"/>
        <v>1545.0769230000001</v>
      </c>
    </row>
    <row r="2594" spans="1:6" x14ac:dyDescent="0.2">
      <c r="A2594">
        <v>836</v>
      </c>
      <c r="B2594" s="3" t="s">
        <v>242</v>
      </c>
      <c r="C2594" s="3" t="s">
        <v>243</v>
      </c>
      <c r="D2594" s="3">
        <v>5</v>
      </c>
      <c r="E2594" s="3">
        <v>427.7692308</v>
      </c>
      <c r="F2594">
        <f t="shared" si="40"/>
        <v>2138.8461539999998</v>
      </c>
    </row>
    <row r="2595" spans="1:6" x14ac:dyDescent="0.2">
      <c r="A2595">
        <v>836</v>
      </c>
      <c r="B2595" s="3" t="s">
        <v>244</v>
      </c>
      <c r="C2595" s="3" t="s">
        <v>184</v>
      </c>
      <c r="D2595" s="3">
        <v>1</v>
      </c>
      <c r="E2595" s="3">
        <v>18.643076919999999</v>
      </c>
      <c r="F2595">
        <f t="shared" si="40"/>
        <v>18.643076919999999</v>
      </c>
    </row>
    <row r="2596" spans="1:6" x14ac:dyDescent="0.2">
      <c r="A2596">
        <v>836</v>
      </c>
      <c r="B2596" s="3" t="s">
        <v>245</v>
      </c>
      <c r="C2596" s="3" t="s">
        <v>246</v>
      </c>
      <c r="D2596" s="3">
        <v>1</v>
      </c>
      <c r="E2596" s="3">
        <v>0.44819999999999999</v>
      </c>
      <c r="F2596">
        <f t="shared" si="40"/>
        <v>0.44819999999999999</v>
      </c>
    </row>
    <row r="2597" spans="1:6" x14ac:dyDescent="0.2">
      <c r="A2597">
        <v>836</v>
      </c>
      <c r="B2597" s="3" t="s">
        <v>75</v>
      </c>
      <c r="C2597" s="3" t="s">
        <v>247</v>
      </c>
      <c r="D2597" s="3">
        <v>4</v>
      </c>
      <c r="E2597" s="3">
        <v>0.115384615</v>
      </c>
      <c r="F2597">
        <f t="shared" ref="F2597:F2660" si="41">D2597*E2597</f>
        <v>0.46153845999999998</v>
      </c>
    </row>
    <row r="2598" spans="1:6" x14ac:dyDescent="0.2">
      <c r="A2598">
        <v>836</v>
      </c>
      <c r="B2598" s="3" t="s">
        <v>197</v>
      </c>
      <c r="C2598" s="3" t="s">
        <v>117</v>
      </c>
      <c r="D2598" s="3">
        <v>3</v>
      </c>
      <c r="E2598" s="3">
        <v>7.4700000000000003E-2</v>
      </c>
      <c r="F2598">
        <f t="shared" si="41"/>
        <v>0.22410000000000002</v>
      </c>
    </row>
    <row r="2599" spans="1:6" x14ac:dyDescent="0.2">
      <c r="A2599">
        <v>836</v>
      </c>
      <c r="B2599" s="3" t="s">
        <v>248</v>
      </c>
      <c r="C2599" s="3" t="s">
        <v>249</v>
      </c>
      <c r="D2599" s="3">
        <v>1</v>
      </c>
      <c r="E2599" s="3">
        <v>31064.984619999999</v>
      </c>
      <c r="F2599">
        <f t="shared" si="41"/>
        <v>31064.984619999999</v>
      </c>
    </row>
    <row r="2600" spans="1:6" x14ac:dyDescent="0.2">
      <c r="A2600">
        <v>836</v>
      </c>
      <c r="B2600" s="3" t="s">
        <v>250</v>
      </c>
      <c r="C2600" s="3" t="s">
        <v>251</v>
      </c>
      <c r="D2600" s="3">
        <v>3</v>
      </c>
      <c r="E2600" s="3">
        <v>564.54124609999997</v>
      </c>
      <c r="F2600">
        <f t="shared" si="41"/>
        <v>1693.6237382999998</v>
      </c>
    </row>
    <row r="2601" spans="1:6" x14ac:dyDescent="0.2">
      <c r="A2601">
        <v>836</v>
      </c>
      <c r="B2601" s="3" t="s">
        <v>146</v>
      </c>
      <c r="C2601" s="3" t="s">
        <v>147</v>
      </c>
      <c r="D2601" s="3">
        <v>2</v>
      </c>
      <c r="E2601" s="3">
        <v>8021.5765000000001</v>
      </c>
      <c r="F2601">
        <f t="shared" si="41"/>
        <v>16043.153</v>
      </c>
    </row>
    <row r="2602" spans="1:6" x14ac:dyDescent="0.2">
      <c r="A2602">
        <v>836</v>
      </c>
      <c r="B2602" s="3" t="s">
        <v>215</v>
      </c>
      <c r="C2602" s="3" t="s">
        <v>208</v>
      </c>
      <c r="D2602" s="3">
        <v>4</v>
      </c>
      <c r="E2602" s="3">
        <v>1.42898112</v>
      </c>
      <c r="F2602">
        <f t="shared" si="41"/>
        <v>5.71592448</v>
      </c>
    </row>
    <row r="2603" spans="1:6" x14ac:dyDescent="0.2">
      <c r="A2603">
        <v>836</v>
      </c>
      <c r="B2603" s="3" t="s">
        <v>200</v>
      </c>
      <c r="C2603" s="3" t="s">
        <v>199</v>
      </c>
      <c r="D2603" s="3">
        <v>1</v>
      </c>
      <c r="E2603" s="3">
        <v>0.66373439999999995</v>
      </c>
      <c r="F2603">
        <f t="shared" si="41"/>
        <v>0.66373439999999995</v>
      </c>
    </row>
    <row r="2604" spans="1:6" x14ac:dyDescent="0.2">
      <c r="A2604">
        <v>836</v>
      </c>
      <c r="B2604" s="3" t="s">
        <v>216</v>
      </c>
      <c r="C2604" s="3" t="s">
        <v>199</v>
      </c>
      <c r="D2604" s="3">
        <v>118</v>
      </c>
      <c r="E2604" s="3">
        <v>0.66400000000000003</v>
      </c>
      <c r="F2604">
        <f t="shared" si="41"/>
        <v>78.352000000000004</v>
      </c>
    </row>
    <row r="2605" spans="1:6" x14ac:dyDescent="0.2">
      <c r="A2605">
        <v>836</v>
      </c>
      <c r="B2605" s="3" t="s">
        <v>217</v>
      </c>
      <c r="C2605" s="3" t="s">
        <v>199</v>
      </c>
      <c r="D2605" s="3">
        <v>1</v>
      </c>
      <c r="E2605" s="3">
        <v>4.2164000000000001</v>
      </c>
      <c r="F2605">
        <f t="shared" si="41"/>
        <v>4.2164000000000001</v>
      </c>
    </row>
    <row r="2606" spans="1:6" x14ac:dyDescent="0.2">
      <c r="A2606">
        <v>836</v>
      </c>
      <c r="B2606" s="3" t="s">
        <v>218</v>
      </c>
      <c r="C2606" s="3" t="s">
        <v>208</v>
      </c>
      <c r="D2606" s="3">
        <v>1</v>
      </c>
      <c r="E2606" s="3">
        <v>7.3455000000000004</v>
      </c>
      <c r="F2606">
        <f t="shared" si="41"/>
        <v>7.3455000000000004</v>
      </c>
    </row>
    <row r="2607" spans="1:6" x14ac:dyDescent="0.2">
      <c r="A2607">
        <v>836</v>
      </c>
      <c r="B2607" s="3" t="s">
        <v>219</v>
      </c>
      <c r="C2607" s="3" t="s">
        <v>199</v>
      </c>
      <c r="D2607" s="3">
        <v>3</v>
      </c>
      <c r="E2607" s="3">
        <v>1.4774</v>
      </c>
      <c r="F2607">
        <f t="shared" si="41"/>
        <v>4.4321999999999999</v>
      </c>
    </row>
    <row r="2608" spans="1:6" x14ac:dyDescent="0.2">
      <c r="A2608">
        <v>836</v>
      </c>
      <c r="B2608" s="3" t="s">
        <v>220</v>
      </c>
      <c r="C2608" s="3" t="s">
        <v>208</v>
      </c>
      <c r="D2608" s="3">
        <v>1</v>
      </c>
      <c r="E2608" s="3">
        <v>3.7267000000000001</v>
      </c>
      <c r="F2608">
        <f t="shared" si="41"/>
        <v>3.7267000000000001</v>
      </c>
    </row>
    <row r="2609" spans="1:6" x14ac:dyDescent="0.2">
      <c r="A2609">
        <v>836</v>
      </c>
      <c r="B2609" s="3" t="s">
        <v>221</v>
      </c>
      <c r="C2609" s="3" t="s">
        <v>199</v>
      </c>
      <c r="D2609" s="3">
        <v>2</v>
      </c>
      <c r="E2609" s="3">
        <v>0.97940000000000005</v>
      </c>
      <c r="F2609">
        <f t="shared" si="41"/>
        <v>1.9588000000000001</v>
      </c>
    </row>
    <row r="2610" spans="1:6" x14ac:dyDescent="0.2">
      <c r="A2610">
        <v>836</v>
      </c>
      <c r="B2610" s="3" t="s">
        <v>222</v>
      </c>
      <c r="C2610" s="3" t="s">
        <v>208</v>
      </c>
      <c r="D2610" s="3">
        <v>3</v>
      </c>
      <c r="E2610" s="3">
        <v>6.0673000000000004</v>
      </c>
      <c r="F2610">
        <f t="shared" si="41"/>
        <v>18.201900000000002</v>
      </c>
    </row>
    <row r="2611" spans="1:6" x14ac:dyDescent="0.2">
      <c r="A2611">
        <v>836</v>
      </c>
      <c r="B2611" s="3" t="s">
        <v>223</v>
      </c>
      <c r="C2611" s="3" t="s">
        <v>224</v>
      </c>
      <c r="D2611" s="3">
        <v>6</v>
      </c>
      <c r="E2611" s="3">
        <v>19.4635</v>
      </c>
      <c r="F2611">
        <f t="shared" si="41"/>
        <v>116.78100000000001</v>
      </c>
    </row>
    <row r="2612" spans="1:6" x14ac:dyDescent="0.2">
      <c r="A2612">
        <v>836</v>
      </c>
      <c r="B2612" s="3" t="s">
        <v>225</v>
      </c>
      <c r="C2612" s="3" t="s">
        <v>226</v>
      </c>
      <c r="D2612" s="3">
        <v>6</v>
      </c>
      <c r="E2612" s="3">
        <v>10.22150976</v>
      </c>
      <c r="F2612">
        <f t="shared" si="41"/>
        <v>61.32905856</v>
      </c>
    </row>
    <row r="2613" spans="1:6" x14ac:dyDescent="0.2">
      <c r="A2613">
        <v>836</v>
      </c>
      <c r="B2613" s="3" t="s">
        <v>227</v>
      </c>
      <c r="C2613" s="3" t="s">
        <v>208</v>
      </c>
      <c r="D2613" s="3">
        <v>1</v>
      </c>
      <c r="E2613" s="3">
        <v>3.6307692309999999</v>
      </c>
      <c r="F2613">
        <f t="shared" si="41"/>
        <v>3.6307692309999999</v>
      </c>
    </row>
    <row r="2614" spans="1:6" x14ac:dyDescent="0.2">
      <c r="A2614">
        <v>836</v>
      </c>
      <c r="B2614" s="3" t="s">
        <v>228</v>
      </c>
      <c r="C2614" s="3" t="s">
        <v>229</v>
      </c>
      <c r="D2614" s="3">
        <v>3</v>
      </c>
      <c r="E2614" s="3">
        <v>306.94982979999997</v>
      </c>
      <c r="F2614">
        <f t="shared" si="41"/>
        <v>920.84948939999992</v>
      </c>
    </row>
    <row r="2615" spans="1:6" x14ac:dyDescent="0.2">
      <c r="A2615">
        <v>836</v>
      </c>
      <c r="B2615" s="3" t="s">
        <v>116</v>
      </c>
      <c r="C2615" s="3" t="s">
        <v>117</v>
      </c>
      <c r="D2615" s="3">
        <v>1</v>
      </c>
      <c r="E2615" s="3">
        <v>0.25729999999999997</v>
      </c>
      <c r="F2615">
        <f t="shared" si="41"/>
        <v>0.25729999999999997</v>
      </c>
    </row>
    <row r="2616" spans="1:6" x14ac:dyDescent="0.2">
      <c r="A2616">
        <v>836</v>
      </c>
      <c r="B2616" s="3" t="s">
        <v>78</v>
      </c>
      <c r="C2616" s="3" t="s">
        <v>76</v>
      </c>
      <c r="D2616" s="3">
        <v>1</v>
      </c>
      <c r="E2616" s="3">
        <v>0.71839487999999996</v>
      </c>
      <c r="F2616">
        <f t="shared" si="41"/>
        <v>0.71839487999999996</v>
      </c>
    </row>
    <row r="2617" spans="1:6" x14ac:dyDescent="0.2">
      <c r="A2617">
        <v>836</v>
      </c>
      <c r="B2617" s="3" t="s">
        <v>231</v>
      </c>
      <c r="C2617" s="3" t="s">
        <v>208</v>
      </c>
      <c r="D2617" s="3">
        <v>3</v>
      </c>
      <c r="E2617" s="3">
        <v>2.0832999999999999</v>
      </c>
      <c r="F2617">
        <f t="shared" si="41"/>
        <v>6.2499000000000002</v>
      </c>
    </row>
    <row r="2618" spans="1:6" x14ac:dyDescent="0.2">
      <c r="A2618">
        <v>836</v>
      </c>
      <c r="B2618" s="3" t="s">
        <v>232</v>
      </c>
      <c r="C2618" s="3" t="s">
        <v>119</v>
      </c>
      <c r="D2618" s="3">
        <v>2</v>
      </c>
      <c r="E2618" s="3">
        <v>1.5935999999999999</v>
      </c>
      <c r="F2618">
        <f t="shared" si="41"/>
        <v>3.1871999999999998</v>
      </c>
    </row>
    <row r="2619" spans="1:6" x14ac:dyDescent="0.2">
      <c r="A2619">
        <v>836</v>
      </c>
      <c r="B2619" s="3" t="s">
        <v>233</v>
      </c>
      <c r="C2619" s="3" t="s">
        <v>234</v>
      </c>
      <c r="D2619" s="3">
        <v>1</v>
      </c>
      <c r="E2619" s="3">
        <v>3989.2954</v>
      </c>
      <c r="F2619">
        <f t="shared" si="41"/>
        <v>3989.2954</v>
      </c>
    </row>
    <row r="2620" spans="1:6" x14ac:dyDescent="0.2">
      <c r="A2620">
        <v>836</v>
      </c>
      <c r="B2620" s="3" t="s">
        <v>142</v>
      </c>
      <c r="C2620" s="3" t="s">
        <v>143</v>
      </c>
      <c r="D2620" s="3">
        <v>5</v>
      </c>
      <c r="E2620" s="3">
        <v>18141.642</v>
      </c>
      <c r="F2620">
        <f t="shared" si="41"/>
        <v>90708.209999999992</v>
      </c>
    </row>
    <row r="2621" spans="1:6" x14ac:dyDescent="0.2">
      <c r="A2621">
        <v>836</v>
      </c>
      <c r="B2621" s="3" t="s">
        <v>144</v>
      </c>
      <c r="C2621" s="3" t="s">
        <v>145</v>
      </c>
      <c r="D2621" s="3">
        <v>1</v>
      </c>
      <c r="E2621" s="3">
        <v>7346.676923</v>
      </c>
      <c r="F2621">
        <f t="shared" si="41"/>
        <v>7346.676923</v>
      </c>
    </row>
    <row r="2622" spans="1:6" x14ac:dyDescent="0.2">
      <c r="A2622">
        <v>836</v>
      </c>
      <c r="B2622" s="3" t="s">
        <v>197</v>
      </c>
      <c r="C2622" s="3" t="s">
        <v>117</v>
      </c>
      <c r="D2622" s="3">
        <v>1</v>
      </c>
      <c r="E2622" s="3">
        <v>7.4700000000000003E-2</v>
      </c>
      <c r="F2622">
        <f t="shared" si="41"/>
        <v>7.4700000000000003E-2</v>
      </c>
    </row>
    <row r="2623" spans="1:6" x14ac:dyDescent="0.2">
      <c r="A2623">
        <v>836</v>
      </c>
      <c r="B2623" s="3" t="s">
        <v>198</v>
      </c>
      <c r="C2623" s="3" t="s">
        <v>199</v>
      </c>
      <c r="D2623" s="3">
        <v>1</v>
      </c>
      <c r="E2623" s="3">
        <v>0.66373439999999995</v>
      </c>
      <c r="F2623">
        <f t="shared" si="41"/>
        <v>0.66373439999999995</v>
      </c>
    </row>
    <row r="2624" spans="1:6" x14ac:dyDescent="0.2">
      <c r="A2624">
        <v>836</v>
      </c>
      <c r="B2624" s="3" t="s">
        <v>200</v>
      </c>
      <c r="C2624" s="3" t="s">
        <v>199</v>
      </c>
      <c r="D2624" s="3">
        <v>5</v>
      </c>
      <c r="E2624" s="3">
        <v>0.66373439999999995</v>
      </c>
      <c r="F2624">
        <f t="shared" si="41"/>
        <v>3.3186719999999998</v>
      </c>
    </row>
    <row r="2625" spans="1:6" x14ac:dyDescent="0.2">
      <c r="A2625">
        <v>836</v>
      </c>
      <c r="B2625" s="3" t="s">
        <v>201</v>
      </c>
      <c r="C2625" s="3" t="s">
        <v>76</v>
      </c>
      <c r="D2625" s="3">
        <v>5</v>
      </c>
      <c r="E2625" s="3">
        <v>0.22645056</v>
      </c>
      <c r="F2625">
        <f t="shared" si="41"/>
        <v>1.1322528000000001</v>
      </c>
    </row>
    <row r="2626" spans="1:6" x14ac:dyDescent="0.2">
      <c r="A2626">
        <v>836</v>
      </c>
      <c r="B2626" s="3" t="s">
        <v>202</v>
      </c>
      <c r="C2626" s="3" t="s">
        <v>203</v>
      </c>
      <c r="D2626" s="3">
        <v>1</v>
      </c>
      <c r="E2626" s="3">
        <v>12.45</v>
      </c>
      <c r="F2626">
        <f t="shared" si="41"/>
        <v>12.45</v>
      </c>
    </row>
    <row r="2627" spans="1:6" x14ac:dyDescent="0.2">
      <c r="A2627">
        <v>836</v>
      </c>
      <c r="B2627" s="3" t="s">
        <v>204</v>
      </c>
      <c r="C2627" s="3" t="s">
        <v>205</v>
      </c>
      <c r="D2627" s="3">
        <v>1</v>
      </c>
      <c r="E2627" s="3">
        <v>103.7221651</v>
      </c>
      <c r="F2627">
        <f t="shared" si="41"/>
        <v>103.7221651</v>
      </c>
    </row>
    <row r="2628" spans="1:6" x14ac:dyDescent="0.2">
      <c r="A2628">
        <v>836</v>
      </c>
      <c r="B2628" s="3" t="s">
        <v>116</v>
      </c>
      <c r="C2628" s="3" t="s">
        <v>117</v>
      </c>
      <c r="D2628" s="3">
        <v>4</v>
      </c>
      <c r="E2628" s="3">
        <v>0.25729999999999997</v>
      </c>
      <c r="F2628">
        <f t="shared" si="41"/>
        <v>1.0291999999999999</v>
      </c>
    </row>
    <row r="2629" spans="1:6" x14ac:dyDescent="0.2">
      <c r="A2629">
        <v>836</v>
      </c>
      <c r="B2629" s="3" t="s">
        <v>78</v>
      </c>
      <c r="C2629" s="3" t="s">
        <v>76</v>
      </c>
      <c r="D2629" s="3">
        <v>3</v>
      </c>
      <c r="E2629" s="3">
        <v>0.71839487999999996</v>
      </c>
      <c r="F2629">
        <f t="shared" si="41"/>
        <v>2.1551846399999999</v>
      </c>
    </row>
    <row r="2630" spans="1:6" x14ac:dyDescent="0.2">
      <c r="A2630">
        <v>836</v>
      </c>
      <c r="B2630" s="3" t="s">
        <v>207</v>
      </c>
      <c r="C2630" s="3" t="s">
        <v>208</v>
      </c>
      <c r="D2630" s="3">
        <v>1</v>
      </c>
      <c r="E2630" s="3">
        <v>4.6314000000000002</v>
      </c>
      <c r="F2630">
        <f t="shared" si="41"/>
        <v>4.6314000000000002</v>
      </c>
    </row>
    <row r="2631" spans="1:6" x14ac:dyDescent="0.2">
      <c r="A2631">
        <v>836</v>
      </c>
      <c r="B2631" s="3" t="s">
        <v>209</v>
      </c>
      <c r="C2631" s="3" t="s">
        <v>210</v>
      </c>
      <c r="D2631" s="3">
        <v>3</v>
      </c>
      <c r="E2631" s="3">
        <v>39.550761600000001</v>
      </c>
      <c r="F2631">
        <f t="shared" si="41"/>
        <v>118.6522848</v>
      </c>
    </row>
    <row r="2632" spans="1:6" x14ac:dyDescent="0.2">
      <c r="A2632">
        <v>836</v>
      </c>
      <c r="B2632" s="3" t="s">
        <v>211</v>
      </c>
      <c r="C2632" s="3" t="s">
        <v>203</v>
      </c>
      <c r="D2632" s="3">
        <v>2</v>
      </c>
      <c r="E2632" s="3">
        <v>25.754899999999999</v>
      </c>
      <c r="F2632">
        <f t="shared" si="41"/>
        <v>51.509799999999998</v>
      </c>
    </row>
    <row r="2633" spans="1:6" x14ac:dyDescent="0.2">
      <c r="A2633">
        <v>836</v>
      </c>
      <c r="B2633" s="3" t="s">
        <v>212</v>
      </c>
      <c r="C2633" s="3" t="s">
        <v>213</v>
      </c>
      <c r="D2633" s="3">
        <v>4</v>
      </c>
      <c r="E2633" s="3">
        <v>272.92059999999998</v>
      </c>
      <c r="F2633">
        <f t="shared" si="41"/>
        <v>1091.6823999999999</v>
      </c>
    </row>
    <row r="2634" spans="1:6" x14ac:dyDescent="0.2">
      <c r="A2634">
        <v>836</v>
      </c>
      <c r="B2634" s="3" t="s">
        <v>149</v>
      </c>
      <c r="C2634" s="3" t="s">
        <v>150</v>
      </c>
      <c r="D2634" s="3">
        <v>1</v>
      </c>
      <c r="E2634" s="3">
        <v>0.70550000000000002</v>
      </c>
      <c r="F2634">
        <f t="shared" si="41"/>
        <v>0.70550000000000002</v>
      </c>
    </row>
    <row r="2635" spans="1:6" x14ac:dyDescent="0.2">
      <c r="A2635">
        <v>836</v>
      </c>
      <c r="B2635" s="3" t="s">
        <v>151</v>
      </c>
      <c r="C2635" s="3" t="s">
        <v>152</v>
      </c>
      <c r="D2635" s="3">
        <v>118</v>
      </c>
      <c r="E2635" s="3">
        <v>5.6191000000000004</v>
      </c>
      <c r="F2635">
        <f t="shared" si="41"/>
        <v>663.05380000000002</v>
      </c>
    </row>
    <row r="2636" spans="1:6" x14ac:dyDescent="0.2">
      <c r="A2636">
        <v>836</v>
      </c>
      <c r="B2636" s="3" t="s">
        <v>153</v>
      </c>
      <c r="C2636" s="3" t="s">
        <v>119</v>
      </c>
      <c r="D2636" s="3">
        <v>1</v>
      </c>
      <c r="E2636" s="3">
        <v>1.11663552</v>
      </c>
      <c r="F2636">
        <f t="shared" si="41"/>
        <v>1.11663552</v>
      </c>
    </row>
    <row r="2637" spans="1:6" x14ac:dyDescent="0.2">
      <c r="A2637">
        <v>836</v>
      </c>
      <c r="B2637" s="3" t="s">
        <v>154</v>
      </c>
      <c r="C2637" s="3" t="s">
        <v>117</v>
      </c>
      <c r="D2637" s="3">
        <v>1</v>
      </c>
      <c r="E2637" s="3">
        <v>4.3658000000000001</v>
      </c>
      <c r="F2637">
        <f t="shared" si="41"/>
        <v>4.3658000000000001</v>
      </c>
    </row>
    <row r="2638" spans="1:6" x14ac:dyDescent="0.2">
      <c r="A2638">
        <v>836</v>
      </c>
      <c r="B2638" s="3" t="s">
        <v>155</v>
      </c>
      <c r="C2638" s="3" t="s">
        <v>156</v>
      </c>
      <c r="D2638" s="3">
        <v>3</v>
      </c>
      <c r="E2638" s="3">
        <v>28.552</v>
      </c>
      <c r="F2638">
        <f t="shared" si="41"/>
        <v>85.656000000000006</v>
      </c>
    </row>
    <row r="2639" spans="1:6" x14ac:dyDescent="0.2">
      <c r="A2639">
        <v>836</v>
      </c>
      <c r="B2639" s="3" t="s">
        <v>157</v>
      </c>
      <c r="C2639" s="3" t="s">
        <v>158</v>
      </c>
      <c r="D2639" s="3">
        <v>1</v>
      </c>
      <c r="E2639" s="3">
        <v>29.456700000000001</v>
      </c>
      <c r="F2639">
        <f t="shared" si="41"/>
        <v>29.456700000000001</v>
      </c>
    </row>
    <row r="2640" spans="1:6" x14ac:dyDescent="0.2">
      <c r="A2640">
        <v>836</v>
      </c>
      <c r="B2640" s="3" t="s">
        <v>159</v>
      </c>
      <c r="C2640" s="3" t="s">
        <v>117</v>
      </c>
      <c r="D2640" s="3">
        <v>2</v>
      </c>
      <c r="E2640" s="3">
        <v>11.976900000000001</v>
      </c>
      <c r="F2640">
        <f t="shared" si="41"/>
        <v>23.953800000000001</v>
      </c>
    </row>
    <row r="2641" spans="1:6" x14ac:dyDescent="0.2">
      <c r="A2641">
        <v>836</v>
      </c>
      <c r="B2641" s="3" t="s">
        <v>116</v>
      </c>
      <c r="C2641" s="3" t="s">
        <v>117</v>
      </c>
      <c r="D2641" s="3">
        <v>3</v>
      </c>
      <c r="E2641" s="3">
        <v>0.25729999999999997</v>
      </c>
      <c r="F2641">
        <f t="shared" si="41"/>
        <v>0.77189999999999992</v>
      </c>
    </row>
    <row r="2642" spans="1:6" x14ac:dyDescent="0.2">
      <c r="A2642">
        <v>836</v>
      </c>
      <c r="B2642" s="3" t="s">
        <v>160</v>
      </c>
      <c r="C2642" s="3" t="s">
        <v>161</v>
      </c>
      <c r="D2642" s="3">
        <v>6</v>
      </c>
      <c r="E2642" s="3">
        <v>15.9194</v>
      </c>
      <c r="F2642">
        <f t="shared" si="41"/>
        <v>95.516400000000004</v>
      </c>
    </row>
    <row r="2643" spans="1:6" x14ac:dyDescent="0.2">
      <c r="A2643">
        <v>836</v>
      </c>
      <c r="B2643" s="3" t="s">
        <v>162</v>
      </c>
      <c r="C2643" s="3" t="s">
        <v>163</v>
      </c>
      <c r="D2643" s="3">
        <v>6</v>
      </c>
      <c r="E2643" s="3">
        <v>62.822699999999998</v>
      </c>
      <c r="F2643">
        <f t="shared" si="41"/>
        <v>376.93619999999999</v>
      </c>
    </row>
    <row r="2644" spans="1:6" x14ac:dyDescent="0.2">
      <c r="A2644">
        <v>836</v>
      </c>
      <c r="B2644" s="3" t="s">
        <v>164</v>
      </c>
      <c r="C2644" s="3" t="s">
        <v>165</v>
      </c>
      <c r="D2644" s="3">
        <v>1</v>
      </c>
      <c r="E2644" s="3">
        <v>29.382000000000001</v>
      </c>
      <c r="F2644">
        <f t="shared" si="41"/>
        <v>29.382000000000001</v>
      </c>
    </row>
    <row r="2645" spans="1:6" x14ac:dyDescent="0.2">
      <c r="A2645">
        <v>836</v>
      </c>
      <c r="B2645" s="3" t="s">
        <v>166</v>
      </c>
      <c r="C2645" s="3" t="s">
        <v>76</v>
      </c>
      <c r="D2645" s="3">
        <v>3</v>
      </c>
      <c r="E2645" s="3">
        <v>0.97109999999999996</v>
      </c>
      <c r="F2645">
        <f t="shared" si="41"/>
        <v>2.9133</v>
      </c>
    </row>
    <row r="2646" spans="1:6" x14ac:dyDescent="0.2">
      <c r="A2646">
        <v>836</v>
      </c>
      <c r="B2646" s="3" t="s">
        <v>167</v>
      </c>
      <c r="C2646" s="3" t="s">
        <v>168</v>
      </c>
      <c r="D2646" s="3">
        <v>1</v>
      </c>
      <c r="E2646" s="3">
        <v>68.201099999999997</v>
      </c>
      <c r="F2646">
        <f t="shared" si="41"/>
        <v>68.201099999999997</v>
      </c>
    </row>
    <row r="2647" spans="1:6" x14ac:dyDescent="0.2">
      <c r="A2647">
        <v>836</v>
      </c>
      <c r="B2647" s="3" t="s">
        <v>169</v>
      </c>
      <c r="C2647" s="3" t="s">
        <v>119</v>
      </c>
      <c r="D2647" s="3">
        <v>1</v>
      </c>
      <c r="E2647" s="3">
        <v>26.078600000000002</v>
      </c>
      <c r="F2647">
        <f t="shared" si="41"/>
        <v>26.078600000000002</v>
      </c>
    </row>
    <row r="2648" spans="1:6" x14ac:dyDescent="0.2">
      <c r="A2648">
        <v>836</v>
      </c>
      <c r="B2648" s="3" t="s">
        <v>170</v>
      </c>
      <c r="C2648" s="3" t="s">
        <v>171</v>
      </c>
      <c r="D2648" s="3">
        <v>3</v>
      </c>
      <c r="E2648" s="3">
        <v>15.438000000000001</v>
      </c>
      <c r="F2648">
        <f t="shared" si="41"/>
        <v>46.314</v>
      </c>
    </row>
    <row r="2649" spans="1:6" x14ac:dyDescent="0.2">
      <c r="A2649">
        <v>836</v>
      </c>
      <c r="B2649" s="3" t="s">
        <v>172</v>
      </c>
      <c r="C2649" s="3" t="s">
        <v>173</v>
      </c>
      <c r="D2649" s="3">
        <v>2</v>
      </c>
      <c r="E2649" s="3">
        <v>158.41380000000001</v>
      </c>
      <c r="F2649">
        <f t="shared" si="41"/>
        <v>316.82760000000002</v>
      </c>
    </row>
    <row r="2650" spans="1:6" x14ac:dyDescent="0.2">
      <c r="A2650">
        <v>836</v>
      </c>
      <c r="B2650" s="3" t="s">
        <v>174</v>
      </c>
      <c r="C2650" s="3" t="s">
        <v>119</v>
      </c>
      <c r="D2650" s="3">
        <v>1</v>
      </c>
      <c r="E2650" s="3">
        <v>1.2616000000000001</v>
      </c>
      <c r="F2650">
        <f t="shared" si="41"/>
        <v>1.2616000000000001</v>
      </c>
    </row>
    <row r="2651" spans="1:6" x14ac:dyDescent="0.2">
      <c r="A2651">
        <v>836</v>
      </c>
      <c r="B2651" s="3" t="s">
        <v>175</v>
      </c>
      <c r="C2651" s="3" t="s">
        <v>176</v>
      </c>
      <c r="D2651" s="3">
        <v>5</v>
      </c>
      <c r="E2651" s="3">
        <v>194.7595</v>
      </c>
      <c r="F2651">
        <f t="shared" si="41"/>
        <v>973.79750000000001</v>
      </c>
    </row>
    <row r="2652" spans="1:6" x14ac:dyDescent="0.2">
      <c r="A2652">
        <v>836</v>
      </c>
      <c r="B2652" s="3" t="s">
        <v>177</v>
      </c>
      <c r="C2652" s="3" t="s">
        <v>178</v>
      </c>
      <c r="D2652" s="3">
        <v>1</v>
      </c>
      <c r="E2652" s="3">
        <v>1660.6244260000001</v>
      </c>
      <c r="F2652">
        <f t="shared" si="41"/>
        <v>1660.6244260000001</v>
      </c>
    </row>
    <row r="2653" spans="1:6" x14ac:dyDescent="0.2">
      <c r="A2653">
        <v>836</v>
      </c>
      <c r="B2653" s="3" t="s">
        <v>179</v>
      </c>
      <c r="C2653" s="3" t="s">
        <v>119</v>
      </c>
      <c r="D2653" s="3">
        <v>3</v>
      </c>
      <c r="E2653" s="3">
        <v>32.444699999999997</v>
      </c>
      <c r="F2653">
        <f t="shared" si="41"/>
        <v>97.334099999999992</v>
      </c>
    </row>
    <row r="2654" spans="1:6" x14ac:dyDescent="0.2">
      <c r="A2654">
        <v>836</v>
      </c>
      <c r="B2654" s="3" t="s">
        <v>180</v>
      </c>
      <c r="C2654" s="3" t="s">
        <v>181</v>
      </c>
      <c r="D2654" s="3">
        <v>6</v>
      </c>
      <c r="E2654" s="3">
        <v>64.117500000000007</v>
      </c>
      <c r="F2654">
        <f t="shared" si="41"/>
        <v>384.70500000000004</v>
      </c>
    </row>
    <row r="2655" spans="1:6" x14ac:dyDescent="0.2">
      <c r="A2655">
        <v>836</v>
      </c>
      <c r="B2655" s="3" t="s">
        <v>182</v>
      </c>
      <c r="C2655" s="3" t="s">
        <v>158</v>
      </c>
      <c r="D2655" s="3">
        <v>6</v>
      </c>
      <c r="E2655" s="3">
        <v>80.788189439999996</v>
      </c>
      <c r="F2655">
        <f t="shared" si="41"/>
        <v>484.72913663999998</v>
      </c>
    </row>
    <row r="2656" spans="1:6" x14ac:dyDescent="0.2">
      <c r="A2656">
        <v>836</v>
      </c>
      <c r="B2656" s="3" t="s">
        <v>183</v>
      </c>
      <c r="C2656" s="3" t="s">
        <v>184</v>
      </c>
      <c r="D2656" s="3">
        <v>1</v>
      </c>
      <c r="E2656" s="3">
        <v>548.61538459999997</v>
      </c>
      <c r="F2656">
        <f t="shared" si="41"/>
        <v>548.61538459999997</v>
      </c>
    </row>
    <row r="2657" spans="1:6" x14ac:dyDescent="0.2">
      <c r="A2657">
        <v>836</v>
      </c>
      <c r="B2657" s="3" t="s">
        <v>185</v>
      </c>
      <c r="C2657" s="3" t="s">
        <v>186</v>
      </c>
      <c r="D2657" s="3">
        <v>3</v>
      </c>
      <c r="E2657" s="3">
        <v>278.05</v>
      </c>
      <c r="F2657">
        <f t="shared" si="41"/>
        <v>834.15000000000009</v>
      </c>
    </row>
    <row r="2658" spans="1:6" x14ac:dyDescent="0.2">
      <c r="A2658">
        <v>836</v>
      </c>
      <c r="B2658" s="3" t="s">
        <v>187</v>
      </c>
      <c r="C2658" s="3" t="s">
        <v>188</v>
      </c>
      <c r="D2658" s="3">
        <v>1</v>
      </c>
      <c r="E2658" s="3">
        <v>105.0365</v>
      </c>
      <c r="F2658">
        <f t="shared" si="41"/>
        <v>105.0365</v>
      </c>
    </row>
    <row r="2659" spans="1:6" x14ac:dyDescent="0.2">
      <c r="A2659">
        <v>836</v>
      </c>
      <c r="B2659" s="3" t="s">
        <v>189</v>
      </c>
      <c r="C2659" s="3" t="s">
        <v>163</v>
      </c>
      <c r="D2659" s="3">
        <v>1</v>
      </c>
      <c r="E2659" s="3">
        <v>154.25968320000001</v>
      </c>
      <c r="F2659">
        <f t="shared" si="41"/>
        <v>154.25968320000001</v>
      </c>
    </row>
    <row r="2660" spans="1:6" x14ac:dyDescent="0.2">
      <c r="A2660">
        <v>836</v>
      </c>
      <c r="B2660" s="3" t="s">
        <v>190</v>
      </c>
      <c r="C2660" s="3" t="s">
        <v>191</v>
      </c>
      <c r="D2660" s="3">
        <v>3</v>
      </c>
      <c r="E2660" s="3">
        <v>1397.886</v>
      </c>
      <c r="F2660">
        <f t="shared" si="41"/>
        <v>4193.6579999999994</v>
      </c>
    </row>
    <row r="2661" spans="1:6" x14ac:dyDescent="0.2">
      <c r="A2661">
        <v>836</v>
      </c>
      <c r="B2661" s="3" t="s">
        <v>192</v>
      </c>
      <c r="C2661" s="3" t="s">
        <v>193</v>
      </c>
      <c r="D2661" s="3">
        <v>2</v>
      </c>
      <c r="E2661" s="3">
        <v>843.03639169999997</v>
      </c>
      <c r="F2661">
        <f t="shared" ref="F2661:F2724" si="42">D2661*E2661</f>
        <v>1686.0727833999999</v>
      </c>
    </row>
    <row r="2662" spans="1:6" x14ac:dyDescent="0.2">
      <c r="A2662">
        <v>836</v>
      </c>
      <c r="B2662" s="3" t="s">
        <v>194</v>
      </c>
      <c r="C2662" s="3" t="s">
        <v>193</v>
      </c>
      <c r="D2662" s="3">
        <v>1</v>
      </c>
      <c r="E2662" s="3">
        <v>868.20489999999995</v>
      </c>
      <c r="F2662">
        <f t="shared" si="42"/>
        <v>868.20489999999995</v>
      </c>
    </row>
    <row r="2663" spans="1:6" x14ac:dyDescent="0.2">
      <c r="A2663">
        <v>836</v>
      </c>
      <c r="B2663" s="3" t="s">
        <v>195</v>
      </c>
      <c r="C2663" s="3" t="s">
        <v>117</v>
      </c>
      <c r="D2663" s="3">
        <v>5</v>
      </c>
      <c r="E2663" s="3">
        <v>1.0375000000000001</v>
      </c>
      <c r="F2663">
        <f t="shared" si="42"/>
        <v>5.1875</v>
      </c>
    </row>
    <row r="2664" spans="1:6" x14ac:dyDescent="0.2">
      <c r="A2664">
        <v>836</v>
      </c>
      <c r="B2664" s="3" t="s">
        <v>135</v>
      </c>
      <c r="C2664" s="3" t="s">
        <v>136</v>
      </c>
      <c r="D2664" s="3">
        <v>1</v>
      </c>
      <c r="E2664" s="3">
        <v>395.04690620000002</v>
      </c>
      <c r="F2664">
        <f t="shared" si="42"/>
        <v>395.04690620000002</v>
      </c>
    </row>
    <row r="2665" spans="1:6" x14ac:dyDescent="0.2">
      <c r="A2665">
        <v>836</v>
      </c>
      <c r="B2665" s="3" t="s">
        <v>137</v>
      </c>
      <c r="C2665" s="3" t="s">
        <v>138</v>
      </c>
      <c r="D2665" s="3">
        <v>1</v>
      </c>
      <c r="E2665" s="3">
        <v>252.98431869999999</v>
      </c>
      <c r="F2665">
        <f t="shared" si="42"/>
        <v>252.98431869999999</v>
      </c>
    </row>
    <row r="2666" spans="1:6" x14ac:dyDescent="0.2">
      <c r="A2666">
        <v>836</v>
      </c>
      <c r="B2666" s="3" t="s">
        <v>139</v>
      </c>
      <c r="C2666" s="3" t="s">
        <v>140</v>
      </c>
      <c r="D2666" s="3">
        <v>1</v>
      </c>
      <c r="E2666" s="3">
        <v>2054.4575</v>
      </c>
      <c r="F2666">
        <f t="shared" si="42"/>
        <v>2054.4575</v>
      </c>
    </row>
    <row r="2667" spans="1:6" x14ac:dyDescent="0.2">
      <c r="A2667">
        <v>836</v>
      </c>
      <c r="B2667" s="3" t="s">
        <v>116</v>
      </c>
      <c r="C2667" s="3" t="s">
        <v>117</v>
      </c>
      <c r="D2667" s="3">
        <v>5</v>
      </c>
      <c r="E2667" s="3">
        <v>0.25729999999999997</v>
      </c>
      <c r="F2667">
        <f t="shared" si="42"/>
        <v>1.2864999999999998</v>
      </c>
    </row>
    <row r="2668" spans="1:6" x14ac:dyDescent="0.2">
      <c r="A2668">
        <v>836</v>
      </c>
      <c r="B2668" s="3" t="s">
        <v>118</v>
      </c>
      <c r="C2668" s="3" t="s">
        <v>119</v>
      </c>
      <c r="D2668" s="3">
        <v>5</v>
      </c>
      <c r="E2668" s="3">
        <v>0.83</v>
      </c>
      <c r="F2668">
        <f t="shared" si="42"/>
        <v>4.1499999999999995</v>
      </c>
    </row>
    <row r="2669" spans="1:6" x14ac:dyDescent="0.2">
      <c r="A2669">
        <v>836</v>
      </c>
      <c r="B2669" s="3" t="s">
        <v>120</v>
      </c>
      <c r="C2669" s="3" t="s">
        <v>117</v>
      </c>
      <c r="D2669" s="3">
        <v>1</v>
      </c>
      <c r="E2669" s="3">
        <v>1.5604</v>
      </c>
      <c r="F2669">
        <f t="shared" si="42"/>
        <v>1.5604</v>
      </c>
    </row>
    <row r="2670" spans="1:6" x14ac:dyDescent="0.2">
      <c r="A2670">
        <v>836</v>
      </c>
      <c r="B2670" s="3" t="s">
        <v>121</v>
      </c>
      <c r="C2670" s="3" t="s">
        <v>117</v>
      </c>
      <c r="D2670" s="3">
        <v>1</v>
      </c>
      <c r="E2670" s="3">
        <v>270.83730000000003</v>
      </c>
      <c r="F2670">
        <f t="shared" si="42"/>
        <v>270.83730000000003</v>
      </c>
    </row>
    <row r="2671" spans="1:6" x14ac:dyDescent="0.2">
      <c r="A2671">
        <v>836</v>
      </c>
      <c r="B2671" s="3" t="s">
        <v>122</v>
      </c>
      <c r="C2671" s="3" t="s">
        <v>76</v>
      </c>
      <c r="D2671" s="3">
        <v>4</v>
      </c>
      <c r="E2671" s="3">
        <v>14.915100000000001</v>
      </c>
      <c r="F2671">
        <f t="shared" si="42"/>
        <v>59.660400000000003</v>
      </c>
    </row>
    <row r="2672" spans="1:6" x14ac:dyDescent="0.2">
      <c r="A2672">
        <v>836</v>
      </c>
      <c r="B2672" s="3" t="s">
        <v>123</v>
      </c>
      <c r="C2672" s="3" t="s">
        <v>119</v>
      </c>
      <c r="D2672" s="3">
        <v>3</v>
      </c>
      <c r="E2672" s="3">
        <v>122.52460000000001</v>
      </c>
      <c r="F2672">
        <f t="shared" si="42"/>
        <v>367.57380000000001</v>
      </c>
    </row>
    <row r="2673" spans="1:6" x14ac:dyDescent="0.2">
      <c r="A2673">
        <v>836</v>
      </c>
      <c r="B2673" s="3" t="s">
        <v>124</v>
      </c>
      <c r="C2673" s="3" t="s">
        <v>119</v>
      </c>
      <c r="D2673" s="3">
        <v>1</v>
      </c>
      <c r="E2673" s="3">
        <v>65.877099999999999</v>
      </c>
      <c r="F2673">
        <f t="shared" si="42"/>
        <v>65.877099999999999</v>
      </c>
    </row>
    <row r="2674" spans="1:6" x14ac:dyDescent="0.2">
      <c r="A2674">
        <v>836</v>
      </c>
      <c r="B2674" s="3" t="s">
        <v>125</v>
      </c>
      <c r="C2674" s="3" t="s">
        <v>117</v>
      </c>
      <c r="D2674" s="3">
        <v>3</v>
      </c>
      <c r="E2674" s="3">
        <v>45.957099999999997</v>
      </c>
      <c r="F2674">
        <f t="shared" si="42"/>
        <v>137.87129999999999</v>
      </c>
    </row>
    <row r="2675" spans="1:6" x14ac:dyDescent="0.2">
      <c r="A2675">
        <v>836</v>
      </c>
      <c r="B2675" s="3" t="s">
        <v>126</v>
      </c>
      <c r="C2675" s="3" t="s">
        <v>127</v>
      </c>
      <c r="D2675" s="3">
        <v>2</v>
      </c>
      <c r="E2675" s="3">
        <v>411.49740000000003</v>
      </c>
      <c r="F2675">
        <f t="shared" si="42"/>
        <v>822.99480000000005</v>
      </c>
    </row>
    <row r="2676" spans="1:6" x14ac:dyDescent="0.2">
      <c r="A2676">
        <v>836</v>
      </c>
      <c r="B2676" s="3" t="s">
        <v>129</v>
      </c>
      <c r="C2676" s="3" t="s">
        <v>130</v>
      </c>
      <c r="D2676" s="3">
        <v>4</v>
      </c>
      <c r="E2676" s="3">
        <v>6724.2781999999997</v>
      </c>
      <c r="F2676">
        <f t="shared" si="42"/>
        <v>26897.112799999999</v>
      </c>
    </row>
    <row r="2677" spans="1:6" x14ac:dyDescent="0.2">
      <c r="A2677">
        <v>836</v>
      </c>
      <c r="B2677" s="3">
        <v>4656354</v>
      </c>
      <c r="C2677" s="3" t="s">
        <v>133</v>
      </c>
      <c r="D2677" s="3">
        <v>1</v>
      </c>
      <c r="E2677" s="3">
        <v>1168.0257999999999</v>
      </c>
      <c r="F2677">
        <f t="shared" si="42"/>
        <v>1168.0257999999999</v>
      </c>
    </row>
    <row r="2678" spans="1:6" x14ac:dyDescent="0.2">
      <c r="A2678">
        <v>836</v>
      </c>
      <c r="B2678" s="3" t="s">
        <v>110</v>
      </c>
      <c r="C2678" s="3" t="s">
        <v>111</v>
      </c>
      <c r="D2678" s="3">
        <v>118</v>
      </c>
      <c r="E2678" s="3">
        <v>119.83540000000001</v>
      </c>
      <c r="F2678">
        <f t="shared" si="42"/>
        <v>14140.577200000002</v>
      </c>
    </row>
    <row r="2679" spans="1:6" x14ac:dyDescent="0.2">
      <c r="A2679">
        <v>836</v>
      </c>
      <c r="B2679" s="3" t="s">
        <v>112</v>
      </c>
      <c r="C2679" s="3" t="s">
        <v>113</v>
      </c>
      <c r="D2679" s="3">
        <v>1</v>
      </c>
      <c r="E2679" s="3">
        <v>97.646153850000005</v>
      </c>
      <c r="F2679">
        <f t="shared" si="42"/>
        <v>97.646153850000005</v>
      </c>
    </row>
    <row r="2680" spans="1:6" x14ac:dyDescent="0.2">
      <c r="A2680">
        <v>836</v>
      </c>
      <c r="B2680" s="3" t="s">
        <v>110</v>
      </c>
      <c r="C2680" s="3" t="s">
        <v>111</v>
      </c>
      <c r="D2680" s="3">
        <v>1</v>
      </c>
      <c r="E2680" s="3">
        <v>119.83540000000001</v>
      </c>
      <c r="F2680">
        <f t="shared" si="42"/>
        <v>119.83540000000001</v>
      </c>
    </row>
    <row r="2681" spans="1:6" x14ac:dyDescent="0.2">
      <c r="A2681">
        <v>836</v>
      </c>
      <c r="B2681" s="3" t="s">
        <v>112</v>
      </c>
      <c r="C2681" s="3" t="s">
        <v>113</v>
      </c>
      <c r="D2681" s="3">
        <v>3</v>
      </c>
      <c r="E2681" s="3">
        <v>97.646153850000005</v>
      </c>
      <c r="F2681">
        <f t="shared" si="42"/>
        <v>292.93846155</v>
      </c>
    </row>
    <row r="2682" spans="1:6" x14ac:dyDescent="0.2">
      <c r="A2682">
        <v>836</v>
      </c>
      <c r="B2682" s="3" t="s">
        <v>97</v>
      </c>
      <c r="C2682" s="3" t="s">
        <v>98</v>
      </c>
      <c r="D2682" s="3">
        <v>1</v>
      </c>
      <c r="E2682" s="3">
        <v>189.87909999999999</v>
      </c>
      <c r="F2682">
        <f t="shared" si="42"/>
        <v>189.87909999999999</v>
      </c>
    </row>
    <row r="2683" spans="1:6" x14ac:dyDescent="0.2">
      <c r="A2683">
        <v>836</v>
      </c>
      <c r="B2683" s="3" t="s">
        <v>99</v>
      </c>
      <c r="C2683" s="3" t="s">
        <v>100</v>
      </c>
      <c r="D2683" s="3">
        <v>2</v>
      </c>
      <c r="E2683" s="3">
        <v>1287.1384619999999</v>
      </c>
      <c r="F2683">
        <f t="shared" si="42"/>
        <v>2574.2769239999998</v>
      </c>
    </row>
    <row r="2684" spans="1:6" x14ac:dyDescent="0.2">
      <c r="A2684">
        <v>836</v>
      </c>
      <c r="B2684" s="3" t="s">
        <v>101</v>
      </c>
      <c r="C2684" s="3" t="s">
        <v>102</v>
      </c>
      <c r="D2684" s="3">
        <v>3</v>
      </c>
      <c r="E2684" s="3">
        <v>1363.037155</v>
      </c>
      <c r="F2684">
        <f t="shared" si="42"/>
        <v>4089.111465</v>
      </c>
    </row>
    <row r="2685" spans="1:6" x14ac:dyDescent="0.2">
      <c r="A2685">
        <v>836</v>
      </c>
      <c r="B2685" s="3" t="s">
        <v>103</v>
      </c>
      <c r="C2685" s="3" t="s">
        <v>104</v>
      </c>
      <c r="D2685" s="3">
        <v>6</v>
      </c>
      <c r="E2685" s="3">
        <v>423.5822</v>
      </c>
      <c r="F2685">
        <f t="shared" si="42"/>
        <v>2541.4931999999999</v>
      </c>
    </row>
    <row r="2686" spans="1:6" x14ac:dyDescent="0.2">
      <c r="A2686">
        <v>836</v>
      </c>
      <c r="B2686" s="3" t="s">
        <v>105</v>
      </c>
      <c r="C2686" s="3" t="s">
        <v>106</v>
      </c>
      <c r="D2686" s="3">
        <v>6</v>
      </c>
      <c r="E2686" s="3">
        <v>36.470199999999998</v>
      </c>
      <c r="F2686">
        <f t="shared" si="42"/>
        <v>218.82119999999998</v>
      </c>
    </row>
    <row r="2687" spans="1:6" x14ac:dyDescent="0.2">
      <c r="A2687">
        <v>836</v>
      </c>
      <c r="B2687" s="3" t="s">
        <v>107</v>
      </c>
      <c r="C2687" s="3" t="s">
        <v>108</v>
      </c>
      <c r="D2687" s="3">
        <v>1</v>
      </c>
      <c r="E2687" s="3">
        <v>61.492307689999997</v>
      </c>
      <c r="F2687">
        <f t="shared" si="42"/>
        <v>61.492307689999997</v>
      </c>
    </row>
    <row r="2688" spans="1:6" x14ac:dyDescent="0.2">
      <c r="A2688">
        <v>836</v>
      </c>
      <c r="B2688" s="3" t="s">
        <v>62</v>
      </c>
      <c r="C2688" s="3" t="s">
        <v>323</v>
      </c>
      <c r="D2688" s="3">
        <v>3</v>
      </c>
      <c r="E2688" s="3">
        <v>0.34860000000000002</v>
      </c>
      <c r="F2688">
        <f t="shared" si="42"/>
        <v>1.0458000000000001</v>
      </c>
    </row>
    <row r="2689" spans="1:6" x14ac:dyDescent="0.2">
      <c r="A2689">
        <v>836</v>
      </c>
      <c r="B2689" s="3" t="s">
        <v>324</v>
      </c>
      <c r="C2689" s="3" t="s">
        <v>273</v>
      </c>
      <c r="D2689" s="3">
        <v>1</v>
      </c>
      <c r="E2689" s="3">
        <v>0.95450000000000002</v>
      </c>
      <c r="F2689">
        <f t="shared" si="42"/>
        <v>0.95450000000000002</v>
      </c>
    </row>
    <row r="2690" spans="1:6" x14ac:dyDescent="0.2">
      <c r="A2690">
        <v>836</v>
      </c>
      <c r="B2690" s="3" t="s">
        <v>325</v>
      </c>
      <c r="C2690" s="3" t="s">
        <v>273</v>
      </c>
      <c r="D2690" s="3">
        <v>1</v>
      </c>
      <c r="E2690" s="3">
        <v>3.3692307690000001</v>
      </c>
      <c r="F2690">
        <f t="shared" si="42"/>
        <v>3.3692307690000001</v>
      </c>
    </row>
    <row r="2691" spans="1:6" x14ac:dyDescent="0.2">
      <c r="A2691">
        <v>836</v>
      </c>
      <c r="B2691" s="3" t="s">
        <v>154</v>
      </c>
      <c r="C2691" s="3" t="s">
        <v>278</v>
      </c>
      <c r="D2691" s="3">
        <v>3</v>
      </c>
      <c r="E2691" s="3">
        <v>4.3658000000000001</v>
      </c>
      <c r="F2691">
        <f t="shared" si="42"/>
        <v>13.0974</v>
      </c>
    </row>
    <row r="2692" spans="1:6" x14ac:dyDescent="0.2">
      <c r="A2692">
        <v>836</v>
      </c>
      <c r="B2692" s="3" t="s">
        <v>290</v>
      </c>
      <c r="C2692" s="3" t="s">
        <v>278</v>
      </c>
      <c r="D2692" s="3">
        <v>2</v>
      </c>
      <c r="E2692" s="3">
        <v>43.751809919999999</v>
      </c>
      <c r="F2692">
        <f t="shared" si="42"/>
        <v>87.503619839999999</v>
      </c>
    </row>
    <row r="2693" spans="1:6" x14ac:dyDescent="0.2">
      <c r="A2693">
        <v>836</v>
      </c>
      <c r="B2693" s="3" t="s">
        <v>288</v>
      </c>
      <c r="C2693" s="3" t="s">
        <v>289</v>
      </c>
      <c r="D2693" s="3">
        <v>1</v>
      </c>
      <c r="E2693" s="3">
        <v>7.3401215999999998</v>
      </c>
      <c r="F2693">
        <f t="shared" si="42"/>
        <v>7.3401215999999998</v>
      </c>
    </row>
    <row r="2694" spans="1:6" x14ac:dyDescent="0.2">
      <c r="A2694">
        <v>836</v>
      </c>
      <c r="B2694" s="3" t="s">
        <v>287</v>
      </c>
      <c r="C2694" s="3" t="s">
        <v>273</v>
      </c>
      <c r="D2694" s="3">
        <v>5</v>
      </c>
      <c r="E2694" s="3">
        <v>100.66898689999999</v>
      </c>
      <c r="F2694">
        <f t="shared" si="42"/>
        <v>503.34493449999997</v>
      </c>
    </row>
    <row r="2695" spans="1:6" x14ac:dyDescent="0.2">
      <c r="A2695">
        <v>836</v>
      </c>
      <c r="B2695" s="3" t="s">
        <v>285</v>
      </c>
      <c r="C2695" s="3" t="s">
        <v>286</v>
      </c>
      <c r="D2695" s="3">
        <v>1</v>
      </c>
      <c r="E2695" s="3">
        <v>58.189985280000002</v>
      </c>
      <c r="F2695">
        <f t="shared" si="42"/>
        <v>58.189985280000002</v>
      </c>
    </row>
    <row r="2696" spans="1:6" x14ac:dyDescent="0.2">
      <c r="A2696">
        <v>836</v>
      </c>
      <c r="B2696" s="3" t="s">
        <v>291</v>
      </c>
      <c r="C2696" s="3" t="s">
        <v>278</v>
      </c>
      <c r="D2696" s="3">
        <v>1</v>
      </c>
      <c r="E2696" s="3">
        <v>24.136399999999998</v>
      </c>
      <c r="F2696">
        <f t="shared" si="42"/>
        <v>24.136399999999998</v>
      </c>
    </row>
    <row r="2697" spans="1:6" x14ac:dyDescent="0.2">
      <c r="A2697">
        <v>836</v>
      </c>
      <c r="B2697" s="3" t="s">
        <v>277</v>
      </c>
      <c r="C2697" s="3" t="s">
        <v>278</v>
      </c>
      <c r="D2697" s="3">
        <v>1</v>
      </c>
      <c r="E2697" s="3">
        <v>41.026594559999999</v>
      </c>
      <c r="F2697">
        <f t="shared" si="42"/>
        <v>41.026594559999999</v>
      </c>
    </row>
    <row r="2698" spans="1:6" x14ac:dyDescent="0.2">
      <c r="A2698">
        <v>836</v>
      </c>
      <c r="B2698" s="3" t="s">
        <v>326</v>
      </c>
      <c r="C2698" s="3" t="s">
        <v>278</v>
      </c>
      <c r="D2698" s="3">
        <v>5</v>
      </c>
      <c r="E2698" s="3">
        <v>3.97459776</v>
      </c>
      <c r="F2698">
        <f t="shared" si="42"/>
        <v>19.872988800000002</v>
      </c>
    </row>
    <row r="2699" spans="1:6" x14ac:dyDescent="0.2">
      <c r="A2699">
        <v>836</v>
      </c>
      <c r="B2699" s="3" t="s">
        <v>274</v>
      </c>
      <c r="C2699" s="3" t="s">
        <v>273</v>
      </c>
      <c r="D2699" s="3">
        <v>5</v>
      </c>
      <c r="E2699" s="3">
        <v>149.230919</v>
      </c>
      <c r="F2699">
        <f t="shared" si="42"/>
        <v>746.15459499999997</v>
      </c>
    </row>
    <row r="2700" spans="1:6" x14ac:dyDescent="0.2">
      <c r="A2700">
        <v>836</v>
      </c>
      <c r="B2700" s="3" t="s">
        <v>327</v>
      </c>
      <c r="C2700" s="3" t="s">
        <v>309</v>
      </c>
      <c r="D2700" s="3">
        <v>1</v>
      </c>
      <c r="E2700" s="3">
        <v>1532.523686</v>
      </c>
      <c r="F2700">
        <f t="shared" si="42"/>
        <v>1532.523686</v>
      </c>
    </row>
    <row r="2701" spans="1:6" x14ac:dyDescent="0.2">
      <c r="A2701">
        <v>836</v>
      </c>
      <c r="B2701" s="3" t="s">
        <v>328</v>
      </c>
      <c r="C2701" s="3" t="s">
        <v>329</v>
      </c>
      <c r="D2701" s="3">
        <v>1</v>
      </c>
      <c r="E2701" s="3">
        <v>155.6230769</v>
      </c>
      <c r="F2701">
        <f t="shared" si="42"/>
        <v>155.6230769</v>
      </c>
    </row>
    <row r="2702" spans="1:6" x14ac:dyDescent="0.2">
      <c r="A2702">
        <v>836</v>
      </c>
      <c r="B2702" s="3" t="s">
        <v>330</v>
      </c>
      <c r="C2702" s="3" t="s">
        <v>331</v>
      </c>
      <c r="D2702" s="3">
        <v>4</v>
      </c>
      <c r="E2702" s="3">
        <v>710.44615380000005</v>
      </c>
      <c r="F2702">
        <f t="shared" si="42"/>
        <v>2841.7846152000002</v>
      </c>
    </row>
    <row r="2703" spans="1:6" x14ac:dyDescent="0.2">
      <c r="A2703">
        <v>836</v>
      </c>
      <c r="B2703" s="3" t="s">
        <v>332</v>
      </c>
      <c r="C2703" s="3" t="s">
        <v>333</v>
      </c>
      <c r="D2703" s="3">
        <v>3</v>
      </c>
      <c r="E2703" s="3">
        <v>167.55384620000001</v>
      </c>
      <c r="F2703">
        <f t="shared" si="42"/>
        <v>502.66153860000003</v>
      </c>
    </row>
    <row r="2704" spans="1:6" x14ac:dyDescent="0.2">
      <c r="A2704">
        <v>836</v>
      </c>
      <c r="B2704" s="3" t="s">
        <v>272</v>
      </c>
      <c r="C2704" s="3" t="s">
        <v>273</v>
      </c>
      <c r="D2704" s="3">
        <v>1</v>
      </c>
      <c r="E2704" s="3">
        <v>170.1112224</v>
      </c>
      <c r="F2704">
        <f t="shared" si="42"/>
        <v>170.1112224</v>
      </c>
    </row>
    <row r="2705" spans="1:6" x14ac:dyDescent="0.2">
      <c r="A2705">
        <v>836</v>
      </c>
      <c r="B2705" s="3" t="s">
        <v>275</v>
      </c>
      <c r="C2705" s="3" t="s">
        <v>276</v>
      </c>
      <c r="D2705" s="3">
        <v>3</v>
      </c>
      <c r="E2705" s="3">
        <v>9.0814483199999998</v>
      </c>
      <c r="F2705">
        <f t="shared" si="42"/>
        <v>27.244344959999999</v>
      </c>
    </row>
    <row r="2706" spans="1:6" x14ac:dyDescent="0.2">
      <c r="A2706">
        <v>836</v>
      </c>
      <c r="B2706" s="3" t="s">
        <v>334</v>
      </c>
      <c r="C2706" s="3" t="s">
        <v>329</v>
      </c>
      <c r="D2706" s="3">
        <v>2</v>
      </c>
      <c r="E2706" s="3">
        <v>149.03076920000001</v>
      </c>
      <c r="F2706">
        <f t="shared" si="42"/>
        <v>298.06153840000002</v>
      </c>
    </row>
    <row r="2707" spans="1:6" x14ac:dyDescent="0.2">
      <c r="A2707">
        <v>836</v>
      </c>
      <c r="B2707" s="3" t="s">
        <v>335</v>
      </c>
      <c r="C2707" s="3" t="s">
        <v>331</v>
      </c>
      <c r="D2707" s="3">
        <v>4</v>
      </c>
      <c r="E2707" s="3">
        <v>703.1</v>
      </c>
      <c r="F2707">
        <f t="shared" si="42"/>
        <v>2812.4</v>
      </c>
    </row>
    <row r="2708" spans="1:6" x14ac:dyDescent="0.2">
      <c r="A2708">
        <v>836</v>
      </c>
      <c r="B2708" s="3" t="s">
        <v>336</v>
      </c>
      <c r="C2708" s="3" t="s">
        <v>333</v>
      </c>
      <c r="D2708" s="3">
        <v>1</v>
      </c>
      <c r="E2708" s="3">
        <v>288.42307690000001</v>
      </c>
      <c r="F2708">
        <f t="shared" si="42"/>
        <v>288.42307690000001</v>
      </c>
    </row>
    <row r="2709" spans="1:6" x14ac:dyDescent="0.2">
      <c r="A2709">
        <v>836</v>
      </c>
      <c r="B2709" s="3" t="s">
        <v>337</v>
      </c>
      <c r="C2709" s="3" t="s">
        <v>297</v>
      </c>
      <c r="D2709" s="3">
        <v>118</v>
      </c>
      <c r="E2709" s="3">
        <v>11.761100000000001</v>
      </c>
      <c r="F2709">
        <f t="shared" si="42"/>
        <v>1387.8098</v>
      </c>
    </row>
    <row r="2710" spans="1:6" x14ac:dyDescent="0.2">
      <c r="A2710">
        <v>836</v>
      </c>
      <c r="B2710" s="3" t="s">
        <v>338</v>
      </c>
      <c r="C2710" s="3" t="s">
        <v>297</v>
      </c>
      <c r="D2710" s="3">
        <v>1</v>
      </c>
      <c r="E2710" s="3">
        <v>11.712960000000001</v>
      </c>
      <c r="F2710">
        <f t="shared" si="42"/>
        <v>11.712960000000001</v>
      </c>
    </row>
    <row r="2711" spans="1:6" x14ac:dyDescent="0.2">
      <c r="A2711">
        <v>836</v>
      </c>
      <c r="B2711" s="3" t="s">
        <v>339</v>
      </c>
      <c r="C2711" s="3" t="s">
        <v>297</v>
      </c>
      <c r="D2711" s="3">
        <v>1</v>
      </c>
      <c r="E2711" s="3">
        <v>20.279038079999999</v>
      </c>
      <c r="F2711">
        <f t="shared" si="42"/>
        <v>20.279038079999999</v>
      </c>
    </row>
    <row r="2712" spans="1:6" x14ac:dyDescent="0.2">
      <c r="A2712">
        <v>836</v>
      </c>
      <c r="B2712" s="3" t="s">
        <v>340</v>
      </c>
      <c r="C2712" s="3" t="s">
        <v>309</v>
      </c>
      <c r="D2712" s="3">
        <v>3</v>
      </c>
      <c r="E2712" s="3">
        <v>1536.3343030000001</v>
      </c>
      <c r="F2712">
        <f t="shared" si="42"/>
        <v>4609.0029090000007</v>
      </c>
    </row>
    <row r="2713" spans="1:6" x14ac:dyDescent="0.2">
      <c r="A2713">
        <v>836</v>
      </c>
      <c r="B2713" s="3" t="s">
        <v>341</v>
      </c>
      <c r="C2713" s="3" t="s">
        <v>342</v>
      </c>
      <c r="D2713" s="3">
        <v>1</v>
      </c>
      <c r="E2713" s="3">
        <v>307.22449999999998</v>
      </c>
      <c r="F2713">
        <f t="shared" si="42"/>
        <v>307.22449999999998</v>
      </c>
    </row>
    <row r="2714" spans="1:6" x14ac:dyDescent="0.2">
      <c r="A2714">
        <v>836</v>
      </c>
      <c r="B2714" s="3" t="s">
        <v>284</v>
      </c>
      <c r="C2714" s="3" t="s">
        <v>273</v>
      </c>
      <c r="D2714" s="3">
        <v>2</v>
      </c>
      <c r="E2714" s="3">
        <v>15.547002239999999</v>
      </c>
      <c r="F2714">
        <f t="shared" si="42"/>
        <v>31.094004479999999</v>
      </c>
    </row>
    <row r="2715" spans="1:6" x14ac:dyDescent="0.2">
      <c r="A2715">
        <v>836</v>
      </c>
      <c r="B2715" s="3" t="s">
        <v>283</v>
      </c>
      <c r="C2715" s="3" t="s">
        <v>278</v>
      </c>
      <c r="D2715" s="3">
        <v>3</v>
      </c>
      <c r="E2715" s="3">
        <v>101.7621965</v>
      </c>
      <c r="F2715">
        <f t="shared" si="42"/>
        <v>305.28658949999999</v>
      </c>
    </row>
    <row r="2716" spans="1:6" x14ac:dyDescent="0.2">
      <c r="A2716">
        <v>836</v>
      </c>
      <c r="B2716" s="3" t="s">
        <v>281</v>
      </c>
      <c r="C2716" s="3" t="s">
        <v>282</v>
      </c>
      <c r="D2716" s="3">
        <v>6</v>
      </c>
      <c r="E2716" s="3">
        <v>43.369186560000003</v>
      </c>
      <c r="F2716">
        <f t="shared" si="42"/>
        <v>260.21511936000002</v>
      </c>
    </row>
    <row r="2717" spans="1:6" x14ac:dyDescent="0.2">
      <c r="A2717">
        <v>836</v>
      </c>
      <c r="B2717" s="3" t="s">
        <v>279</v>
      </c>
      <c r="C2717" s="3" t="s">
        <v>280</v>
      </c>
      <c r="D2717" s="3">
        <v>6</v>
      </c>
      <c r="E2717" s="3">
        <v>36.786503039999999</v>
      </c>
      <c r="F2717">
        <f t="shared" si="42"/>
        <v>220.71901824</v>
      </c>
    </row>
    <row r="2718" spans="1:6" x14ac:dyDescent="0.2">
      <c r="A2718">
        <v>836</v>
      </c>
      <c r="B2718" s="3" t="s">
        <v>343</v>
      </c>
      <c r="C2718" s="3" t="s">
        <v>282</v>
      </c>
      <c r="D2718" s="3">
        <v>1</v>
      </c>
      <c r="E2718" s="3">
        <v>16.807500000000001</v>
      </c>
      <c r="F2718">
        <f t="shared" si="42"/>
        <v>16.807500000000001</v>
      </c>
    </row>
    <row r="2719" spans="1:6" x14ac:dyDescent="0.2">
      <c r="A2719">
        <v>836</v>
      </c>
      <c r="B2719" s="3" t="s">
        <v>344</v>
      </c>
      <c r="C2719" s="3" t="s">
        <v>282</v>
      </c>
      <c r="D2719" s="3">
        <v>1</v>
      </c>
      <c r="E2719" s="3">
        <v>12.7671264</v>
      </c>
      <c r="F2719">
        <f t="shared" si="42"/>
        <v>12.7671264</v>
      </c>
    </row>
    <row r="2720" spans="1:6" x14ac:dyDescent="0.2">
      <c r="A2720">
        <v>836</v>
      </c>
      <c r="B2720" s="3" t="s">
        <v>270</v>
      </c>
      <c r="C2720" s="3" t="s">
        <v>271</v>
      </c>
      <c r="D2720" s="3">
        <v>1</v>
      </c>
      <c r="E2720" s="3">
        <v>3027.0973819999999</v>
      </c>
      <c r="F2720">
        <f t="shared" si="42"/>
        <v>3027.0973819999999</v>
      </c>
    </row>
    <row r="2721" spans="1:6" x14ac:dyDescent="0.2">
      <c r="A2721">
        <v>836</v>
      </c>
      <c r="B2721" s="3" t="s">
        <v>272</v>
      </c>
      <c r="C2721" s="3" t="s">
        <v>273</v>
      </c>
      <c r="D2721" s="3">
        <v>1</v>
      </c>
      <c r="E2721" s="3">
        <v>170.1112224</v>
      </c>
      <c r="F2721">
        <f t="shared" si="42"/>
        <v>170.1112224</v>
      </c>
    </row>
    <row r="2722" spans="1:6" x14ac:dyDescent="0.2">
      <c r="A2722">
        <v>836</v>
      </c>
      <c r="B2722" s="3" t="s">
        <v>274</v>
      </c>
      <c r="C2722" s="3" t="s">
        <v>273</v>
      </c>
      <c r="D2722" s="3">
        <v>1</v>
      </c>
      <c r="E2722" s="3">
        <v>149.230919</v>
      </c>
      <c r="F2722">
        <f t="shared" si="42"/>
        <v>149.230919</v>
      </c>
    </row>
    <row r="2723" spans="1:6" x14ac:dyDescent="0.2">
      <c r="A2723">
        <v>836</v>
      </c>
      <c r="B2723" s="3" t="s">
        <v>275</v>
      </c>
      <c r="C2723" s="3" t="s">
        <v>276</v>
      </c>
      <c r="D2723" s="3">
        <v>2</v>
      </c>
      <c r="E2723" s="3">
        <v>9.0814483199999998</v>
      </c>
      <c r="F2723">
        <f t="shared" si="42"/>
        <v>18.16289664</v>
      </c>
    </row>
    <row r="2724" spans="1:6" x14ac:dyDescent="0.2">
      <c r="A2724">
        <v>836</v>
      </c>
      <c r="B2724" s="3" t="s">
        <v>277</v>
      </c>
      <c r="C2724" s="3" t="s">
        <v>278</v>
      </c>
      <c r="D2724" s="3">
        <v>5</v>
      </c>
      <c r="E2724" s="3">
        <v>41.026594559999999</v>
      </c>
      <c r="F2724">
        <f t="shared" si="42"/>
        <v>205.1329728</v>
      </c>
    </row>
    <row r="2725" spans="1:6" x14ac:dyDescent="0.2">
      <c r="A2725">
        <v>836</v>
      </c>
      <c r="B2725" s="3" t="s">
        <v>279</v>
      </c>
      <c r="C2725" s="3" t="s">
        <v>280</v>
      </c>
      <c r="D2725" s="3">
        <v>1</v>
      </c>
      <c r="E2725" s="3">
        <v>36.786503039999999</v>
      </c>
      <c r="F2725">
        <f t="shared" ref="F2725:F2788" si="43">D2725*E2725</f>
        <v>36.786503039999999</v>
      </c>
    </row>
    <row r="2726" spans="1:6" x14ac:dyDescent="0.2">
      <c r="A2726">
        <v>836</v>
      </c>
      <c r="B2726" s="3" t="s">
        <v>281</v>
      </c>
      <c r="C2726" s="3" t="s">
        <v>282</v>
      </c>
      <c r="D2726" s="3">
        <v>1</v>
      </c>
      <c r="E2726" s="3">
        <v>43.369186560000003</v>
      </c>
      <c r="F2726">
        <f t="shared" si="43"/>
        <v>43.369186560000003</v>
      </c>
    </row>
    <row r="2727" spans="1:6" x14ac:dyDescent="0.2">
      <c r="A2727">
        <v>836</v>
      </c>
      <c r="B2727" s="3" t="s">
        <v>283</v>
      </c>
      <c r="C2727" s="3" t="s">
        <v>278</v>
      </c>
      <c r="D2727" s="3">
        <v>3</v>
      </c>
      <c r="E2727" s="3">
        <v>101.7621965</v>
      </c>
      <c r="F2727">
        <f t="shared" si="43"/>
        <v>305.28658949999999</v>
      </c>
    </row>
    <row r="2728" spans="1:6" x14ac:dyDescent="0.2">
      <c r="A2728">
        <v>836</v>
      </c>
      <c r="B2728" s="3" t="s">
        <v>284</v>
      </c>
      <c r="C2728" s="3" t="s">
        <v>273</v>
      </c>
      <c r="D2728" s="3">
        <v>1</v>
      </c>
      <c r="E2728" s="3">
        <v>15.547002239999999</v>
      </c>
      <c r="F2728">
        <f t="shared" si="43"/>
        <v>15.547002239999999</v>
      </c>
    </row>
    <row r="2729" spans="1:6" x14ac:dyDescent="0.2">
      <c r="A2729">
        <v>836</v>
      </c>
      <c r="B2729" s="3" t="s">
        <v>285</v>
      </c>
      <c r="C2729" s="3" t="s">
        <v>286</v>
      </c>
      <c r="D2729" s="3">
        <v>2</v>
      </c>
      <c r="E2729" s="3">
        <v>58.189985280000002</v>
      </c>
      <c r="F2729">
        <f t="shared" si="43"/>
        <v>116.37997056</v>
      </c>
    </row>
    <row r="2730" spans="1:6" x14ac:dyDescent="0.2">
      <c r="A2730">
        <v>836</v>
      </c>
      <c r="B2730" s="3" t="s">
        <v>287</v>
      </c>
      <c r="C2730" s="3" t="s">
        <v>273</v>
      </c>
      <c r="D2730" s="3">
        <v>2</v>
      </c>
      <c r="E2730" s="3">
        <v>100.66898689999999</v>
      </c>
      <c r="F2730">
        <f t="shared" si="43"/>
        <v>201.33797379999999</v>
      </c>
    </row>
    <row r="2731" spans="1:6" x14ac:dyDescent="0.2">
      <c r="A2731">
        <v>836</v>
      </c>
      <c r="B2731" s="3" t="s">
        <v>288</v>
      </c>
      <c r="C2731" s="3" t="s">
        <v>289</v>
      </c>
      <c r="D2731" s="3">
        <v>2</v>
      </c>
      <c r="E2731" s="3">
        <v>7.3401215999999998</v>
      </c>
      <c r="F2731">
        <f t="shared" si="43"/>
        <v>14.6802432</v>
      </c>
    </row>
    <row r="2732" spans="1:6" x14ac:dyDescent="0.2">
      <c r="A2732">
        <v>836</v>
      </c>
      <c r="B2732" s="3" t="s">
        <v>290</v>
      </c>
      <c r="C2732" s="3" t="s">
        <v>278</v>
      </c>
      <c r="D2732" s="3">
        <v>4</v>
      </c>
      <c r="E2732" s="3">
        <v>43.751809919999999</v>
      </c>
      <c r="F2732">
        <f t="shared" si="43"/>
        <v>175.00723968</v>
      </c>
    </row>
    <row r="2733" spans="1:6" x14ac:dyDescent="0.2">
      <c r="A2733">
        <v>836</v>
      </c>
      <c r="B2733" s="3" t="s">
        <v>277</v>
      </c>
      <c r="C2733" s="3" t="s">
        <v>278</v>
      </c>
      <c r="D2733" s="3">
        <v>5</v>
      </c>
      <c r="E2733" s="3">
        <v>41.026594559999999</v>
      </c>
      <c r="F2733">
        <f t="shared" si="43"/>
        <v>205.1329728</v>
      </c>
    </row>
    <row r="2734" spans="1:6" x14ac:dyDescent="0.2">
      <c r="A2734">
        <v>836</v>
      </c>
      <c r="B2734" s="3" t="s">
        <v>291</v>
      </c>
      <c r="C2734" s="3" t="s">
        <v>278</v>
      </c>
      <c r="D2734" s="3">
        <v>5</v>
      </c>
      <c r="E2734" s="3">
        <v>24.136399999999998</v>
      </c>
      <c r="F2734">
        <f t="shared" si="43"/>
        <v>120.68199999999999</v>
      </c>
    </row>
    <row r="2735" spans="1:6" x14ac:dyDescent="0.2">
      <c r="A2735">
        <v>836</v>
      </c>
      <c r="B2735" s="3" t="s">
        <v>292</v>
      </c>
      <c r="C2735" s="3" t="s">
        <v>293</v>
      </c>
      <c r="D2735" s="3">
        <v>2</v>
      </c>
      <c r="E2735" s="3">
        <v>96.852699999999999</v>
      </c>
      <c r="F2735">
        <f t="shared" si="43"/>
        <v>193.7054</v>
      </c>
    </row>
    <row r="2736" spans="1:6" x14ac:dyDescent="0.2">
      <c r="A2736">
        <v>836</v>
      </c>
      <c r="B2736" s="3" t="s">
        <v>294</v>
      </c>
      <c r="C2736" s="3" t="s">
        <v>278</v>
      </c>
      <c r="D2736" s="3">
        <v>108</v>
      </c>
      <c r="E2736" s="3">
        <v>26.221413120000001</v>
      </c>
      <c r="F2736">
        <f t="shared" si="43"/>
        <v>2831.9126169599999</v>
      </c>
    </row>
    <row r="2737" spans="1:6" x14ac:dyDescent="0.2">
      <c r="A2737">
        <v>836</v>
      </c>
      <c r="B2737" s="3" t="s">
        <v>295</v>
      </c>
      <c r="C2737" s="3" t="s">
        <v>273</v>
      </c>
      <c r="D2737" s="3">
        <v>108</v>
      </c>
      <c r="E2737" s="3">
        <v>54.886930560000003</v>
      </c>
      <c r="F2737">
        <f t="shared" si="43"/>
        <v>5927.78850048</v>
      </c>
    </row>
    <row r="2738" spans="1:6" x14ac:dyDescent="0.2">
      <c r="A2738">
        <v>836</v>
      </c>
      <c r="B2738" s="3" t="s">
        <v>296</v>
      </c>
      <c r="C2738" s="3" t="s">
        <v>297</v>
      </c>
      <c r="D2738" s="3">
        <v>13</v>
      </c>
      <c r="E2738" s="3">
        <v>5.5029000000000003</v>
      </c>
      <c r="F2738">
        <f t="shared" si="43"/>
        <v>71.537700000000001</v>
      </c>
    </row>
    <row r="2739" spans="1:6" x14ac:dyDescent="0.2">
      <c r="A2739">
        <v>836</v>
      </c>
      <c r="B2739" s="3" t="s">
        <v>298</v>
      </c>
      <c r="C2739" s="3" t="s">
        <v>297</v>
      </c>
      <c r="D2739" s="3">
        <v>26</v>
      </c>
      <c r="E2739" s="3">
        <v>5.9344999999999999</v>
      </c>
      <c r="F2739">
        <f t="shared" si="43"/>
        <v>154.297</v>
      </c>
    </row>
    <row r="2740" spans="1:6" x14ac:dyDescent="0.2">
      <c r="A2740">
        <v>836</v>
      </c>
      <c r="B2740" s="3" t="s">
        <v>299</v>
      </c>
      <c r="C2740" s="3" t="s">
        <v>297</v>
      </c>
      <c r="D2740" s="3">
        <v>13</v>
      </c>
      <c r="E2740" s="3">
        <v>4.3574999999999999</v>
      </c>
      <c r="F2740">
        <f t="shared" si="43"/>
        <v>56.647500000000001</v>
      </c>
    </row>
    <row r="2741" spans="1:6" x14ac:dyDescent="0.2">
      <c r="A2741">
        <v>836</v>
      </c>
      <c r="B2741" s="3" t="s">
        <v>122</v>
      </c>
      <c r="C2741" s="3" t="s">
        <v>276</v>
      </c>
      <c r="D2741" s="3">
        <v>12</v>
      </c>
      <c r="E2741" s="3">
        <v>14.915100000000001</v>
      </c>
      <c r="F2741">
        <f t="shared" si="43"/>
        <v>178.9812</v>
      </c>
    </row>
    <row r="2742" spans="1:6" x14ac:dyDescent="0.2">
      <c r="A2742">
        <v>836</v>
      </c>
      <c r="B2742" s="3" t="s">
        <v>120</v>
      </c>
      <c r="C2742" s="3" t="s">
        <v>278</v>
      </c>
      <c r="D2742" s="3">
        <v>25</v>
      </c>
      <c r="E2742" s="3">
        <v>1.5604</v>
      </c>
      <c r="F2742">
        <f t="shared" si="43"/>
        <v>39.01</v>
      </c>
    </row>
    <row r="2743" spans="1:6" x14ac:dyDescent="0.2">
      <c r="A2743">
        <v>836</v>
      </c>
      <c r="B2743" s="3" t="s">
        <v>300</v>
      </c>
      <c r="C2743" s="3" t="s">
        <v>273</v>
      </c>
      <c r="D2743" s="3">
        <v>12</v>
      </c>
      <c r="E2743" s="3">
        <v>60.59</v>
      </c>
      <c r="F2743">
        <f t="shared" si="43"/>
        <v>727.08</v>
      </c>
    </row>
    <row r="2744" spans="1:6" x14ac:dyDescent="0.2">
      <c r="A2744">
        <v>836</v>
      </c>
      <c r="B2744" s="3" t="s">
        <v>301</v>
      </c>
      <c r="C2744" s="3" t="s">
        <v>302</v>
      </c>
      <c r="D2744" s="3">
        <v>2</v>
      </c>
      <c r="E2744" s="3">
        <v>104.88565250000001</v>
      </c>
      <c r="F2744">
        <f t="shared" si="43"/>
        <v>209.77130500000001</v>
      </c>
    </row>
    <row r="2745" spans="1:6" x14ac:dyDescent="0.2">
      <c r="A2745">
        <v>836</v>
      </c>
      <c r="B2745" s="3" t="s">
        <v>303</v>
      </c>
      <c r="C2745" s="3" t="s">
        <v>304</v>
      </c>
      <c r="D2745" s="3">
        <v>2</v>
      </c>
      <c r="E2745" s="3">
        <v>683.94489999999996</v>
      </c>
      <c r="F2745">
        <f t="shared" si="43"/>
        <v>1367.8897999999999</v>
      </c>
    </row>
    <row r="2746" spans="1:6" x14ac:dyDescent="0.2">
      <c r="A2746">
        <v>836</v>
      </c>
      <c r="B2746" s="3" t="s">
        <v>305</v>
      </c>
      <c r="C2746" s="3" t="s">
        <v>273</v>
      </c>
      <c r="D2746" s="3">
        <v>2</v>
      </c>
      <c r="E2746" s="3">
        <v>71.189099999999996</v>
      </c>
      <c r="F2746">
        <f t="shared" si="43"/>
        <v>142.37819999999999</v>
      </c>
    </row>
    <row r="2747" spans="1:6" x14ac:dyDescent="0.2">
      <c r="A2747">
        <v>836</v>
      </c>
      <c r="B2747" s="3" t="s">
        <v>294</v>
      </c>
      <c r="C2747" s="3" t="s">
        <v>278</v>
      </c>
      <c r="D2747" s="3">
        <v>8</v>
      </c>
      <c r="E2747" s="3">
        <v>26.221413120000001</v>
      </c>
      <c r="F2747">
        <f t="shared" si="43"/>
        <v>209.77130496000001</v>
      </c>
    </row>
    <row r="2748" spans="1:6" x14ac:dyDescent="0.2">
      <c r="A2748">
        <v>836</v>
      </c>
      <c r="B2748" s="3" t="s">
        <v>306</v>
      </c>
      <c r="C2748" s="3" t="s">
        <v>273</v>
      </c>
      <c r="D2748" s="3">
        <v>8</v>
      </c>
      <c r="E2748" s="3">
        <v>99.575777279999997</v>
      </c>
      <c r="F2748">
        <f t="shared" si="43"/>
        <v>796.60621823999998</v>
      </c>
    </row>
    <row r="2749" spans="1:6" x14ac:dyDescent="0.2">
      <c r="A2749">
        <v>836</v>
      </c>
      <c r="B2749" s="3" t="s">
        <v>294</v>
      </c>
      <c r="C2749" s="3" t="s">
        <v>278</v>
      </c>
      <c r="D2749" s="3">
        <v>8</v>
      </c>
      <c r="E2749" s="3">
        <v>26.221413120000001</v>
      </c>
      <c r="F2749">
        <f t="shared" si="43"/>
        <v>209.77130496000001</v>
      </c>
    </row>
    <row r="2750" spans="1:6" x14ac:dyDescent="0.2">
      <c r="A2750">
        <v>836</v>
      </c>
      <c r="B2750" s="3" t="s">
        <v>306</v>
      </c>
      <c r="C2750" s="3" t="s">
        <v>273</v>
      </c>
      <c r="D2750" s="3">
        <v>8</v>
      </c>
      <c r="E2750" s="3">
        <v>99.575777279999997</v>
      </c>
      <c r="F2750">
        <f t="shared" si="43"/>
        <v>796.60621823999998</v>
      </c>
    </row>
    <row r="2751" spans="1:6" x14ac:dyDescent="0.2">
      <c r="A2751">
        <v>836</v>
      </c>
      <c r="B2751" s="3" t="s">
        <v>308</v>
      </c>
      <c r="C2751" s="3" t="s">
        <v>309</v>
      </c>
      <c r="D2751" s="3">
        <v>1</v>
      </c>
      <c r="E2751" s="3">
        <v>167.6230769</v>
      </c>
      <c r="F2751">
        <f t="shared" si="43"/>
        <v>167.6230769</v>
      </c>
    </row>
    <row r="2752" spans="1:6" x14ac:dyDescent="0.2">
      <c r="A2752">
        <v>836</v>
      </c>
      <c r="B2752" s="3" t="s">
        <v>310</v>
      </c>
      <c r="C2752" s="3" t="s">
        <v>273</v>
      </c>
      <c r="D2752" s="3">
        <v>1</v>
      </c>
      <c r="E2752" s="3">
        <v>0.33200000000000002</v>
      </c>
      <c r="F2752">
        <f t="shared" si="43"/>
        <v>0.33200000000000002</v>
      </c>
    </row>
    <row r="2753" spans="1:6" x14ac:dyDescent="0.2">
      <c r="A2753">
        <v>836</v>
      </c>
      <c r="B2753" s="3" t="s">
        <v>197</v>
      </c>
      <c r="C2753" s="3" t="s">
        <v>278</v>
      </c>
      <c r="D2753" s="3">
        <v>8</v>
      </c>
      <c r="E2753" s="3">
        <v>7.4700000000000003E-2</v>
      </c>
      <c r="F2753">
        <f t="shared" si="43"/>
        <v>0.59760000000000002</v>
      </c>
    </row>
    <row r="2754" spans="1:6" x14ac:dyDescent="0.2">
      <c r="A2754">
        <v>836</v>
      </c>
      <c r="B2754" s="3" t="s">
        <v>311</v>
      </c>
      <c r="C2754" s="3" t="s">
        <v>273</v>
      </c>
      <c r="D2754" s="3">
        <v>52</v>
      </c>
      <c r="E2754" s="3">
        <v>1.5935999999999999</v>
      </c>
      <c r="F2754">
        <f t="shared" si="43"/>
        <v>82.867199999999997</v>
      </c>
    </row>
    <row r="2755" spans="1:6" x14ac:dyDescent="0.2">
      <c r="A2755">
        <v>836</v>
      </c>
      <c r="B2755" s="3" t="s">
        <v>312</v>
      </c>
      <c r="C2755" s="3" t="s">
        <v>278</v>
      </c>
      <c r="D2755" s="3">
        <v>3</v>
      </c>
      <c r="E2755" s="3">
        <v>21.040500000000002</v>
      </c>
      <c r="F2755">
        <f t="shared" si="43"/>
        <v>63.121500000000005</v>
      </c>
    </row>
    <row r="2756" spans="1:6" x14ac:dyDescent="0.2">
      <c r="A2756">
        <v>836</v>
      </c>
      <c r="B2756" s="3" t="s">
        <v>75</v>
      </c>
      <c r="C2756" s="3" t="s">
        <v>313</v>
      </c>
      <c r="D2756" s="3">
        <v>3</v>
      </c>
      <c r="E2756" s="3">
        <v>0.115384615</v>
      </c>
      <c r="F2756">
        <f t="shared" si="43"/>
        <v>0.34615384500000002</v>
      </c>
    </row>
    <row r="2757" spans="1:6" x14ac:dyDescent="0.2">
      <c r="A2757">
        <v>836</v>
      </c>
      <c r="B2757" s="3" t="s">
        <v>314</v>
      </c>
      <c r="C2757" s="3" t="s">
        <v>273</v>
      </c>
      <c r="D2757" s="3">
        <v>36</v>
      </c>
      <c r="E2757" s="3">
        <v>0.45650000000000002</v>
      </c>
      <c r="F2757">
        <f t="shared" si="43"/>
        <v>16.434000000000001</v>
      </c>
    </row>
    <row r="2758" spans="1:6" x14ac:dyDescent="0.2">
      <c r="A2758">
        <v>836</v>
      </c>
      <c r="B2758" s="3" t="s">
        <v>314</v>
      </c>
      <c r="C2758" s="3" t="s">
        <v>315</v>
      </c>
      <c r="D2758" s="3">
        <v>12</v>
      </c>
      <c r="E2758" s="3">
        <v>0.45650000000000002</v>
      </c>
      <c r="F2758">
        <f t="shared" si="43"/>
        <v>5.4779999999999998</v>
      </c>
    </row>
    <row r="2759" spans="1:6" x14ac:dyDescent="0.2">
      <c r="A2759">
        <v>836</v>
      </c>
      <c r="B2759" s="3" t="s">
        <v>316</v>
      </c>
      <c r="C2759" s="3" t="s">
        <v>317</v>
      </c>
      <c r="D2759" s="3">
        <v>1</v>
      </c>
      <c r="E2759" s="3">
        <v>92.206615380000002</v>
      </c>
      <c r="F2759">
        <f t="shared" si="43"/>
        <v>92.206615380000002</v>
      </c>
    </row>
    <row r="2760" spans="1:6" x14ac:dyDescent="0.2">
      <c r="A2760">
        <v>836</v>
      </c>
      <c r="B2760" s="3" t="s">
        <v>318</v>
      </c>
      <c r="C2760" s="3" t="s">
        <v>319</v>
      </c>
      <c r="D2760" s="3">
        <v>2</v>
      </c>
      <c r="E2760" s="3">
        <v>85.453846150000004</v>
      </c>
      <c r="F2760">
        <f t="shared" si="43"/>
        <v>170.90769230000001</v>
      </c>
    </row>
    <row r="2761" spans="1:6" x14ac:dyDescent="0.2">
      <c r="A2761">
        <v>836</v>
      </c>
      <c r="B2761" s="3" t="s">
        <v>320</v>
      </c>
      <c r="C2761" s="3" t="s">
        <v>321</v>
      </c>
      <c r="D2761" s="3">
        <v>1</v>
      </c>
      <c r="E2761" s="3">
        <v>92.206615380000002</v>
      </c>
      <c r="F2761">
        <f t="shared" si="43"/>
        <v>92.206615380000002</v>
      </c>
    </row>
    <row r="2762" spans="1:6" x14ac:dyDescent="0.2">
      <c r="A2762">
        <v>836</v>
      </c>
      <c r="B2762" s="3" t="s">
        <v>267</v>
      </c>
      <c r="C2762" s="3" t="s">
        <v>268</v>
      </c>
      <c r="D2762" s="3">
        <v>1</v>
      </c>
      <c r="E2762" s="3">
        <v>84863.132920000004</v>
      </c>
      <c r="F2762">
        <f t="shared" si="43"/>
        <v>84863.132920000004</v>
      </c>
    </row>
    <row r="2763" spans="1:6" x14ac:dyDescent="0.2">
      <c r="A2763">
        <v>836</v>
      </c>
      <c r="B2763" s="3" t="s">
        <v>260</v>
      </c>
      <c r="C2763" s="3" t="s">
        <v>261</v>
      </c>
      <c r="D2763" s="3">
        <v>1</v>
      </c>
      <c r="E2763" s="3">
        <v>2908.2944619999998</v>
      </c>
      <c r="F2763">
        <f t="shared" si="43"/>
        <v>2908.2944619999998</v>
      </c>
    </row>
    <row r="2764" spans="1:6" x14ac:dyDescent="0.2">
      <c r="A2764">
        <v>836</v>
      </c>
      <c r="B2764" s="3" t="s">
        <v>262</v>
      </c>
      <c r="C2764" s="3" t="s">
        <v>263</v>
      </c>
      <c r="D2764" s="3">
        <v>1</v>
      </c>
      <c r="E2764" s="3">
        <v>3207.1966149999998</v>
      </c>
      <c r="F2764">
        <f t="shared" si="43"/>
        <v>3207.1966149999998</v>
      </c>
    </row>
    <row r="2765" spans="1:6" x14ac:dyDescent="0.2">
      <c r="A2765">
        <v>836</v>
      </c>
      <c r="B2765" s="3" t="s">
        <v>264</v>
      </c>
      <c r="C2765" s="3" t="s">
        <v>265</v>
      </c>
      <c r="D2765" s="3">
        <v>1</v>
      </c>
      <c r="E2765" s="3">
        <v>3466.7312310000002</v>
      </c>
      <c r="F2765">
        <f t="shared" si="43"/>
        <v>3466.7312310000002</v>
      </c>
    </row>
    <row r="2766" spans="1:6" x14ac:dyDescent="0.2">
      <c r="A2766">
        <v>836</v>
      </c>
      <c r="B2766" s="3" t="s">
        <v>259</v>
      </c>
      <c r="C2766" s="3" t="s">
        <v>258</v>
      </c>
      <c r="D2766" s="3">
        <v>1</v>
      </c>
      <c r="E2766" s="3">
        <v>3325.9760000000001</v>
      </c>
      <c r="F2766">
        <f t="shared" si="43"/>
        <v>3325.9760000000001</v>
      </c>
    </row>
    <row r="2767" spans="1:6" x14ac:dyDescent="0.2">
      <c r="A2767">
        <v>836</v>
      </c>
      <c r="B2767" s="3" t="s">
        <v>257</v>
      </c>
      <c r="C2767" s="3" t="s">
        <v>258</v>
      </c>
      <c r="D2767" s="3">
        <v>1</v>
      </c>
      <c r="E2767" s="3">
        <v>3325.9760000000001</v>
      </c>
      <c r="F2767">
        <f t="shared" si="43"/>
        <v>3325.9760000000001</v>
      </c>
    </row>
    <row r="2768" spans="1:6" x14ac:dyDescent="0.2">
      <c r="A2768">
        <v>836</v>
      </c>
      <c r="B2768" s="3" t="s">
        <v>255</v>
      </c>
      <c r="C2768" s="3" t="s">
        <v>256</v>
      </c>
      <c r="D2768" s="3">
        <v>1</v>
      </c>
      <c r="E2768" s="3">
        <v>18546.09462</v>
      </c>
      <c r="F2768">
        <f t="shared" si="43"/>
        <v>18546.09462</v>
      </c>
    </row>
    <row r="2769" spans="1:6" x14ac:dyDescent="0.2">
      <c r="A2769">
        <v>836</v>
      </c>
      <c r="B2769" s="3" t="s">
        <v>253</v>
      </c>
      <c r="C2769" s="3" t="s">
        <v>254</v>
      </c>
      <c r="D2769" s="3">
        <v>1</v>
      </c>
      <c r="E2769" s="3">
        <v>21043.679540000001</v>
      </c>
      <c r="F2769">
        <f t="shared" si="43"/>
        <v>21043.679540000001</v>
      </c>
    </row>
    <row r="2770" spans="1:6" x14ac:dyDescent="0.2">
      <c r="A2770">
        <v>836</v>
      </c>
      <c r="B2770" s="3" t="s">
        <v>359</v>
      </c>
      <c r="C2770" s="3" t="s">
        <v>360</v>
      </c>
      <c r="D2770" s="3">
        <v>1</v>
      </c>
      <c r="E2770" s="3">
        <v>1844.9384620000001</v>
      </c>
      <c r="F2770">
        <f t="shared" si="43"/>
        <v>1844.9384620000001</v>
      </c>
    </row>
    <row r="2771" spans="1:6" x14ac:dyDescent="0.2">
      <c r="A2771">
        <v>836</v>
      </c>
      <c r="B2771" s="3" t="s">
        <v>389</v>
      </c>
      <c r="C2771" s="3" t="s">
        <v>390</v>
      </c>
      <c r="D2771">
        <v>1</v>
      </c>
      <c r="E2771" s="3">
        <v>4906</v>
      </c>
      <c r="F2771">
        <f t="shared" si="43"/>
        <v>4906</v>
      </c>
    </row>
    <row r="2772" spans="1:6" x14ac:dyDescent="0.2">
      <c r="A2772">
        <v>837</v>
      </c>
      <c r="B2772" s="3" t="s">
        <v>62</v>
      </c>
      <c r="C2772" s="3" t="s">
        <v>63</v>
      </c>
      <c r="D2772" s="3">
        <v>1</v>
      </c>
      <c r="E2772" s="3">
        <v>0.34860000000000002</v>
      </c>
      <c r="F2772">
        <f t="shared" si="43"/>
        <v>0.34860000000000002</v>
      </c>
    </row>
    <row r="2773" spans="1:6" x14ac:dyDescent="0.2">
      <c r="A2773">
        <v>837</v>
      </c>
      <c r="B2773" s="3" t="s">
        <v>64</v>
      </c>
      <c r="C2773" s="3" t="s">
        <v>65</v>
      </c>
      <c r="D2773" s="3">
        <v>1</v>
      </c>
      <c r="E2773" s="3">
        <v>803.07692310000004</v>
      </c>
      <c r="F2773">
        <f t="shared" si="43"/>
        <v>803.07692310000004</v>
      </c>
    </row>
    <row r="2774" spans="1:6" x14ac:dyDescent="0.2">
      <c r="A2774">
        <v>837</v>
      </c>
      <c r="B2774" s="3" t="s">
        <v>67</v>
      </c>
      <c r="C2774" s="3" t="s">
        <v>68</v>
      </c>
      <c r="D2774" s="3">
        <v>1</v>
      </c>
      <c r="E2774" s="3">
        <v>49.67856768</v>
      </c>
      <c r="F2774">
        <f t="shared" si="43"/>
        <v>49.67856768</v>
      </c>
    </row>
    <row r="2775" spans="1:6" x14ac:dyDescent="0.2">
      <c r="A2775">
        <v>837</v>
      </c>
      <c r="B2775" s="3" t="s">
        <v>70</v>
      </c>
      <c r="C2775" s="3" t="s">
        <v>71</v>
      </c>
      <c r="D2775" s="3">
        <v>2</v>
      </c>
      <c r="E2775" s="3">
        <v>407.98649999999998</v>
      </c>
      <c r="F2775">
        <f t="shared" si="43"/>
        <v>815.97299999999996</v>
      </c>
    </row>
    <row r="2776" spans="1:6" x14ac:dyDescent="0.2">
      <c r="A2776">
        <v>837</v>
      </c>
      <c r="B2776" s="3" t="s">
        <v>73</v>
      </c>
      <c r="C2776" s="3" t="s">
        <v>74</v>
      </c>
      <c r="D2776" s="3">
        <v>5</v>
      </c>
      <c r="E2776" s="3">
        <v>0.57783936000000002</v>
      </c>
      <c r="F2776">
        <f t="shared" si="43"/>
        <v>2.8891968000000001</v>
      </c>
    </row>
    <row r="2777" spans="1:6" x14ac:dyDescent="0.2">
      <c r="A2777">
        <v>837</v>
      </c>
      <c r="B2777" s="3" t="s">
        <v>75</v>
      </c>
      <c r="C2777" s="3" t="s">
        <v>76</v>
      </c>
      <c r="D2777" s="3">
        <v>75</v>
      </c>
      <c r="E2777" s="3">
        <v>0.115384615</v>
      </c>
      <c r="F2777">
        <f t="shared" si="43"/>
        <v>8.6538461249999994</v>
      </c>
    </row>
    <row r="2778" spans="1:6" x14ac:dyDescent="0.2">
      <c r="A2778">
        <v>837</v>
      </c>
      <c r="B2778" s="3" t="s">
        <v>77</v>
      </c>
      <c r="C2778" s="3" t="s">
        <v>74</v>
      </c>
      <c r="D2778" s="3">
        <v>10</v>
      </c>
      <c r="E2778" s="3">
        <v>1.3944000000000001</v>
      </c>
      <c r="F2778">
        <f t="shared" si="43"/>
        <v>13.944000000000001</v>
      </c>
    </row>
    <row r="2779" spans="1:6" x14ac:dyDescent="0.2">
      <c r="A2779">
        <v>837</v>
      </c>
      <c r="B2779" s="3" t="s">
        <v>78</v>
      </c>
      <c r="C2779" s="3" t="s">
        <v>76</v>
      </c>
      <c r="D2779" s="3">
        <v>20</v>
      </c>
      <c r="E2779" s="3">
        <v>0.71839487999999996</v>
      </c>
      <c r="F2779">
        <f t="shared" si="43"/>
        <v>14.367897599999999</v>
      </c>
    </row>
    <row r="2780" spans="1:6" x14ac:dyDescent="0.2">
      <c r="A2780">
        <v>837</v>
      </c>
      <c r="B2780" s="3" t="s">
        <v>79</v>
      </c>
      <c r="C2780" s="3" t="s">
        <v>74</v>
      </c>
      <c r="D2780" s="3">
        <v>15</v>
      </c>
      <c r="E2780" s="3">
        <v>1.930769231</v>
      </c>
      <c r="F2780">
        <f t="shared" si="43"/>
        <v>28.961538465</v>
      </c>
    </row>
    <row r="2781" spans="1:6" x14ac:dyDescent="0.2">
      <c r="A2781">
        <v>837</v>
      </c>
      <c r="B2781" s="3" t="s">
        <v>80</v>
      </c>
      <c r="C2781" s="3" t="s">
        <v>74</v>
      </c>
      <c r="D2781" s="3">
        <v>40</v>
      </c>
      <c r="E2781" s="3">
        <v>0.95450000000000002</v>
      </c>
      <c r="F2781">
        <f t="shared" si="43"/>
        <v>38.18</v>
      </c>
    </row>
    <row r="2782" spans="1:6" x14ac:dyDescent="0.2">
      <c r="A2782">
        <v>837</v>
      </c>
      <c r="B2782" s="3" t="s">
        <v>81</v>
      </c>
      <c r="C2782" s="3" t="s">
        <v>74</v>
      </c>
      <c r="D2782" s="3">
        <v>65</v>
      </c>
      <c r="E2782" s="3">
        <v>0.76359999999999995</v>
      </c>
      <c r="F2782">
        <f t="shared" si="43"/>
        <v>49.633999999999993</v>
      </c>
    </row>
    <row r="2783" spans="1:6" x14ac:dyDescent="0.2">
      <c r="A2783">
        <v>837</v>
      </c>
      <c r="B2783" s="3" t="s">
        <v>82</v>
      </c>
      <c r="C2783" s="3" t="s">
        <v>83</v>
      </c>
      <c r="D2783" s="3">
        <v>5</v>
      </c>
      <c r="E2783" s="3">
        <v>20.351600000000001</v>
      </c>
      <c r="F2783">
        <f t="shared" si="43"/>
        <v>101.75800000000001</v>
      </c>
    </row>
    <row r="2784" spans="1:6" x14ac:dyDescent="0.2">
      <c r="A2784">
        <v>837</v>
      </c>
      <c r="B2784" s="3" t="s">
        <v>84</v>
      </c>
      <c r="C2784" s="3" t="s">
        <v>85</v>
      </c>
      <c r="D2784" s="3">
        <v>5</v>
      </c>
      <c r="E2784" s="3">
        <v>102.33222720000001</v>
      </c>
      <c r="F2784">
        <f t="shared" si="43"/>
        <v>511.66113600000006</v>
      </c>
    </row>
    <row r="2785" spans="1:6" x14ac:dyDescent="0.2">
      <c r="A2785">
        <v>837</v>
      </c>
      <c r="B2785" s="3" t="s">
        <v>86</v>
      </c>
      <c r="C2785" s="3" t="s">
        <v>85</v>
      </c>
      <c r="D2785" s="3">
        <v>5</v>
      </c>
      <c r="E2785" s="3">
        <v>144.264624</v>
      </c>
      <c r="F2785">
        <f t="shared" si="43"/>
        <v>721.32312000000002</v>
      </c>
    </row>
    <row r="2786" spans="1:6" x14ac:dyDescent="0.2">
      <c r="A2786">
        <v>837</v>
      </c>
      <c r="B2786" s="3" t="s">
        <v>87</v>
      </c>
      <c r="C2786" s="3" t="s">
        <v>88</v>
      </c>
      <c r="D2786" s="3">
        <v>5</v>
      </c>
      <c r="E2786" s="3">
        <v>162.0214714</v>
      </c>
      <c r="F2786">
        <f t="shared" si="43"/>
        <v>810.10735699999998</v>
      </c>
    </row>
    <row r="2787" spans="1:6" x14ac:dyDescent="0.2">
      <c r="A2787">
        <v>837</v>
      </c>
      <c r="B2787" s="3" t="s">
        <v>89</v>
      </c>
      <c r="C2787" s="3" t="s">
        <v>85</v>
      </c>
      <c r="D2787" s="3">
        <v>5</v>
      </c>
      <c r="E2787" s="3">
        <v>211.01287869999999</v>
      </c>
      <c r="F2787">
        <f t="shared" si="43"/>
        <v>1055.0643934999998</v>
      </c>
    </row>
    <row r="2788" spans="1:6" x14ac:dyDescent="0.2">
      <c r="A2788">
        <v>837</v>
      </c>
      <c r="B2788" s="3" t="s">
        <v>90</v>
      </c>
      <c r="C2788" s="3" t="s">
        <v>88</v>
      </c>
      <c r="D2788" s="3">
        <v>5</v>
      </c>
      <c r="E2788" s="3">
        <v>238.16352000000001</v>
      </c>
      <c r="F2788">
        <f t="shared" si="43"/>
        <v>1190.8176000000001</v>
      </c>
    </row>
    <row r="2789" spans="1:6" x14ac:dyDescent="0.2">
      <c r="A2789">
        <v>837</v>
      </c>
      <c r="B2789" s="3" t="s">
        <v>92</v>
      </c>
      <c r="C2789" s="3" t="s">
        <v>93</v>
      </c>
      <c r="D2789" s="3">
        <v>5</v>
      </c>
      <c r="E2789" s="3">
        <v>19.297499999999999</v>
      </c>
      <c r="F2789">
        <f t="shared" ref="F2789:F2852" si="44">D2789*E2789</f>
        <v>96.487499999999997</v>
      </c>
    </row>
    <row r="2790" spans="1:6" x14ac:dyDescent="0.2">
      <c r="A2790">
        <v>837</v>
      </c>
      <c r="B2790" s="3" t="s">
        <v>94</v>
      </c>
      <c r="C2790" s="3" t="s">
        <v>95</v>
      </c>
      <c r="D2790" s="3">
        <v>1</v>
      </c>
      <c r="E2790" s="3">
        <v>644.46267650000004</v>
      </c>
      <c r="F2790">
        <f t="shared" si="44"/>
        <v>644.46267650000004</v>
      </c>
    </row>
    <row r="2791" spans="1:6" x14ac:dyDescent="0.2">
      <c r="A2791">
        <v>837</v>
      </c>
      <c r="B2791" s="3" t="s">
        <v>236</v>
      </c>
      <c r="C2791" s="3" t="s">
        <v>237</v>
      </c>
      <c r="D2791" s="3">
        <v>6</v>
      </c>
      <c r="E2791" s="3">
        <v>132.80000000000001</v>
      </c>
      <c r="F2791">
        <f t="shared" si="44"/>
        <v>796.80000000000007</v>
      </c>
    </row>
    <row r="2792" spans="1:6" x14ac:dyDescent="0.2">
      <c r="A2792">
        <v>837</v>
      </c>
      <c r="B2792" s="3" t="s">
        <v>238</v>
      </c>
      <c r="C2792" s="3" t="s">
        <v>239</v>
      </c>
      <c r="D2792" s="3">
        <v>4</v>
      </c>
      <c r="E2792" s="3">
        <v>340.93846150000002</v>
      </c>
      <c r="F2792">
        <f t="shared" si="44"/>
        <v>1363.7538460000001</v>
      </c>
    </row>
    <row r="2793" spans="1:6" x14ac:dyDescent="0.2">
      <c r="A2793">
        <v>837</v>
      </c>
      <c r="B2793" s="3" t="s">
        <v>240</v>
      </c>
      <c r="C2793" s="3" t="s">
        <v>241</v>
      </c>
      <c r="D2793" s="3">
        <v>4</v>
      </c>
      <c r="E2793" s="3">
        <v>309.0153846</v>
      </c>
      <c r="F2793">
        <f t="shared" si="44"/>
        <v>1236.0615384</v>
      </c>
    </row>
    <row r="2794" spans="1:6" x14ac:dyDescent="0.2">
      <c r="A2794">
        <v>837</v>
      </c>
      <c r="B2794" s="3" t="s">
        <v>242</v>
      </c>
      <c r="C2794" s="3" t="s">
        <v>243</v>
      </c>
      <c r="D2794" s="3">
        <v>2</v>
      </c>
      <c r="E2794" s="3">
        <v>427.7692308</v>
      </c>
      <c r="F2794">
        <f t="shared" si="44"/>
        <v>855.53846160000001</v>
      </c>
    </row>
    <row r="2795" spans="1:6" x14ac:dyDescent="0.2">
      <c r="A2795">
        <v>837</v>
      </c>
      <c r="B2795" s="3" t="s">
        <v>244</v>
      </c>
      <c r="C2795" s="3" t="s">
        <v>184</v>
      </c>
      <c r="D2795" s="3">
        <v>4</v>
      </c>
      <c r="E2795" s="3">
        <v>18.643076919999999</v>
      </c>
      <c r="F2795">
        <f t="shared" si="44"/>
        <v>74.572307679999994</v>
      </c>
    </row>
    <row r="2796" spans="1:6" x14ac:dyDescent="0.2">
      <c r="A2796">
        <v>837</v>
      </c>
      <c r="B2796" s="3" t="s">
        <v>245</v>
      </c>
      <c r="C2796" s="3" t="s">
        <v>246</v>
      </c>
      <c r="D2796" s="3">
        <v>8</v>
      </c>
      <c r="E2796" s="3">
        <v>0.44819999999999999</v>
      </c>
      <c r="F2796">
        <f t="shared" si="44"/>
        <v>3.5855999999999999</v>
      </c>
    </row>
    <row r="2797" spans="1:6" x14ac:dyDescent="0.2">
      <c r="A2797">
        <v>837</v>
      </c>
      <c r="B2797" s="3" t="s">
        <v>75</v>
      </c>
      <c r="C2797" s="3" t="s">
        <v>247</v>
      </c>
      <c r="D2797" s="3">
        <v>8</v>
      </c>
      <c r="E2797" s="3">
        <v>0.115384615</v>
      </c>
      <c r="F2797">
        <f t="shared" si="44"/>
        <v>0.92307691999999997</v>
      </c>
    </row>
    <row r="2798" spans="1:6" x14ac:dyDescent="0.2">
      <c r="A2798">
        <v>837</v>
      </c>
      <c r="B2798" s="3" t="s">
        <v>197</v>
      </c>
      <c r="C2798" s="3" t="s">
        <v>117</v>
      </c>
      <c r="D2798" s="3">
        <v>8</v>
      </c>
      <c r="E2798" s="3">
        <v>7.4700000000000003E-2</v>
      </c>
      <c r="F2798">
        <f t="shared" si="44"/>
        <v>0.59760000000000002</v>
      </c>
    </row>
    <row r="2799" spans="1:6" x14ac:dyDescent="0.2">
      <c r="A2799">
        <v>837</v>
      </c>
      <c r="B2799" s="3" t="s">
        <v>248</v>
      </c>
      <c r="C2799" s="3" t="s">
        <v>249</v>
      </c>
      <c r="D2799" s="3">
        <v>1</v>
      </c>
      <c r="E2799" s="3">
        <v>31064.984619999999</v>
      </c>
      <c r="F2799">
        <f t="shared" si="44"/>
        <v>31064.984619999999</v>
      </c>
    </row>
    <row r="2800" spans="1:6" x14ac:dyDescent="0.2">
      <c r="A2800">
        <v>837</v>
      </c>
      <c r="B2800" s="3" t="s">
        <v>250</v>
      </c>
      <c r="C2800" s="3" t="s">
        <v>251</v>
      </c>
      <c r="D2800" s="3">
        <v>2</v>
      </c>
      <c r="E2800" s="3">
        <v>564.54124609999997</v>
      </c>
      <c r="F2800">
        <f t="shared" si="44"/>
        <v>1129.0824921999999</v>
      </c>
    </row>
    <row r="2801" spans="1:6" x14ac:dyDescent="0.2">
      <c r="A2801">
        <v>837</v>
      </c>
      <c r="B2801" s="3" t="s">
        <v>146</v>
      </c>
      <c r="C2801" s="3" t="s">
        <v>147</v>
      </c>
      <c r="D2801" s="3">
        <v>2</v>
      </c>
      <c r="E2801" s="3">
        <v>8021.5765000000001</v>
      </c>
      <c r="F2801">
        <f t="shared" si="44"/>
        <v>16043.153</v>
      </c>
    </row>
    <row r="2802" spans="1:6" x14ac:dyDescent="0.2">
      <c r="A2802">
        <v>837</v>
      </c>
      <c r="B2802" s="3" t="s">
        <v>215</v>
      </c>
      <c r="C2802" s="3" t="s">
        <v>208</v>
      </c>
      <c r="D2802" s="3">
        <v>1</v>
      </c>
      <c r="E2802" s="3">
        <v>1.42898112</v>
      </c>
      <c r="F2802">
        <f t="shared" si="44"/>
        <v>1.42898112</v>
      </c>
    </row>
    <row r="2803" spans="1:6" x14ac:dyDescent="0.2">
      <c r="A2803">
        <v>837</v>
      </c>
      <c r="B2803" s="3" t="s">
        <v>200</v>
      </c>
      <c r="C2803" s="3" t="s">
        <v>199</v>
      </c>
      <c r="D2803" s="3">
        <v>3</v>
      </c>
      <c r="E2803" s="3">
        <v>0.66373439999999995</v>
      </c>
      <c r="F2803">
        <f t="shared" si="44"/>
        <v>1.9912031999999997</v>
      </c>
    </row>
    <row r="2804" spans="1:6" x14ac:dyDescent="0.2">
      <c r="A2804">
        <v>837</v>
      </c>
      <c r="B2804" s="3" t="s">
        <v>216</v>
      </c>
      <c r="C2804" s="3" t="s">
        <v>199</v>
      </c>
      <c r="D2804" s="3">
        <v>1</v>
      </c>
      <c r="E2804" s="3">
        <v>0.66400000000000003</v>
      </c>
      <c r="F2804">
        <f t="shared" si="44"/>
        <v>0.66400000000000003</v>
      </c>
    </row>
    <row r="2805" spans="1:6" x14ac:dyDescent="0.2">
      <c r="A2805">
        <v>837</v>
      </c>
      <c r="B2805" s="3" t="s">
        <v>217</v>
      </c>
      <c r="C2805" s="3" t="s">
        <v>199</v>
      </c>
      <c r="D2805" s="3">
        <v>1</v>
      </c>
      <c r="E2805" s="3">
        <v>4.2164000000000001</v>
      </c>
      <c r="F2805">
        <f t="shared" si="44"/>
        <v>4.2164000000000001</v>
      </c>
    </row>
    <row r="2806" spans="1:6" x14ac:dyDescent="0.2">
      <c r="A2806">
        <v>837</v>
      </c>
      <c r="B2806" s="3" t="s">
        <v>218</v>
      </c>
      <c r="C2806" s="3" t="s">
        <v>208</v>
      </c>
      <c r="D2806" s="3">
        <v>3</v>
      </c>
      <c r="E2806" s="3">
        <v>7.3455000000000004</v>
      </c>
      <c r="F2806">
        <f t="shared" si="44"/>
        <v>22.0365</v>
      </c>
    </row>
    <row r="2807" spans="1:6" x14ac:dyDescent="0.2">
      <c r="A2807">
        <v>837</v>
      </c>
      <c r="B2807" s="3" t="s">
        <v>219</v>
      </c>
      <c r="C2807" s="3" t="s">
        <v>199</v>
      </c>
      <c r="D2807" s="3">
        <v>2</v>
      </c>
      <c r="E2807" s="3">
        <v>1.4774</v>
      </c>
      <c r="F2807">
        <f t="shared" si="44"/>
        <v>2.9548000000000001</v>
      </c>
    </row>
    <row r="2808" spans="1:6" x14ac:dyDescent="0.2">
      <c r="A2808">
        <v>837</v>
      </c>
      <c r="B2808" s="3" t="s">
        <v>220</v>
      </c>
      <c r="C2808" s="3" t="s">
        <v>208</v>
      </c>
      <c r="D2808" s="3">
        <v>1</v>
      </c>
      <c r="E2808" s="3">
        <v>3.7267000000000001</v>
      </c>
      <c r="F2808">
        <f t="shared" si="44"/>
        <v>3.7267000000000001</v>
      </c>
    </row>
    <row r="2809" spans="1:6" x14ac:dyDescent="0.2">
      <c r="A2809">
        <v>837</v>
      </c>
      <c r="B2809" s="3" t="s">
        <v>221</v>
      </c>
      <c r="C2809" s="3" t="s">
        <v>199</v>
      </c>
      <c r="D2809" s="3">
        <v>5</v>
      </c>
      <c r="E2809" s="3">
        <v>0.97940000000000005</v>
      </c>
      <c r="F2809">
        <f t="shared" si="44"/>
        <v>4.8970000000000002</v>
      </c>
    </row>
    <row r="2810" spans="1:6" x14ac:dyDescent="0.2">
      <c r="A2810">
        <v>837</v>
      </c>
      <c r="B2810" s="3" t="s">
        <v>222</v>
      </c>
      <c r="C2810" s="3" t="s">
        <v>208</v>
      </c>
      <c r="D2810" s="3">
        <v>1</v>
      </c>
      <c r="E2810" s="3">
        <v>6.0673000000000004</v>
      </c>
      <c r="F2810">
        <f t="shared" si="44"/>
        <v>6.0673000000000004</v>
      </c>
    </row>
    <row r="2811" spans="1:6" x14ac:dyDescent="0.2">
      <c r="A2811">
        <v>837</v>
      </c>
      <c r="B2811" s="3" t="s">
        <v>223</v>
      </c>
      <c r="C2811" s="3" t="s">
        <v>224</v>
      </c>
      <c r="D2811" s="3">
        <v>1</v>
      </c>
      <c r="E2811" s="3">
        <v>19.4635</v>
      </c>
      <c r="F2811">
        <f t="shared" si="44"/>
        <v>19.4635</v>
      </c>
    </row>
    <row r="2812" spans="1:6" x14ac:dyDescent="0.2">
      <c r="A2812">
        <v>837</v>
      </c>
      <c r="B2812" s="3" t="s">
        <v>225</v>
      </c>
      <c r="C2812" s="3" t="s">
        <v>226</v>
      </c>
      <c r="D2812" s="3">
        <v>1</v>
      </c>
      <c r="E2812" s="3">
        <v>10.22150976</v>
      </c>
      <c r="F2812">
        <f t="shared" si="44"/>
        <v>10.22150976</v>
      </c>
    </row>
    <row r="2813" spans="1:6" x14ac:dyDescent="0.2">
      <c r="A2813">
        <v>837</v>
      </c>
      <c r="B2813" s="3" t="s">
        <v>227</v>
      </c>
      <c r="C2813" s="3" t="s">
        <v>208</v>
      </c>
      <c r="D2813" s="3">
        <v>5</v>
      </c>
      <c r="E2813" s="3">
        <v>3.6307692309999999</v>
      </c>
      <c r="F2813">
        <f t="shared" si="44"/>
        <v>18.153846155</v>
      </c>
    </row>
    <row r="2814" spans="1:6" x14ac:dyDescent="0.2">
      <c r="A2814">
        <v>837</v>
      </c>
      <c r="B2814" s="3" t="s">
        <v>228</v>
      </c>
      <c r="C2814" s="3" t="s">
        <v>229</v>
      </c>
      <c r="D2814" s="3">
        <v>5</v>
      </c>
      <c r="E2814" s="3">
        <v>306.94982979999997</v>
      </c>
      <c r="F2814">
        <f t="shared" si="44"/>
        <v>1534.7491489999998</v>
      </c>
    </row>
    <row r="2815" spans="1:6" x14ac:dyDescent="0.2">
      <c r="A2815">
        <v>837</v>
      </c>
      <c r="B2815" s="3" t="s">
        <v>116</v>
      </c>
      <c r="C2815" s="3" t="s">
        <v>117</v>
      </c>
      <c r="D2815" s="3">
        <v>1</v>
      </c>
      <c r="E2815" s="3">
        <v>0.25729999999999997</v>
      </c>
      <c r="F2815">
        <f t="shared" si="44"/>
        <v>0.25729999999999997</v>
      </c>
    </row>
    <row r="2816" spans="1:6" x14ac:dyDescent="0.2">
      <c r="A2816">
        <v>837</v>
      </c>
      <c r="B2816" s="3" t="s">
        <v>78</v>
      </c>
      <c r="C2816" s="3" t="s">
        <v>76</v>
      </c>
      <c r="D2816" s="3">
        <v>1</v>
      </c>
      <c r="E2816" s="3">
        <v>0.71839487999999996</v>
      </c>
      <c r="F2816">
        <f t="shared" si="44"/>
        <v>0.71839487999999996</v>
      </c>
    </row>
    <row r="2817" spans="1:6" x14ac:dyDescent="0.2">
      <c r="A2817">
        <v>837</v>
      </c>
      <c r="B2817" s="3" t="s">
        <v>231</v>
      </c>
      <c r="C2817" s="3" t="s">
        <v>208</v>
      </c>
      <c r="D2817" s="3">
        <v>4</v>
      </c>
      <c r="E2817" s="3">
        <v>2.0832999999999999</v>
      </c>
      <c r="F2817">
        <f t="shared" si="44"/>
        <v>8.3331999999999997</v>
      </c>
    </row>
    <row r="2818" spans="1:6" x14ac:dyDescent="0.2">
      <c r="A2818">
        <v>837</v>
      </c>
      <c r="B2818" s="3" t="s">
        <v>232</v>
      </c>
      <c r="C2818" s="3" t="s">
        <v>119</v>
      </c>
      <c r="D2818" s="3">
        <v>3</v>
      </c>
      <c r="E2818" s="3">
        <v>1.5935999999999999</v>
      </c>
      <c r="F2818">
        <f t="shared" si="44"/>
        <v>4.7807999999999993</v>
      </c>
    </row>
    <row r="2819" spans="1:6" x14ac:dyDescent="0.2">
      <c r="A2819">
        <v>837</v>
      </c>
      <c r="B2819" s="3" t="s">
        <v>233</v>
      </c>
      <c r="C2819" s="3" t="s">
        <v>234</v>
      </c>
      <c r="D2819" s="3">
        <v>1</v>
      </c>
      <c r="E2819" s="3">
        <v>3989.2954</v>
      </c>
      <c r="F2819">
        <f t="shared" si="44"/>
        <v>3989.2954</v>
      </c>
    </row>
    <row r="2820" spans="1:6" x14ac:dyDescent="0.2">
      <c r="A2820">
        <v>837</v>
      </c>
      <c r="B2820" s="3" t="s">
        <v>142</v>
      </c>
      <c r="C2820" s="3" t="s">
        <v>143</v>
      </c>
      <c r="D2820" s="3">
        <v>3</v>
      </c>
      <c r="E2820" s="3">
        <v>18141.642</v>
      </c>
      <c r="F2820">
        <f t="shared" si="44"/>
        <v>54424.925999999999</v>
      </c>
    </row>
    <row r="2821" spans="1:6" x14ac:dyDescent="0.2">
      <c r="A2821">
        <v>837</v>
      </c>
      <c r="B2821" s="3" t="s">
        <v>144</v>
      </c>
      <c r="C2821" s="3" t="s">
        <v>145</v>
      </c>
      <c r="D2821" s="3">
        <v>2</v>
      </c>
      <c r="E2821" s="3">
        <v>7346.676923</v>
      </c>
      <c r="F2821">
        <f t="shared" si="44"/>
        <v>14693.353846</v>
      </c>
    </row>
    <row r="2822" spans="1:6" x14ac:dyDescent="0.2">
      <c r="A2822">
        <v>837</v>
      </c>
      <c r="B2822" s="3" t="s">
        <v>197</v>
      </c>
      <c r="C2822" s="3" t="s">
        <v>117</v>
      </c>
      <c r="D2822" s="3">
        <v>4</v>
      </c>
      <c r="E2822" s="3">
        <v>7.4700000000000003E-2</v>
      </c>
      <c r="F2822">
        <f t="shared" si="44"/>
        <v>0.29880000000000001</v>
      </c>
    </row>
    <row r="2823" spans="1:6" x14ac:dyDescent="0.2">
      <c r="A2823">
        <v>837</v>
      </c>
      <c r="B2823" s="3" t="s">
        <v>198</v>
      </c>
      <c r="C2823" s="3" t="s">
        <v>199</v>
      </c>
      <c r="D2823" s="3">
        <v>1</v>
      </c>
      <c r="E2823" s="3">
        <v>0.66373439999999995</v>
      </c>
      <c r="F2823">
        <f t="shared" si="44"/>
        <v>0.66373439999999995</v>
      </c>
    </row>
    <row r="2824" spans="1:6" x14ac:dyDescent="0.2">
      <c r="A2824">
        <v>837</v>
      </c>
      <c r="B2824" s="3" t="s">
        <v>200</v>
      </c>
      <c r="C2824" s="3" t="s">
        <v>199</v>
      </c>
      <c r="D2824" s="3">
        <v>118</v>
      </c>
      <c r="E2824" s="3">
        <v>0.66373439999999995</v>
      </c>
      <c r="F2824">
        <f t="shared" si="44"/>
        <v>78.320659199999994</v>
      </c>
    </row>
    <row r="2825" spans="1:6" x14ac:dyDescent="0.2">
      <c r="A2825">
        <v>837</v>
      </c>
      <c r="B2825" s="3" t="s">
        <v>201</v>
      </c>
      <c r="C2825" s="3" t="s">
        <v>76</v>
      </c>
      <c r="D2825" s="3">
        <v>1</v>
      </c>
      <c r="E2825" s="3">
        <v>0.22645056</v>
      </c>
      <c r="F2825">
        <f t="shared" si="44"/>
        <v>0.22645056</v>
      </c>
    </row>
    <row r="2826" spans="1:6" x14ac:dyDescent="0.2">
      <c r="A2826">
        <v>837</v>
      </c>
      <c r="B2826" s="3" t="s">
        <v>202</v>
      </c>
      <c r="C2826" s="3" t="s">
        <v>203</v>
      </c>
      <c r="D2826" s="3">
        <v>1</v>
      </c>
      <c r="E2826" s="3">
        <v>12.45</v>
      </c>
      <c r="F2826">
        <f t="shared" si="44"/>
        <v>12.45</v>
      </c>
    </row>
    <row r="2827" spans="1:6" x14ac:dyDescent="0.2">
      <c r="A2827">
        <v>837</v>
      </c>
      <c r="B2827" s="3" t="s">
        <v>204</v>
      </c>
      <c r="C2827" s="3" t="s">
        <v>205</v>
      </c>
      <c r="D2827" s="3">
        <v>3</v>
      </c>
      <c r="E2827" s="3">
        <v>103.7221651</v>
      </c>
      <c r="F2827">
        <f t="shared" si="44"/>
        <v>311.16649530000001</v>
      </c>
    </row>
    <row r="2828" spans="1:6" x14ac:dyDescent="0.2">
      <c r="A2828">
        <v>837</v>
      </c>
      <c r="B2828" s="3" t="s">
        <v>116</v>
      </c>
      <c r="C2828" s="3" t="s">
        <v>117</v>
      </c>
      <c r="D2828" s="3">
        <v>1</v>
      </c>
      <c r="E2828" s="3">
        <v>0.25729999999999997</v>
      </c>
      <c r="F2828">
        <f t="shared" si="44"/>
        <v>0.25729999999999997</v>
      </c>
    </row>
    <row r="2829" spans="1:6" x14ac:dyDescent="0.2">
      <c r="A2829">
        <v>837</v>
      </c>
      <c r="B2829" s="3" t="s">
        <v>78</v>
      </c>
      <c r="C2829" s="3" t="s">
        <v>76</v>
      </c>
      <c r="D2829" s="3">
        <v>2</v>
      </c>
      <c r="E2829" s="3">
        <v>0.71839487999999996</v>
      </c>
      <c r="F2829">
        <f t="shared" si="44"/>
        <v>1.4367897599999999</v>
      </c>
    </row>
    <row r="2830" spans="1:6" x14ac:dyDescent="0.2">
      <c r="A2830">
        <v>837</v>
      </c>
      <c r="B2830" s="3" t="s">
        <v>207</v>
      </c>
      <c r="C2830" s="3" t="s">
        <v>208</v>
      </c>
      <c r="D2830" s="3">
        <v>3</v>
      </c>
      <c r="E2830" s="3">
        <v>4.6314000000000002</v>
      </c>
      <c r="F2830">
        <f t="shared" si="44"/>
        <v>13.894200000000001</v>
      </c>
    </row>
    <row r="2831" spans="1:6" x14ac:dyDescent="0.2">
      <c r="A2831">
        <v>837</v>
      </c>
      <c r="B2831" s="3" t="s">
        <v>209</v>
      </c>
      <c r="C2831" s="3" t="s">
        <v>210</v>
      </c>
      <c r="D2831" s="3">
        <v>6</v>
      </c>
      <c r="E2831" s="3">
        <v>39.550761600000001</v>
      </c>
      <c r="F2831">
        <f t="shared" si="44"/>
        <v>237.30456960000001</v>
      </c>
    </row>
    <row r="2832" spans="1:6" x14ac:dyDescent="0.2">
      <c r="A2832">
        <v>837</v>
      </c>
      <c r="B2832" s="3" t="s">
        <v>211</v>
      </c>
      <c r="C2832" s="3" t="s">
        <v>203</v>
      </c>
      <c r="D2832" s="3">
        <v>6</v>
      </c>
      <c r="E2832" s="3">
        <v>25.754899999999999</v>
      </c>
      <c r="F2832">
        <f t="shared" si="44"/>
        <v>154.52940000000001</v>
      </c>
    </row>
    <row r="2833" spans="1:6" x14ac:dyDescent="0.2">
      <c r="A2833">
        <v>837</v>
      </c>
      <c r="B2833" s="3" t="s">
        <v>212</v>
      </c>
      <c r="C2833" s="3" t="s">
        <v>213</v>
      </c>
      <c r="D2833" s="3">
        <v>1</v>
      </c>
      <c r="E2833" s="3">
        <v>272.92059999999998</v>
      </c>
      <c r="F2833">
        <f t="shared" si="44"/>
        <v>272.92059999999998</v>
      </c>
    </row>
    <row r="2834" spans="1:6" x14ac:dyDescent="0.2">
      <c r="A2834">
        <v>837</v>
      </c>
      <c r="B2834" s="3" t="s">
        <v>149</v>
      </c>
      <c r="C2834" s="3" t="s">
        <v>150</v>
      </c>
      <c r="D2834" s="3">
        <v>3</v>
      </c>
      <c r="E2834" s="3">
        <v>0.70550000000000002</v>
      </c>
      <c r="F2834">
        <f t="shared" si="44"/>
        <v>2.1165000000000003</v>
      </c>
    </row>
    <row r="2835" spans="1:6" x14ac:dyDescent="0.2">
      <c r="A2835">
        <v>837</v>
      </c>
      <c r="B2835" s="3" t="s">
        <v>151</v>
      </c>
      <c r="C2835" s="3" t="s">
        <v>152</v>
      </c>
      <c r="D2835" s="3">
        <v>1</v>
      </c>
      <c r="E2835" s="3">
        <v>5.6191000000000004</v>
      </c>
      <c r="F2835">
        <f t="shared" si="44"/>
        <v>5.6191000000000004</v>
      </c>
    </row>
    <row r="2836" spans="1:6" x14ac:dyDescent="0.2">
      <c r="A2836">
        <v>837</v>
      </c>
      <c r="B2836" s="3" t="s">
        <v>153</v>
      </c>
      <c r="C2836" s="3" t="s">
        <v>119</v>
      </c>
      <c r="D2836" s="3">
        <v>1</v>
      </c>
      <c r="E2836" s="3">
        <v>1.11663552</v>
      </c>
      <c r="F2836">
        <f t="shared" si="44"/>
        <v>1.11663552</v>
      </c>
    </row>
    <row r="2837" spans="1:6" x14ac:dyDescent="0.2">
      <c r="A2837">
        <v>837</v>
      </c>
      <c r="B2837" s="3" t="s">
        <v>154</v>
      </c>
      <c r="C2837" s="3" t="s">
        <v>117</v>
      </c>
      <c r="D2837" s="3">
        <v>3</v>
      </c>
      <c r="E2837" s="3">
        <v>4.3658000000000001</v>
      </c>
      <c r="F2837">
        <f t="shared" si="44"/>
        <v>13.0974</v>
      </c>
    </row>
    <row r="2838" spans="1:6" x14ac:dyDescent="0.2">
      <c r="A2838">
        <v>837</v>
      </c>
      <c r="B2838" s="3" t="s">
        <v>155</v>
      </c>
      <c r="C2838" s="3" t="s">
        <v>156</v>
      </c>
      <c r="D2838" s="3">
        <v>2</v>
      </c>
      <c r="E2838" s="3">
        <v>28.552</v>
      </c>
      <c r="F2838">
        <f t="shared" si="44"/>
        <v>57.103999999999999</v>
      </c>
    </row>
    <row r="2839" spans="1:6" x14ac:dyDescent="0.2">
      <c r="A2839">
        <v>837</v>
      </c>
      <c r="B2839" s="3" t="s">
        <v>157</v>
      </c>
      <c r="C2839" s="3" t="s">
        <v>158</v>
      </c>
      <c r="D2839" s="3">
        <v>1</v>
      </c>
      <c r="E2839" s="3">
        <v>29.456700000000001</v>
      </c>
      <c r="F2839">
        <f t="shared" si="44"/>
        <v>29.456700000000001</v>
      </c>
    </row>
    <row r="2840" spans="1:6" x14ac:dyDescent="0.2">
      <c r="A2840">
        <v>837</v>
      </c>
      <c r="B2840" s="3" t="s">
        <v>159</v>
      </c>
      <c r="C2840" s="3" t="s">
        <v>117</v>
      </c>
      <c r="D2840" s="3">
        <v>5</v>
      </c>
      <c r="E2840" s="3">
        <v>11.976900000000001</v>
      </c>
      <c r="F2840">
        <f t="shared" si="44"/>
        <v>59.884500000000003</v>
      </c>
    </row>
    <row r="2841" spans="1:6" x14ac:dyDescent="0.2">
      <c r="A2841">
        <v>837</v>
      </c>
      <c r="B2841" s="3" t="s">
        <v>116</v>
      </c>
      <c r="C2841" s="3" t="s">
        <v>117</v>
      </c>
      <c r="D2841" s="3">
        <v>1</v>
      </c>
      <c r="E2841" s="3">
        <v>0.25729999999999997</v>
      </c>
      <c r="F2841">
        <f t="shared" si="44"/>
        <v>0.25729999999999997</v>
      </c>
    </row>
    <row r="2842" spans="1:6" x14ac:dyDescent="0.2">
      <c r="A2842">
        <v>837</v>
      </c>
      <c r="B2842" s="3" t="s">
        <v>160</v>
      </c>
      <c r="C2842" s="3" t="s">
        <v>161</v>
      </c>
      <c r="D2842" s="3">
        <v>3</v>
      </c>
      <c r="E2842" s="3">
        <v>15.9194</v>
      </c>
      <c r="F2842">
        <f t="shared" si="44"/>
        <v>47.758200000000002</v>
      </c>
    </row>
    <row r="2843" spans="1:6" x14ac:dyDescent="0.2">
      <c r="A2843">
        <v>837</v>
      </c>
      <c r="B2843" s="3" t="s">
        <v>162</v>
      </c>
      <c r="C2843" s="3" t="s">
        <v>163</v>
      </c>
      <c r="D2843" s="3">
        <v>6</v>
      </c>
      <c r="E2843" s="3">
        <v>62.822699999999998</v>
      </c>
      <c r="F2843">
        <f t="shared" si="44"/>
        <v>376.93619999999999</v>
      </c>
    </row>
    <row r="2844" spans="1:6" x14ac:dyDescent="0.2">
      <c r="A2844">
        <v>837</v>
      </c>
      <c r="B2844" s="3" t="s">
        <v>164</v>
      </c>
      <c r="C2844" s="3" t="s">
        <v>165</v>
      </c>
      <c r="D2844" s="3">
        <v>6</v>
      </c>
      <c r="E2844" s="3">
        <v>29.382000000000001</v>
      </c>
      <c r="F2844">
        <f t="shared" si="44"/>
        <v>176.292</v>
      </c>
    </row>
    <row r="2845" spans="1:6" x14ac:dyDescent="0.2">
      <c r="A2845">
        <v>837</v>
      </c>
      <c r="B2845" s="3" t="s">
        <v>166</v>
      </c>
      <c r="C2845" s="3" t="s">
        <v>76</v>
      </c>
      <c r="D2845" s="3">
        <v>1</v>
      </c>
      <c r="E2845" s="3">
        <v>0.97109999999999996</v>
      </c>
      <c r="F2845">
        <f t="shared" si="44"/>
        <v>0.97109999999999996</v>
      </c>
    </row>
    <row r="2846" spans="1:6" x14ac:dyDescent="0.2">
      <c r="A2846">
        <v>837</v>
      </c>
      <c r="B2846" s="3" t="s">
        <v>167</v>
      </c>
      <c r="C2846" s="3" t="s">
        <v>168</v>
      </c>
      <c r="D2846" s="3">
        <v>3</v>
      </c>
      <c r="E2846" s="3">
        <v>68.201099999999997</v>
      </c>
      <c r="F2846">
        <f t="shared" si="44"/>
        <v>204.60329999999999</v>
      </c>
    </row>
    <row r="2847" spans="1:6" x14ac:dyDescent="0.2">
      <c r="A2847">
        <v>837</v>
      </c>
      <c r="B2847" s="3" t="s">
        <v>169</v>
      </c>
      <c r="C2847" s="3" t="s">
        <v>119</v>
      </c>
      <c r="D2847" s="3">
        <v>1</v>
      </c>
      <c r="E2847" s="3">
        <v>26.078600000000002</v>
      </c>
      <c r="F2847">
        <f t="shared" si="44"/>
        <v>26.078600000000002</v>
      </c>
    </row>
    <row r="2848" spans="1:6" x14ac:dyDescent="0.2">
      <c r="A2848">
        <v>837</v>
      </c>
      <c r="B2848" s="3" t="s">
        <v>170</v>
      </c>
      <c r="C2848" s="3" t="s">
        <v>171</v>
      </c>
      <c r="D2848" s="3">
        <v>1</v>
      </c>
      <c r="E2848" s="3">
        <v>15.438000000000001</v>
      </c>
      <c r="F2848">
        <f t="shared" si="44"/>
        <v>15.438000000000001</v>
      </c>
    </row>
    <row r="2849" spans="1:6" x14ac:dyDescent="0.2">
      <c r="A2849">
        <v>837</v>
      </c>
      <c r="B2849" s="3" t="s">
        <v>172</v>
      </c>
      <c r="C2849" s="3" t="s">
        <v>173</v>
      </c>
      <c r="D2849" s="3">
        <v>3</v>
      </c>
      <c r="E2849" s="3">
        <v>158.41380000000001</v>
      </c>
      <c r="F2849">
        <f t="shared" si="44"/>
        <v>475.2414</v>
      </c>
    </row>
    <row r="2850" spans="1:6" x14ac:dyDescent="0.2">
      <c r="A2850">
        <v>837</v>
      </c>
      <c r="B2850" s="3" t="s">
        <v>174</v>
      </c>
      <c r="C2850" s="3" t="s">
        <v>119</v>
      </c>
      <c r="D2850" s="3">
        <v>2</v>
      </c>
      <c r="E2850" s="3">
        <v>1.2616000000000001</v>
      </c>
      <c r="F2850">
        <f t="shared" si="44"/>
        <v>2.5232000000000001</v>
      </c>
    </row>
    <row r="2851" spans="1:6" x14ac:dyDescent="0.2">
      <c r="A2851">
        <v>837</v>
      </c>
      <c r="B2851" s="3" t="s">
        <v>175</v>
      </c>
      <c r="C2851" s="3" t="s">
        <v>176</v>
      </c>
      <c r="D2851" s="3">
        <v>1</v>
      </c>
      <c r="E2851" s="3">
        <v>194.7595</v>
      </c>
      <c r="F2851">
        <f t="shared" si="44"/>
        <v>194.7595</v>
      </c>
    </row>
    <row r="2852" spans="1:6" x14ac:dyDescent="0.2">
      <c r="A2852">
        <v>837</v>
      </c>
      <c r="B2852" s="3" t="s">
        <v>177</v>
      </c>
      <c r="C2852" s="3" t="s">
        <v>178</v>
      </c>
      <c r="D2852" s="3">
        <v>5</v>
      </c>
      <c r="E2852" s="3">
        <v>1660.6244260000001</v>
      </c>
      <c r="F2852">
        <f t="shared" si="44"/>
        <v>8303.1221299999997</v>
      </c>
    </row>
    <row r="2853" spans="1:6" x14ac:dyDescent="0.2">
      <c r="A2853">
        <v>837</v>
      </c>
      <c r="B2853" s="3" t="s">
        <v>179</v>
      </c>
      <c r="C2853" s="3" t="s">
        <v>119</v>
      </c>
      <c r="D2853" s="3">
        <v>1</v>
      </c>
      <c r="E2853" s="3">
        <v>32.444699999999997</v>
      </c>
      <c r="F2853">
        <f t="shared" ref="F2853:F2916" si="45">D2853*E2853</f>
        <v>32.444699999999997</v>
      </c>
    </row>
    <row r="2854" spans="1:6" x14ac:dyDescent="0.2">
      <c r="A2854">
        <v>837</v>
      </c>
      <c r="B2854" s="3" t="s">
        <v>180</v>
      </c>
      <c r="C2854" s="3" t="s">
        <v>181</v>
      </c>
      <c r="D2854" s="3">
        <v>1</v>
      </c>
      <c r="E2854" s="3">
        <v>64.117500000000007</v>
      </c>
      <c r="F2854">
        <f t="shared" si="45"/>
        <v>64.117500000000007</v>
      </c>
    </row>
    <row r="2855" spans="1:6" x14ac:dyDescent="0.2">
      <c r="A2855">
        <v>837</v>
      </c>
      <c r="B2855" s="3" t="s">
        <v>182</v>
      </c>
      <c r="C2855" s="3" t="s">
        <v>158</v>
      </c>
      <c r="D2855" s="3">
        <v>1</v>
      </c>
      <c r="E2855" s="3">
        <v>80.788189439999996</v>
      </c>
      <c r="F2855">
        <f t="shared" si="45"/>
        <v>80.788189439999996</v>
      </c>
    </row>
    <row r="2856" spans="1:6" x14ac:dyDescent="0.2">
      <c r="A2856">
        <v>837</v>
      </c>
      <c r="B2856" s="3" t="s">
        <v>183</v>
      </c>
      <c r="C2856" s="3" t="s">
        <v>184</v>
      </c>
      <c r="D2856" s="3">
        <v>5</v>
      </c>
      <c r="E2856" s="3">
        <v>548.61538459999997</v>
      </c>
      <c r="F2856">
        <f t="shared" si="45"/>
        <v>2743.0769229999996</v>
      </c>
    </row>
    <row r="2857" spans="1:6" x14ac:dyDescent="0.2">
      <c r="A2857">
        <v>837</v>
      </c>
      <c r="B2857" s="3" t="s">
        <v>185</v>
      </c>
      <c r="C2857" s="3" t="s">
        <v>186</v>
      </c>
      <c r="D2857" s="3">
        <v>5</v>
      </c>
      <c r="E2857" s="3">
        <v>278.05</v>
      </c>
      <c r="F2857">
        <f t="shared" si="45"/>
        <v>1390.25</v>
      </c>
    </row>
    <row r="2858" spans="1:6" x14ac:dyDescent="0.2">
      <c r="A2858">
        <v>837</v>
      </c>
      <c r="B2858" s="3" t="s">
        <v>187</v>
      </c>
      <c r="C2858" s="3" t="s">
        <v>188</v>
      </c>
      <c r="D2858" s="3">
        <v>1</v>
      </c>
      <c r="E2858" s="3">
        <v>105.0365</v>
      </c>
      <c r="F2858">
        <f t="shared" si="45"/>
        <v>105.0365</v>
      </c>
    </row>
    <row r="2859" spans="1:6" x14ac:dyDescent="0.2">
      <c r="A2859">
        <v>837</v>
      </c>
      <c r="B2859" s="3" t="s">
        <v>189</v>
      </c>
      <c r="C2859" s="3" t="s">
        <v>163</v>
      </c>
      <c r="D2859" s="3">
        <v>1</v>
      </c>
      <c r="E2859" s="3">
        <v>154.25968320000001</v>
      </c>
      <c r="F2859">
        <f t="shared" si="45"/>
        <v>154.25968320000001</v>
      </c>
    </row>
    <row r="2860" spans="1:6" x14ac:dyDescent="0.2">
      <c r="A2860">
        <v>837</v>
      </c>
      <c r="B2860" s="3" t="s">
        <v>190</v>
      </c>
      <c r="C2860" s="3" t="s">
        <v>191</v>
      </c>
      <c r="D2860" s="3">
        <v>4</v>
      </c>
      <c r="E2860" s="3">
        <v>1397.886</v>
      </c>
      <c r="F2860">
        <f t="shared" si="45"/>
        <v>5591.5439999999999</v>
      </c>
    </row>
    <row r="2861" spans="1:6" x14ac:dyDescent="0.2">
      <c r="A2861">
        <v>837</v>
      </c>
      <c r="B2861" s="3" t="s">
        <v>192</v>
      </c>
      <c r="C2861" s="3" t="s">
        <v>193</v>
      </c>
      <c r="D2861" s="3">
        <v>3</v>
      </c>
      <c r="E2861" s="3">
        <v>843.03639169999997</v>
      </c>
      <c r="F2861">
        <f t="shared" si="45"/>
        <v>2529.1091750999999</v>
      </c>
    </row>
    <row r="2862" spans="1:6" x14ac:dyDescent="0.2">
      <c r="A2862">
        <v>837</v>
      </c>
      <c r="B2862" s="3" t="s">
        <v>194</v>
      </c>
      <c r="C2862" s="3" t="s">
        <v>193</v>
      </c>
      <c r="D2862" s="3">
        <v>1</v>
      </c>
      <c r="E2862" s="3">
        <v>868.20489999999995</v>
      </c>
      <c r="F2862">
        <f t="shared" si="45"/>
        <v>868.20489999999995</v>
      </c>
    </row>
    <row r="2863" spans="1:6" x14ac:dyDescent="0.2">
      <c r="A2863">
        <v>837</v>
      </c>
      <c r="B2863" s="3" t="s">
        <v>195</v>
      </c>
      <c r="C2863" s="3" t="s">
        <v>117</v>
      </c>
      <c r="D2863" s="3">
        <v>3</v>
      </c>
      <c r="E2863" s="3">
        <v>1.0375000000000001</v>
      </c>
      <c r="F2863">
        <f t="shared" si="45"/>
        <v>3.1125000000000003</v>
      </c>
    </row>
    <row r="2864" spans="1:6" x14ac:dyDescent="0.2">
      <c r="A2864">
        <v>837</v>
      </c>
      <c r="B2864" s="3" t="s">
        <v>135</v>
      </c>
      <c r="C2864" s="3" t="s">
        <v>136</v>
      </c>
      <c r="D2864" s="3">
        <v>2</v>
      </c>
      <c r="E2864" s="3">
        <v>395.04690620000002</v>
      </c>
      <c r="F2864">
        <f t="shared" si="45"/>
        <v>790.09381240000005</v>
      </c>
    </row>
    <row r="2865" spans="1:6" x14ac:dyDescent="0.2">
      <c r="A2865">
        <v>837</v>
      </c>
      <c r="B2865" s="3" t="s">
        <v>137</v>
      </c>
      <c r="C2865" s="3" t="s">
        <v>138</v>
      </c>
      <c r="D2865" s="3">
        <v>4</v>
      </c>
      <c r="E2865" s="3">
        <v>252.98431869999999</v>
      </c>
      <c r="F2865">
        <f t="shared" si="45"/>
        <v>1011.9372748</v>
      </c>
    </row>
    <row r="2866" spans="1:6" x14ac:dyDescent="0.2">
      <c r="A2866">
        <v>837</v>
      </c>
      <c r="B2866" s="3" t="s">
        <v>139</v>
      </c>
      <c r="C2866" s="3" t="s">
        <v>140</v>
      </c>
      <c r="D2866" s="3">
        <v>1</v>
      </c>
      <c r="E2866" s="3">
        <v>2054.4575</v>
      </c>
      <c r="F2866">
        <f t="shared" si="45"/>
        <v>2054.4575</v>
      </c>
    </row>
    <row r="2867" spans="1:6" x14ac:dyDescent="0.2">
      <c r="A2867">
        <v>837</v>
      </c>
      <c r="B2867" s="3" t="s">
        <v>116</v>
      </c>
      <c r="C2867" s="3" t="s">
        <v>117</v>
      </c>
      <c r="D2867" s="3">
        <v>118</v>
      </c>
      <c r="E2867" s="3">
        <v>0.25729999999999997</v>
      </c>
      <c r="F2867">
        <f t="shared" si="45"/>
        <v>30.361399999999996</v>
      </c>
    </row>
    <row r="2868" spans="1:6" x14ac:dyDescent="0.2">
      <c r="A2868">
        <v>837</v>
      </c>
      <c r="B2868" s="3" t="s">
        <v>118</v>
      </c>
      <c r="C2868" s="3" t="s">
        <v>119</v>
      </c>
      <c r="D2868" s="3">
        <v>1</v>
      </c>
      <c r="E2868" s="3">
        <v>0.83</v>
      </c>
      <c r="F2868">
        <f t="shared" si="45"/>
        <v>0.83</v>
      </c>
    </row>
    <row r="2869" spans="1:6" x14ac:dyDescent="0.2">
      <c r="A2869">
        <v>837</v>
      </c>
      <c r="B2869" s="3" t="s">
        <v>120</v>
      </c>
      <c r="C2869" s="3" t="s">
        <v>117</v>
      </c>
      <c r="D2869" s="3">
        <v>1</v>
      </c>
      <c r="E2869" s="3">
        <v>1.5604</v>
      </c>
      <c r="F2869">
        <f t="shared" si="45"/>
        <v>1.5604</v>
      </c>
    </row>
    <row r="2870" spans="1:6" x14ac:dyDescent="0.2">
      <c r="A2870">
        <v>837</v>
      </c>
      <c r="B2870" s="3" t="s">
        <v>121</v>
      </c>
      <c r="C2870" s="3" t="s">
        <v>117</v>
      </c>
      <c r="D2870" s="3">
        <v>3</v>
      </c>
      <c r="E2870" s="3">
        <v>270.83730000000003</v>
      </c>
      <c r="F2870">
        <f t="shared" si="45"/>
        <v>812.51190000000008</v>
      </c>
    </row>
    <row r="2871" spans="1:6" x14ac:dyDescent="0.2">
      <c r="A2871">
        <v>837</v>
      </c>
      <c r="B2871" s="3" t="s">
        <v>122</v>
      </c>
      <c r="C2871" s="3" t="s">
        <v>76</v>
      </c>
      <c r="D2871" s="3">
        <v>1</v>
      </c>
      <c r="E2871" s="3">
        <v>14.915100000000001</v>
      </c>
      <c r="F2871">
        <f t="shared" si="45"/>
        <v>14.915100000000001</v>
      </c>
    </row>
    <row r="2872" spans="1:6" x14ac:dyDescent="0.2">
      <c r="A2872">
        <v>837</v>
      </c>
      <c r="B2872" s="3" t="s">
        <v>123</v>
      </c>
      <c r="C2872" s="3" t="s">
        <v>119</v>
      </c>
      <c r="D2872" s="3">
        <v>2</v>
      </c>
      <c r="E2872" s="3">
        <v>122.52460000000001</v>
      </c>
      <c r="F2872">
        <f t="shared" si="45"/>
        <v>245.04920000000001</v>
      </c>
    </row>
    <row r="2873" spans="1:6" x14ac:dyDescent="0.2">
      <c r="A2873">
        <v>837</v>
      </c>
      <c r="B2873" s="3" t="s">
        <v>124</v>
      </c>
      <c r="C2873" s="3" t="s">
        <v>119</v>
      </c>
      <c r="D2873" s="3">
        <v>3</v>
      </c>
      <c r="E2873" s="3">
        <v>65.877099999999999</v>
      </c>
      <c r="F2873">
        <f t="shared" si="45"/>
        <v>197.63130000000001</v>
      </c>
    </row>
    <row r="2874" spans="1:6" x14ac:dyDescent="0.2">
      <c r="A2874">
        <v>837</v>
      </c>
      <c r="B2874" s="3" t="s">
        <v>125</v>
      </c>
      <c r="C2874" s="3" t="s">
        <v>117</v>
      </c>
      <c r="D2874" s="3">
        <v>6</v>
      </c>
      <c r="E2874" s="3">
        <v>45.957099999999997</v>
      </c>
      <c r="F2874">
        <f t="shared" si="45"/>
        <v>275.74259999999998</v>
      </c>
    </row>
    <row r="2875" spans="1:6" x14ac:dyDescent="0.2">
      <c r="A2875">
        <v>837</v>
      </c>
      <c r="B2875" s="3" t="s">
        <v>126</v>
      </c>
      <c r="C2875" s="3" t="s">
        <v>127</v>
      </c>
      <c r="D2875" s="3">
        <v>6</v>
      </c>
      <c r="E2875" s="3">
        <v>411.49740000000003</v>
      </c>
      <c r="F2875">
        <f t="shared" si="45"/>
        <v>2468.9844000000003</v>
      </c>
    </row>
    <row r="2876" spans="1:6" x14ac:dyDescent="0.2">
      <c r="A2876">
        <v>837</v>
      </c>
      <c r="B2876" s="3" t="s">
        <v>129</v>
      </c>
      <c r="C2876" s="3" t="s">
        <v>130</v>
      </c>
      <c r="D2876" s="3">
        <v>1</v>
      </c>
      <c r="E2876" s="3">
        <v>6724.2781999999997</v>
      </c>
      <c r="F2876">
        <f t="shared" si="45"/>
        <v>6724.2781999999997</v>
      </c>
    </row>
    <row r="2877" spans="1:6" x14ac:dyDescent="0.2">
      <c r="A2877">
        <v>837</v>
      </c>
      <c r="B2877" s="3">
        <v>4656354</v>
      </c>
      <c r="C2877" s="3" t="s">
        <v>133</v>
      </c>
      <c r="D2877" s="3">
        <v>3</v>
      </c>
      <c r="E2877" s="3">
        <v>1168.0257999999999</v>
      </c>
      <c r="F2877">
        <f t="shared" si="45"/>
        <v>3504.0773999999997</v>
      </c>
    </row>
    <row r="2878" spans="1:6" x14ac:dyDescent="0.2">
      <c r="A2878">
        <v>837</v>
      </c>
      <c r="B2878" s="3" t="s">
        <v>110</v>
      </c>
      <c r="C2878" s="3" t="s">
        <v>111</v>
      </c>
      <c r="D2878" s="3">
        <v>1</v>
      </c>
      <c r="E2878" s="3">
        <v>119.83540000000001</v>
      </c>
      <c r="F2878">
        <f t="shared" si="45"/>
        <v>119.83540000000001</v>
      </c>
    </row>
    <row r="2879" spans="1:6" x14ac:dyDescent="0.2">
      <c r="A2879">
        <v>837</v>
      </c>
      <c r="B2879" s="3" t="s">
        <v>112</v>
      </c>
      <c r="C2879" s="3" t="s">
        <v>113</v>
      </c>
      <c r="D2879" s="3">
        <v>1</v>
      </c>
      <c r="E2879" s="3">
        <v>97.646153850000005</v>
      </c>
      <c r="F2879">
        <f t="shared" si="45"/>
        <v>97.646153850000005</v>
      </c>
    </row>
    <row r="2880" spans="1:6" x14ac:dyDescent="0.2">
      <c r="A2880">
        <v>837</v>
      </c>
      <c r="B2880" s="3" t="s">
        <v>110</v>
      </c>
      <c r="C2880" s="3" t="s">
        <v>111</v>
      </c>
      <c r="D2880" s="3">
        <v>3</v>
      </c>
      <c r="E2880" s="3">
        <v>119.83540000000001</v>
      </c>
      <c r="F2880">
        <f t="shared" si="45"/>
        <v>359.50620000000004</v>
      </c>
    </row>
    <row r="2881" spans="1:6" x14ac:dyDescent="0.2">
      <c r="A2881">
        <v>837</v>
      </c>
      <c r="B2881" s="3" t="s">
        <v>112</v>
      </c>
      <c r="C2881" s="3" t="s">
        <v>113</v>
      </c>
      <c r="D2881" s="3">
        <v>2</v>
      </c>
      <c r="E2881" s="3">
        <v>97.646153850000005</v>
      </c>
      <c r="F2881">
        <f t="shared" si="45"/>
        <v>195.29230770000001</v>
      </c>
    </row>
    <row r="2882" spans="1:6" x14ac:dyDescent="0.2">
      <c r="A2882">
        <v>837</v>
      </c>
      <c r="B2882" s="3" t="s">
        <v>97</v>
      </c>
      <c r="C2882" s="3" t="s">
        <v>98</v>
      </c>
      <c r="D2882" s="3">
        <v>1</v>
      </c>
      <c r="E2882" s="3">
        <v>189.87909999999999</v>
      </c>
      <c r="F2882">
        <f t="shared" si="45"/>
        <v>189.87909999999999</v>
      </c>
    </row>
    <row r="2883" spans="1:6" x14ac:dyDescent="0.2">
      <c r="A2883">
        <v>837</v>
      </c>
      <c r="B2883" s="3" t="s">
        <v>99</v>
      </c>
      <c r="C2883" s="3" t="s">
        <v>100</v>
      </c>
      <c r="D2883" s="3">
        <v>5</v>
      </c>
      <c r="E2883" s="3">
        <v>1287.1384619999999</v>
      </c>
      <c r="F2883">
        <f t="shared" si="45"/>
        <v>6435.6923099999995</v>
      </c>
    </row>
    <row r="2884" spans="1:6" x14ac:dyDescent="0.2">
      <c r="A2884">
        <v>837</v>
      </c>
      <c r="B2884" s="3" t="s">
        <v>101</v>
      </c>
      <c r="C2884" s="3" t="s">
        <v>102</v>
      </c>
      <c r="D2884" s="3">
        <v>1</v>
      </c>
      <c r="E2884" s="3">
        <v>1363.037155</v>
      </c>
      <c r="F2884">
        <f t="shared" si="45"/>
        <v>1363.037155</v>
      </c>
    </row>
    <row r="2885" spans="1:6" x14ac:dyDescent="0.2">
      <c r="A2885">
        <v>837</v>
      </c>
      <c r="B2885" s="3" t="s">
        <v>103</v>
      </c>
      <c r="C2885" s="3" t="s">
        <v>104</v>
      </c>
      <c r="D2885" s="3">
        <v>1</v>
      </c>
      <c r="E2885" s="3">
        <v>423.5822</v>
      </c>
      <c r="F2885">
        <f t="shared" si="45"/>
        <v>423.5822</v>
      </c>
    </row>
    <row r="2886" spans="1:6" x14ac:dyDescent="0.2">
      <c r="A2886">
        <v>837</v>
      </c>
      <c r="B2886" s="3" t="s">
        <v>105</v>
      </c>
      <c r="C2886" s="3" t="s">
        <v>106</v>
      </c>
      <c r="D2886" s="3">
        <v>1</v>
      </c>
      <c r="E2886" s="3">
        <v>36.470199999999998</v>
      </c>
      <c r="F2886">
        <f t="shared" si="45"/>
        <v>36.470199999999998</v>
      </c>
    </row>
    <row r="2887" spans="1:6" x14ac:dyDescent="0.2">
      <c r="A2887">
        <v>837</v>
      </c>
      <c r="B2887" s="3" t="s">
        <v>107</v>
      </c>
      <c r="C2887" s="3" t="s">
        <v>108</v>
      </c>
      <c r="D2887" s="3">
        <v>5</v>
      </c>
      <c r="E2887" s="3">
        <v>61.492307689999997</v>
      </c>
      <c r="F2887">
        <f t="shared" si="45"/>
        <v>307.46153844999998</v>
      </c>
    </row>
    <row r="2888" spans="1:6" x14ac:dyDescent="0.2">
      <c r="A2888">
        <v>837</v>
      </c>
      <c r="B2888" s="3" t="s">
        <v>62</v>
      </c>
      <c r="C2888" s="3" t="s">
        <v>323</v>
      </c>
      <c r="D2888" s="3">
        <v>5</v>
      </c>
      <c r="E2888" s="3">
        <v>0.34860000000000002</v>
      </c>
      <c r="F2888">
        <f t="shared" si="45"/>
        <v>1.7430000000000001</v>
      </c>
    </row>
    <row r="2889" spans="1:6" x14ac:dyDescent="0.2">
      <c r="A2889">
        <v>837</v>
      </c>
      <c r="B2889" s="3" t="s">
        <v>324</v>
      </c>
      <c r="C2889" s="3" t="s">
        <v>273</v>
      </c>
      <c r="D2889" s="3">
        <v>1</v>
      </c>
      <c r="E2889" s="3">
        <v>0.95450000000000002</v>
      </c>
      <c r="F2889">
        <f t="shared" si="45"/>
        <v>0.95450000000000002</v>
      </c>
    </row>
    <row r="2890" spans="1:6" x14ac:dyDescent="0.2">
      <c r="A2890">
        <v>837</v>
      </c>
      <c r="B2890" s="3" t="s">
        <v>325</v>
      </c>
      <c r="C2890" s="3" t="s">
        <v>273</v>
      </c>
      <c r="D2890" s="3">
        <v>1</v>
      </c>
      <c r="E2890" s="3">
        <v>3.3692307690000001</v>
      </c>
      <c r="F2890">
        <f t="shared" si="45"/>
        <v>3.3692307690000001</v>
      </c>
    </row>
    <row r="2891" spans="1:6" x14ac:dyDescent="0.2">
      <c r="A2891">
        <v>837</v>
      </c>
      <c r="B2891" s="3" t="s">
        <v>154</v>
      </c>
      <c r="C2891" s="3" t="s">
        <v>278</v>
      </c>
      <c r="D2891" s="3">
        <v>4</v>
      </c>
      <c r="E2891" s="3">
        <v>4.3658000000000001</v>
      </c>
      <c r="F2891">
        <f t="shared" si="45"/>
        <v>17.463200000000001</v>
      </c>
    </row>
    <row r="2892" spans="1:6" x14ac:dyDescent="0.2">
      <c r="A2892">
        <v>837</v>
      </c>
      <c r="B2892" s="3" t="s">
        <v>290</v>
      </c>
      <c r="C2892" s="3" t="s">
        <v>278</v>
      </c>
      <c r="D2892" s="3">
        <v>3</v>
      </c>
      <c r="E2892" s="3">
        <v>43.751809919999999</v>
      </c>
      <c r="F2892">
        <f t="shared" si="45"/>
        <v>131.25542976</v>
      </c>
    </row>
    <row r="2893" spans="1:6" x14ac:dyDescent="0.2">
      <c r="A2893">
        <v>837</v>
      </c>
      <c r="B2893" s="3" t="s">
        <v>288</v>
      </c>
      <c r="C2893" s="3" t="s">
        <v>289</v>
      </c>
      <c r="D2893" s="3">
        <v>1</v>
      </c>
      <c r="E2893" s="3">
        <v>7.3401215999999998</v>
      </c>
      <c r="F2893">
        <f t="shared" si="45"/>
        <v>7.3401215999999998</v>
      </c>
    </row>
    <row r="2894" spans="1:6" x14ac:dyDescent="0.2">
      <c r="A2894">
        <v>837</v>
      </c>
      <c r="B2894" s="3" t="s">
        <v>287</v>
      </c>
      <c r="C2894" s="3" t="s">
        <v>273</v>
      </c>
      <c r="D2894" s="3">
        <v>3</v>
      </c>
      <c r="E2894" s="3">
        <v>100.66898689999999</v>
      </c>
      <c r="F2894">
        <f t="shared" si="45"/>
        <v>302.00696069999998</v>
      </c>
    </row>
    <row r="2895" spans="1:6" x14ac:dyDescent="0.2">
      <c r="A2895">
        <v>837</v>
      </c>
      <c r="B2895" s="3" t="s">
        <v>285</v>
      </c>
      <c r="C2895" s="3" t="s">
        <v>286</v>
      </c>
      <c r="D2895" s="3">
        <v>2</v>
      </c>
      <c r="E2895" s="3">
        <v>58.189985280000002</v>
      </c>
      <c r="F2895">
        <f t="shared" si="45"/>
        <v>116.37997056</v>
      </c>
    </row>
    <row r="2896" spans="1:6" x14ac:dyDescent="0.2">
      <c r="A2896">
        <v>837</v>
      </c>
      <c r="B2896" s="3" t="s">
        <v>291</v>
      </c>
      <c r="C2896" s="3" t="s">
        <v>278</v>
      </c>
      <c r="D2896" s="3">
        <v>4</v>
      </c>
      <c r="E2896" s="3">
        <v>24.136399999999998</v>
      </c>
      <c r="F2896">
        <f t="shared" si="45"/>
        <v>96.545599999999993</v>
      </c>
    </row>
    <row r="2897" spans="1:6" x14ac:dyDescent="0.2">
      <c r="A2897">
        <v>837</v>
      </c>
      <c r="B2897" s="3" t="s">
        <v>277</v>
      </c>
      <c r="C2897" s="3" t="s">
        <v>278</v>
      </c>
      <c r="D2897" s="3">
        <v>1</v>
      </c>
      <c r="E2897" s="3">
        <v>41.026594559999999</v>
      </c>
      <c r="F2897">
        <f t="shared" si="45"/>
        <v>41.026594559999999</v>
      </c>
    </row>
    <row r="2898" spans="1:6" x14ac:dyDescent="0.2">
      <c r="A2898">
        <v>837</v>
      </c>
      <c r="B2898" s="3" t="s">
        <v>326</v>
      </c>
      <c r="C2898" s="3" t="s">
        <v>278</v>
      </c>
      <c r="D2898" s="3">
        <v>118</v>
      </c>
      <c r="E2898" s="3">
        <v>3.97459776</v>
      </c>
      <c r="F2898">
        <f t="shared" si="45"/>
        <v>469.00253567999999</v>
      </c>
    </row>
    <row r="2899" spans="1:6" x14ac:dyDescent="0.2">
      <c r="A2899">
        <v>837</v>
      </c>
      <c r="B2899" s="3" t="s">
        <v>274</v>
      </c>
      <c r="C2899" s="3" t="s">
        <v>273</v>
      </c>
      <c r="D2899" s="3">
        <v>1</v>
      </c>
      <c r="E2899" s="3">
        <v>149.230919</v>
      </c>
      <c r="F2899">
        <f t="shared" si="45"/>
        <v>149.230919</v>
      </c>
    </row>
    <row r="2900" spans="1:6" x14ac:dyDescent="0.2">
      <c r="A2900">
        <v>837</v>
      </c>
      <c r="B2900" s="3" t="s">
        <v>327</v>
      </c>
      <c r="C2900" s="3" t="s">
        <v>309</v>
      </c>
      <c r="D2900" s="3">
        <v>1</v>
      </c>
      <c r="E2900" s="3">
        <v>1532.523686</v>
      </c>
      <c r="F2900">
        <f t="shared" si="45"/>
        <v>1532.523686</v>
      </c>
    </row>
    <row r="2901" spans="1:6" x14ac:dyDescent="0.2">
      <c r="A2901">
        <v>837</v>
      </c>
      <c r="B2901" s="3" t="s">
        <v>328</v>
      </c>
      <c r="C2901" s="3" t="s">
        <v>329</v>
      </c>
      <c r="D2901" s="3">
        <v>3</v>
      </c>
      <c r="E2901" s="3">
        <v>155.6230769</v>
      </c>
      <c r="F2901">
        <f t="shared" si="45"/>
        <v>466.8692307</v>
      </c>
    </row>
    <row r="2902" spans="1:6" x14ac:dyDescent="0.2">
      <c r="A2902">
        <v>837</v>
      </c>
      <c r="B2902" s="3" t="s">
        <v>330</v>
      </c>
      <c r="C2902" s="3" t="s">
        <v>331</v>
      </c>
      <c r="D2902" s="3">
        <v>1</v>
      </c>
      <c r="E2902" s="3">
        <v>710.44615380000005</v>
      </c>
      <c r="F2902">
        <f t="shared" si="45"/>
        <v>710.44615380000005</v>
      </c>
    </row>
    <row r="2903" spans="1:6" x14ac:dyDescent="0.2">
      <c r="A2903">
        <v>837</v>
      </c>
      <c r="B2903" s="3" t="s">
        <v>332</v>
      </c>
      <c r="C2903" s="3" t="s">
        <v>333</v>
      </c>
      <c r="D2903" s="3">
        <v>2</v>
      </c>
      <c r="E2903" s="3">
        <v>167.55384620000001</v>
      </c>
      <c r="F2903">
        <f t="shared" si="45"/>
        <v>335.10769240000002</v>
      </c>
    </row>
    <row r="2904" spans="1:6" x14ac:dyDescent="0.2">
      <c r="A2904">
        <v>837</v>
      </c>
      <c r="B2904" s="3" t="s">
        <v>272</v>
      </c>
      <c r="C2904" s="3" t="s">
        <v>273</v>
      </c>
      <c r="D2904" s="3">
        <v>3</v>
      </c>
      <c r="E2904" s="3">
        <v>170.1112224</v>
      </c>
      <c r="F2904">
        <f t="shared" si="45"/>
        <v>510.33366720000004</v>
      </c>
    </row>
    <row r="2905" spans="1:6" x14ac:dyDescent="0.2">
      <c r="A2905">
        <v>837</v>
      </c>
      <c r="B2905" s="3" t="s">
        <v>275</v>
      </c>
      <c r="C2905" s="3" t="s">
        <v>276</v>
      </c>
      <c r="D2905" s="3">
        <v>6</v>
      </c>
      <c r="E2905" s="3">
        <v>9.0814483199999998</v>
      </c>
      <c r="F2905">
        <f t="shared" si="45"/>
        <v>54.488689919999999</v>
      </c>
    </row>
    <row r="2906" spans="1:6" x14ac:dyDescent="0.2">
      <c r="A2906">
        <v>837</v>
      </c>
      <c r="B2906" s="3" t="s">
        <v>334</v>
      </c>
      <c r="C2906" s="3" t="s">
        <v>329</v>
      </c>
      <c r="D2906" s="3">
        <v>6</v>
      </c>
      <c r="E2906" s="3">
        <v>149.03076920000001</v>
      </c>
      <c r="F2906">
        <f t="shared" si="45"/>
        <v>894.18461520000005</v>
      </c>
    </row>
    <row r="2907" spans="1:6" x14ac:dyDescent="0.2">
      <c r="A2907">
        <v>837</v>
      </c>
      <c r="B2907" s="3" t="s">
        <v>335</v>
      </c>
      <c r="C2907" s="3" t="s">
        <v>331</v>
      </c>
      <c r="D2907" s="3">
        <v>1</v>
      </c>
      <c r="E2907" s="3">
        <v>703.1</v>
      </c>
      <c r="F2907">
        <f t="shared" si="45"/>
        <v>703.1</v>
      </c>
    </row>
    <row r="2908" spans="1:6" x14ac:dyDescent="0.2">
      <c r="A2908">
        <v>837</v>
      </c>
      <c r="B2908" s="3" t="s">
        <v>336</v>
      </c>
      <c r="C2908" s="3" t="s">
        <v>333</v>
      </c>
      <c r="D2908" s="3">
        <v>3</v>
      </c>
      <c r="E2908" s="3">
        <v>288.42307690000001</v>
      </c>
      <c r="F2908">
        <f t="shared" si="45"/>
        <v>865.26923069999998</v>
      </c>
    </row>
    <row r="2909" spans="1:6" x14ac:dyDescent="0.2">
      <c r="A2909">
        <v>837</v>
      </c>
      <c r="B2909" s="3" t="s">
        <v>337</v>
      </c>
      <c r="C2909" s="3" t="s">
        <v>297</v>
      </c>
      <c r="D2909" s="3">
        <v>1</v>
      </c>
      <c r="E2909" s="3">
        <v>11.761100000000001</v>
      </c>
      <c r="F2909">
        <f t="shared" si="45"/>
        <v>11.761100000000001</v>
      </c>
    </row>
    <row r="2910" spans="1:6" x14ac:dyDescent="0.2">
      <c r="A2910">
        <v>837</v>
      </c>
      <c r="B2910" s="3" t="s">
        <v>338</v>
      </c>
      <c r="C2910" s="3" t="s">
        <v>297</v>
      </c>
      <c r="D2910" s="3">
        <v>1</v>
      </c>
      <c r="E2910" s="3">
        <v>11.712960000000001</v>
      </c>
      <c r="F2910">
        <f t="shared" si="45"/>
        <v>11.712960000000001</v>
      </c>
    </row>
    <row r="2911" spans="1:6" x14ac:dyDescent="0.2">
      <c r="A2911">
        <v>837</v>
      </c>
      <c r="B2911" s="3" t="s">
        <v>339</v>
      </c>
      <c r="C2911" s="3" t="s">
        <v>297</v>
      </c>
      <c r="D2911" s="3">
        <v>3</v>
      </c>
      <c r="E2911" s="3">
        <v>20.279038079999999</v>
      </c>
      <c r="F2911">
        <f t="shared" si="45"/>
        <v>60.837114239999998</v>
      </c>
    </row>
    <row r="2912" spans="1:6" x14ac:dyDescent="0.2">
      <c r="A2912">
        <v>837</v>
      </c>
      <c r="B2912" s="3" t="s">
        <v>340</v>
      </c>
      <c r="C2912" s="3" t="s">
        <v>309</v>
      </c>
      <c r="D2912" s="3">
        <v>2</v>
      </c>
      <c r="E2912" s="3">
        <v>1536.3343030000001</v>
      </c>
      <c r="F2912">
        <f t="shared" si="45"/>
        <v>3072.6686060000002</v>
      </c>
    </row>
    <row r="2913" spans="1:6" x14ac:dyDescent="0.2">
      <c r="A2913">
        <v>837</v>
      </c>
      <c r="B2913" s="3" t="s">
        <v>341</v>
      </c>
      <c r="C2913" s="3" t="s">
        <v>342</v>
      </c>
      <c r="D2913" s="3">
        <v>1</v>
      </c>
      <c r="E2913" s="3">
        <v>307.22449999999998</v>
      </c>
      <c r="F2913">
        <f t="shared" si="45"/>
        <v>307.22449999999998</v>
      </c>
    </row>
    <row r="2914" spans="1:6" x14ac:dyDescent="0.2">
      <c r="A2914">
        <v>837</v>
      </c>
      <c r="B2914" s="3" t="s">
        <v>284</v>
      </c>
      <c r="C2914" s="3" t="s">
        <v>273</v>
      </c>
      <c r="D2914" s="3">
        <v>5</v>
      </c>
      <c r="E2914" s="3">
        <v>15.547002239999999</v>
      </c>
      <c r="F2914">
        <f t="shared" si="45"/>
        <v>77.735011200000002</v>
      </c>
    </row>
    <row r="2915" spans="1:6" x14ac:dyDescent="0.2">
      <c r="A2915">
        <v>837</v>
      </c>
      <c r="B2915" s="3" t="s">
        <v>283</v>
      </c>
      <c r="C2915" s="3" t="s">
        <v>278</v>
      </c>
      <c r="D2915" s="3">
        <v>1</v>
      </c>
      <c r="E2915" s="3">
        <v>101.7621965</v>
      </c>
      <c r="F2915">
        <f t="shared" si="45"/>
        <v>101.7621965</v>
      </c>
    </row>
    <row r="2916" spans="1:6" x14ac:dyDescent="0.2">
      <c r="A2916">
        <v>837</v>
      </c>
      <c r="B2916" s="3" t="s">
        <v>281</v>
      </c>
      <c r="C2916" s="3" t="s">
        <v>282</v>
      </c>
      <c r="D2916" s="3">
        <v>3</v>
      </c>
      <c r="E2916" s="3">
        <v>43.369186560000003</v>
      </c>
      <c r="F2916">
        <f t="shared" si="45"/>
        <v>130.10755968000001</v>
      </c>
    </row>
    <row r="2917" spans="1:6" x14ac:dyDescent="0.2">
      <c r="A2917">
        <v>837</v>
      </c>
      <c r="B2917" s="3" t="s">
        <v>279</v>
      </c>
      <c r="C2917" s="3" t="s">
        <v>280</v>
      </c>
      <c r="D2917" s="3">
        <v>6</v>
      </c>
      <c r="E2917" s="3">
        <v>36.786503039999999</v>
      </c>
      <c r="F2917">
        <f t="shared" ref="F2917:F2980" si="46">D2917*E2917</f>
        <v>220.71901824</v>
      </c>
    </row>
    <row r="2918" spans="1:6" x14ac:dyDescent="0.2">
      <c r="A2918">
        <v>837</v>
      </c>
      <c r="B2918" s="3" t="s">
        <v>343</v>
      </c>
      <c r="C2918" s="3" t="s">
        <v>282</v>
      </c>
      <c r="D2918" s="3">
        <v>6</v>
      </c>
      <c r="E2918" s="3">
        <v>16.807500000000001</v>
      </c>
      <c r="F2918">
        <f t="shared" si="46"/>
        <v>100.845</v>
      </c>
    </row>
    <row r="2919" spans="1:6" x14ac:dyDescent="0.2">
      <c r="A2919">
        <v>837</v>
      </c>
      <c r="B2919" s="3" t="s">
        <v>344</v>
      </c>
      <c r="C2919" s="3" t="s">
        <v>282</v>
      </c>
      <c r="D2919" s="3">
        <v>1</v>
      </c>
      <c r="E2919" s="3">
        <v>12.7671264</v>
      </c>
      <c r="F2919">
        <f t="shared" si="46"/>
        <v>12.7671264</v>
      </c>
    </row>
    <row r="2920" spans="1:6" x14ac:dyDescent="0.2">
      <c r="A2920">
        <v>837</v>
      </c>
      <c r="B2920" s="3" t="s">
        <v>270</v>
      </c>
      <c r="C2920" s="3" t="s">
        <v>271</v>
      </c>
      <c r="D2920" s="3">
        <v>3</v>
      </c>
      <c r="E2920" s="3">
        <v>3027.0973819999999</v>
      </c>
      <c r="F2920">
        <f t="shared" si="46"/>
        <v>9081.2921459999998</v>
      </c>
    </row>
    <row r="2921" spans="1:6" x14ac:dyDescent="0.2">
      <c r="A2921">
        <v>837</v>
      </c>
      <c r="B2921" s="3" t="s">
        <v>272</v>
      </c>
      <c r="C2921" s="3" t="s">
        <v>273</v>
      </c>
      <c r="D2921" s="3">
        <v>1</v>
      </c>
      <c r="E2921" s="3">
        <v>170.1112224</v>
      </c>
      <c r="F2921">
        <f t="shared" si="46"/>
        <v>170.1112224</v>
      </c>
    </row>
    <row r="2922" spans="1:6" x14ac:dyDescent="0.2">
      <c r="A2922">
        <v>837</v>
      </c>
      <c r="B2922" s="3" t="s">
        <v>274</v>
      </c>
      <c r="C2922" s="3" t="s">
        <v>273</v>
      </c>
      <c r="D2922" s="3">
        <v>1</v>
      </c>
      <c r="E2922" s="3">
        <v>149.230919</v>
      </c>
      <c r="F2922">
        <f t="shared" si="46"/>
        <v>149.230919</v>
      </c>
    </row>
    <row r="2923" spans="1:6" x14ac:dyDescent="0.2">
      <c r="A2923">
        <v>837</v>
      </c>
      <c r="B2923" s="3" t="s">
        <v>275</v>
      </c>
      <c r="C2923" s="3" t="s">
        <v>276</v>
      </c>
      <c r="D2923" s="3">
        <v>3</v>
      </c>
      <c r="E2923" s="3">
        <v>9.0814483199999998</v>
      </c>
      <c r="F2923">
        <f t="shared" si="46"/>
        <v>27.244344959999999</v>
      </c>
    </row>
    <row r="2924" spans="1:6" x14ac:dyDescent="0.2">
      <c r="A2924">
        <v>837</v>
      </c>
      <c r="B2924" s="3" t="s">
        <v>277</v>
      </c>
      <c r="C2924" s="3" t="s">
        <v>278</v>
      </c>
      <c r="D2924" s="3">
        <v>2</v>
      </c>
      <c r="E2924" s="3">
        <v>41.026594559999999</v>
      </c>
      <c r="F2924">
        <f t="shared" si="46"/>
        <v>82.053189119999999</v>
      </c>
    </row>
    <row r="2925" spans="1:6" x14ac:dyDescent="0.2">
      <c r="A2925">
        <v>837</v>
      </c>
      <c r="B2925" s="3" t="s">
        <v>279</v>
      </c>
      <c r="C2925" s="3" t="s">
        <v>280</v>
      </c>
      <c r="D2925" s="3">
        <v>1</v>
      </c>
      <c r="E2925" s="3">
        <v>36.786503039999999</v>
      </c>
      <c r="F2925">
        <f t="shared" si="46"/>
        <v>36.786503039999999</v>
      </c>
    </row>
    <row r="2926" spans="1:6" x14ac:dyDescent="0.2">
      <c r="A2926">
        <v>837</v>
      </c>
      <c r="B2926" s="3" t="s">
        <v>281</v>
      </c>
      <c r="C2926" s="3" t="s">
        <v>282</v>
      </c>
      <c r="D2926" s="3">
        <v>5</v>
      </c>
      <c r="E2926" s="3">
        <v>43.369186560000003</v>
      </c>
      <c r="F2926">
        <f t="shared" si="46"/>
        <v>216.84593280000001</v>
      </c>
    </row>
    <row r="2927" spans="1:6" x14ac:dyDescent="0.2">
      <c r="A2927">
        <v>837</v>
      </c>
      <c r="B2927" s="3" t="s">
        <v>283</v>
      </c>
      <c r="C2927" s="3" t="s">
        <v>278</v>
      </c>
      <c r="D2927" s="3">
        <v>1</v>
      </c>
      <c r="E2927" s="3">
        <v>101.7621965</v>
      </c>
      <c r="F2927">
        <f t="shared" si="46"/>
        <v>101.7621965</v>
      </c>
    </row>
    <row r="2928" spans="1:6" x14ac:dyDescent="0.2">
      <c r="A2928">
        <v>837</v>
      </c>
      <c r="B2928" s="3" t="s">
        <v>284</v>
      </c>
      <c r="C2928" s="3" t="s">
        <v>273</v>
      </c>
      <c r="D2928" s="3">
        <v>1</v>
      </c>
      <c r="E2928" s="3">
        <v>15.547002239999999</v>
      </c>
      <c r="F2928">
        <f t="shared" si="46"/>
        <v>15.547002239999999</v>
      </c>
    </row>
    <row r="2929" spans="1:6" x14ac:dyDescent="0.2">
      <c r="A2929">
        <v>837</v>
      </c>
      <c r="B2929" s="3" t="s">
        <v>285</v>
      </c>
      <c r="C2929" s="3" t="s">
        <v>286</v>
      </c>
      <c r="D2929" s="3">
        <v>1</v>
      </c>
      <c r="E2929" s="3">
        <v>58.189985280000002</v>
      </c>
      <c r="F2929">
        <f t="shared" si="46"/>
        <v>58.189985280000002</v>
      </c>
    </row>
    <row r="2930" spans="1:6" x14ac:dyDescent="0.2">
      <c r="A2930">
        <v>837</v>
      </c>
      <c r="B2930" s="3" t="s">
        <v>287</v>
      </c>
      <c r="C2930" s="3" t="s">
        <v>273</v>
      </c>
      <c r="D2930" s="3">
        <v>5</v>
      </c>
      <c r="E2930" s="3">
        <v>100.66898689999999</v>
      </c>
      <c r="F2930">
        <f t="shared" si="46"/>
        <v>503.34493449999997</v>
      </c>
    </row>
    <row r="2931" spans="1:6" x14ac:dyDescent="0.2">
      <c r="A2931">
        <v>837</v>
      </c>
      <c r="B2931" s="3" t="s">
        <v>288</v>
      </c>
      <c r="C2931" s="3" t="s">
        <v>289</v>
      </c>
      <c r="D2931" s="3">
        <v>5</v>
      </c>
      <c r="E2931" s="3">
        <v>7.3401215999999998</v>
      </c>
      <c r="F2931">
        <f t="shared" si="46"/>
        <v>36.700608000000003</v>
      </c>
    </row>
    <row r="2932" spans="1:6" x14ac:dyDescent="0.2">
      <c r="A2932">
        <v>837</v>
      </c>
      <c r="B2932" s="3" t="s">
        <v>290</v>
      </c>
      <c r="C2932" s="3" t="s">
        <v>278</v>
      </c>
      <c r="D2932" s="3">
        <v>1</v>
      </c>
      <c r="E2932" s="3">
        <v>43.751809919999999</v>
      </c>
      <c r="F2932">
        <f t="shared" si="46"/>
        <v>43.751809919999999</v>
      </c>
    </row>
    <row r="2933" spans="1:6" x14ac:dyDescent="0.2">
      <c r="A2933">
        <v>837</v>
      </c>
      <c r="B2933" s="3" t="s">
        <v>277</v>
      </c>
      <c r="C2933" s="3" t="s">
        <v>278</v>
      </c>
      <c r="D2933" s="3">
        <v>1</v>
      </c>
      <c r="E2933" s="3">
        <v>41.026594559999999</v>
      </c>
      <c r="F2933">
        <f t="shared" si="46"/>
        <v>41.026594559999999</v>
      </c>
    </row>
    <row r="2934" spans="1:6" x14ac:dyDescent="0.2">
      <c r="A2934">
        <v>837</v>
      </c>
      <c r="B2934" s="3" t="s">
        <v>291</v>
      </c>
      <c r="C2934" s="3" t="s">
        <v>278</v>
      </c>
      <c r="D2934" s="3">
        <v>4</v>
      </c>
      <c r="E2934" s="3">
        <v>24.136399999999998</v>
      </c>
      <c r="F2934">
        <f t="shared" si="46"/>
        <v>96.545599999999993</v>
      </c>
    </row>
    <row r="2935" spans="1:6" x14ac:dyDescent="0.2">
      <c r="A2935">
        <v>837</v>
      </c>
      <c r="B2935" s="3" t="s">
        <v>292</v>
      </c>
      <c r="C2935" s="3" t="s">
        <v>293</v>
      </c>
      <c r="D2935" s="3">
        <v>3</v>
      </c>
      <c r="E2935" s="3">
        <v>96.852699999999999</v>
      </c>
      <c r="F2935">
        <f t="shared" si="46"/>
        <v>290.55809999999997</v>
      </c>
    </row>
    <row r="2936" spans="1:6" x14ac:dyDescent="0.2">
      <c r="A2936">
        <v>837</v>
      </c>
      <c r="B2936" s="3" t="s">
        <v>294</v>
      </c>
      <c r="C2936" s="3" t="s">
        <v>278</v>
      </c>
      <c r="D2936" s="3">
        <v>1</v>
      </c>
      <c r="E2936" s="3">
        <v>26.221413120000001</v>
      </c>
      <c r="F2936">
        <f t="shared" si="46"/>
        <v>26.221413120000001</v>
      </c>
    </row>
    <row r="2937" spans="1:6" x14ac:dyDescent="0.2">
      <c r="A2937">
        <v>837</v>
      </c>
      <c r="B2937" s="3" t="s">
        <v>295</v>
      </c>
      <c r="C2937" s="3" t="s">
        <v>273</v>
      </c>
      <c r="D2937" s="3">
        <v>3</v>
      </c>
      <c r="E2937" s="3">
        <v>54.886930560000003</v>
      </c>
      <c r="F2937">
        <f t="shared" si="46"/>
        <v>164.66079168000002</v>
      </c>
    </row>
    <row r="2938" spans="1:6" x14ac:dyDescent="0.2">
      <c r="A2938">
        <v>837</v>
      </c>
      <c r="B2938" s="3" t="s">
        <v>296</v>
      </c>
      <c r="C2938" s="3" t="s">
        <v>297</v>
      </c>
      <c r="D2938" s="3">
        <v>2</v>
      </c>
      <c r="E2938" s="3">
        <v>5.5029000000000003</v>
      </c>
      <c r="F2938">
        <f t="shared" si="46"/>
        <v>11.005800000000001</v>
      </c>
    </row>
    <row r="2939" spans="1:6" x14ac:dyDescent="0.2">
      <c r="A2939">
        <v>837</v>
      </c>
      <c r="B2939" s="3" t="s">
        <v>298</v>
      </c>
      <c r="C2939" s="3" t="s">
        <v>297</v>
      </c>
      <c r="D2939" s="3">
        <v>4</v>
      </c>
      <c r="E2939" s="3">
        <v>5.9344999999999999</v>
      </c>
      <c r="F2939">
        <f t="shared" si="46"/>
        <v>23.738</v>
      </c>
    </row>
    <row r="2940" spans="1:6" x14ac:dyDescent="0.2">
      <c r="A2940">
        <v>837</v>
      </c>
      <c r="B2940" s="3" t="s">
        <v>299</v>
      </c>
      <c r="C2940" s="3" t="s">
        <v>297</v>
      </c>
      <c r="D2940" s="3">
        <v>1</v>
      </c>
      <c r="E2940" s="3">
        <v>4.3574999999999999</v>
      </c>
      <c r="F2940">
        <f t="shared" si="46"/>
        <v>4.3574999999999999</v>
      </c>
    </row>
    <row r="2941" spans="1:6" x14ac:dyDescent="0.2">
      <c r="A2941">
        <v>837</v>
      </c>
      <c r="B2941" s="3" t="s">
        <v>122</v>
      </c>
      <c r="C2941" s="3" t="s">
        <v>276</v>
      </c>
      <c r="D2941" s="3">
        <v>118</v>
      </c>
      <c r="E2941" s="3">
        <v>14.915100000000001</v>
      </c>
      <c r="F2941">
        <f t="shared" si="46"/>
        <v>1759.9818</v>
      </c>
    </row>
    <row r="2942" spans="1:6" x14ac:dyDescent="0.2">
      <c r="A2942">
        <v>837</v>
      </c>
      <c r="B2942" s="3" t="s">
        <v>120</v>
      </c>
      <c r="C2942" s="3" t="s">
        <v>278</v>
      </c>
      <c r="D2942" s="3">
        <v>1</v>
      </c>
      <c r="E2942" s="3">
        <v>1.5604</v>
      </c>
      <c r="F2942">
        <f t="shared" si="46"/>
        <v>1.5604</v>
      </c>
    </row>
    <row r="2943" spans="1:6" x14ac:dyDescent="0.2">
      <c r="A2943">
        <v>837</v>
      </c>
      <c r="B2943" s="3" t="s">
        <v>300</v>
      </c>
      <c r="C2943" s="3" t="s">
        <v>273</v>
      </c>
      <c r="D2943" s="3">
        <v>1</v>
      </c>
      <c r="E2943" s="3">
        <v>60.59</v>
      </c>
      <c r="F2943">
        <f t="shared" si="46"/>
        <v>60.59</v>
      </c>
    </row>
    <row r="2944" spans="1:6" x14ac:dyDescent="0.2">
      <c r="A2944">
        <v>837</v>
      </c>
      <c r="B2944" s="3" t="s">
        <v>301</v>
      </c>
      <c r="C2944" s="3" t="s">
        <v>302</v>
      </c>
      <c r="D2944" s="3">
        <v>3</v>
      </c>
      <c r="E2944" s="3">
        <v>104.88565250000001</v>
      </c>
      <c r="F2944">
        <f t="shared" si="46"/>
        <v>314.65695750000003</v>
      </c>
    </row>
    <row r="2945" spans="1:6" x14ac:dyDescent="0.2">
      <c r="A2945">
        <v>837</v>
      </c>
      <c r="B2945" s="3" t="s">
        <v>303</v>
      </c>
      <c r="C2945" s="3" t="s">
        <v>304</v>
      </c>
      <c r="D2945" s="3">
        <v>1</v>
      </c>
      <c r="E2945" s="3">
        <v>683.94489999999996</v>
      </c>
      <c r="F2945">
        <f t="shared" si="46"/>
        <v>683.94489999999996</v>
      </c>
    </row>
    <row r="2946" spans="1:6" x14ac:dyDescent="0.2">
      <c r="A2946">
        <v>837</v>
      </c>
      <c r="B2946" s="3" t="s">
        <v>305</v>
      </c>
      <c r="C2946" s="3" t="s">
        <v>273</v>
      </c>
      <c r="D2946" s="3">
        <v>2</v>
      </c>
      <c r="E2946" s="3">
        <v>71.189099999999996</v>
      </c>
      <c r="F2946">
        <f t="shared" si="46"/>
        <v>142.37819999999999</v>
      </c>
    </row>
    <row r="2947" spans="1:6" x14ac:dyDescent="0.2">
      <c r="A2947">
        <v>837</v>
      </c>
      <c r="B2947" s="3" t="s">
        <v>294</v>
      </c>
      <c r="C2947" s="3" t="s">
        <v>278</v>
      </c>
      <c r="D2947" s="3">
        <v>3</v>
      </c>
      <c r="E2947" s="3">
        <v>26.221413120000001</v>
      </c>
      <c r="F2947">
        <f t="shared" si="46"/>
        <v>78.66423936000001</v>
      </c>
    </row>
    <row r="2948" spans="1:6" x14ac:dyDescent="0.2">
      <c r="A2948">
        <v>837</v>
      </c>
      <c r="B2948" s="3" t="s">
        <v>306</v>
      </c>
      <c r="C2948" s="3" t="s">
        <v>273</v>
      </c>
      <c r="D2948" s="3">
        <v>6</v>
      </c>
      <c r="E2948" s="3">
        <v>99.575777279999997</v>
      </c>
      <c r="F2948">
        <f t="shared" si="46"/>
        <v>597.45466367999995</v>
      </c>
    </row>
    <row r="2949" spans="1:6" x14ac:dyDescent="0.2">
      <c r="A2949">
        <v>837</v>
      </c>
      <c r="B2949" s="3" t="s">
        <v>294</v>
      </c>
      <c r="C2949" s="3" t="s">
        <v>278</v>
      </c>
      <c r="D2949" s="3">
        <v>6</v>
      </c>
      <c r="E2949" s="3">
        <v>26.221413120000001</v>
      </c>
      <c r="F2949">
        <f t="shared" si="46"/>
        <v>157.32847872000002</v>
      </c>
    </row>
    <row r="2950" spans="1:6" x14ac:dyDescent="0.2">
      <c r="A2950">
        <v>837</v>
      </c>
      <c r="B2950" s="3" t="s">
        <v>306</v>
      </c>
      <c r="C2950" s="3" t="s">
        <v>273</v>
      </c>
      <c r="D2950" s="3">
        <v>1</v>
      </c>
      <c r="E2950" s="3">
        <v>99.575777279999997</v>
      </c>
      <c r="F2950">
        <f t="shared" si="46"/>
        <v>99.575777279999997</v>
      </c>
    </row>
    <row r="2951" spans="1:6" x14ac:dyDescent="0.2">
      <c r="A2951">
        <v>837</v>
      </c>
      <c r="B2951" s="3" t="s">
        <v>308</v>
      </c>
      <c r="C2951" s="3" t="s">
        <v>309</v>
      </c>
      <c r="D2951" s="3">
        <v>3</v>
      </c>
      <c r="E2951" s="3">
        <v>167.6230769</v>
      </c>
      <c r="F2951">
        <f t="shared" si="46"/>
        <v>502.8692307</v>
      </c>
    </row>
    <row r="2952" spans="1:6" x14ac:dyDescent="0.2">
      <c r="A2952">
        <v>837</v>
      </c>
      <c r="B2952" s="3" t="s">
        <v>310</v>
      </c>
      <c r="C2952" s="3" t="s">
        <v>273</v>
      </c>
      <c r="D2952" s="3">
        <v>1</v>
      </c>
      <c r="E2952" s="3">
        <v>0.33200000000000002</v>
      </c>
      <c r="F2952">
        <f t="shared" si="46"/>
        <v>0.33200000000000002</v>
      </c>
    </row>
    <row r="2953" spans="1:6" x14ac:dyDescent="0.2">
      <c r="A2953">
        <v>837</v>
      </c>
      <c r="B2953" s="3" t="s">
        <v>197</v>
      </c>
      <c r="C2953" s="3" t="s">
        <v>278</v>
      </c>
      <c r="D2953" s="3">
        <v>1</v>
      </c>
      <c r="E2953" s="3">
        <v>7.4700000000000003E-2</v>
      </c>
      <c r="F2953">
        <f t="shared" si="46"/>
        <v>7.4700000000000003E-2</v>
      </c>
    </row>
    <row r="2954" spans="1:6" x14ac:dyDescent="0.2">
      <c r="A2954">
        <v>837</v>
      </c>
      <c r="B2954" s="3" t="s">
        <v>311</v>
      </c>
      <c r="C2954" s="3" t="s">
        <v>273</v>
      </c>
      <c r="D2954" s="3">
        <v>3</v>
      </c>
      <c r="E2954" s="3">
        <v>1.5935999999999999</v>
      </c>
      <c r="F2954">
        <f t="shared" si="46"/>
        <v>4.7807999999999993</v>
      </c>
    </row>
    <row r="2955" spans="1:6" x14ac:dyDescent="0.2">
      <c r="A2955">
        <v>837</v>
      </c>
      <c r="B2955" s="3" t="s">
        <v>312</v>
      </c>
      <c r="C2955" s="3" t="s">
        <v>278</v>
      </c>
      <c r="D2955" s="3">
        <v>2</v>
      </c>
      <c r="E2955" s="3">
        <v>21.040500000000002</v>
      </c>
      <c r="F2955">
        <f t="shared" si="46"/>
        <v>42.081000000000003</v>
      </c>
    </row>
    <row r="2956" spans="1:6" x14ac:dyDescent="0.2">
      <c r="A2956">
        <v>837</v>
      </c>
      <c r="B2956" s="3" t="s">
        <v>75</v>
      </c>
      <c r="C2956" s="3" t="s">
        <v>313</v>
      </c>
      <c r="D2956" s="3">
        <v>1</v>
      </c>
      <c r="E2956" s="3">
        <v>0.115384615</v>
      </c>
      <c r="F2956">
        <f t="shared" si="46"/>
        <v>0.115384615</v>
      </c>
    </row>
    <row r="2957" spans="1:6" x14ac:dyDescent="0.2">
      <c r="A2957">
        <v>837</v>
      </c>
      <c r="B2957" s="3" t="s">
        <v>314</v>
      </c>
      <c r="C2957" s="3" t="s">
        <v>273</v>
      </c>
      <c r="D2957" s="3">
        <v>5</v>
      </c>
      <c r="E2957" s="3">
        <v>0.45650000000000002</v>
      </c>
      <c r="F2957">
        <f t="shared" si="46"/>
        <v>2.2825000000000002</v>
      </c>
    </row>
    <row r="2958" spans="1:6" x14ac:dyDescent="0.2">
      <c r="A2958">
        <v>837</v>
      </c>
      <c r="B2958" s="3" t="s">
        <v>314</v>
      </c>
      <c r="C2958" s="3" t="s">
        <v>315</v>
      </c>
      <c r="D2958" s="3">
        <v>1</v>
      </c>
      <c r="E2958" s="3">
        <v>0.45650000000000002</v>
      </c>
      <c r="F2958">
        <f t="shared" si="46"/>
        <v>0.45650000000000002</v>
      </c>
    </row>
    <row r="2959" spans="1:6" x14ac:dyDescent="0.2">
      <c r="A2959">
        <v>837</v>
      </c>
      <c r="B2959" s="3" t="s">
        <v>316</v>
      </c>
      <c r="C2959" s="3" t="s">
        <v>317</v>
      </c>
      <c r="D2959" s="3">
        <v>1</v>
      </c>
      <c r="E2959" s="3">
        <v>92.206615380000002</v>
      </c>
      <c r="F2959">
        <f t="shared" si="46"/>
        <v>92.206615380000002</v>
      </c>
    </row>
    <row r="2960" spans="1:6" x14ac:dyDescent="0.2">
      <c r="A2960">
        <v>837</v>
      </c>
      <c r="B2960" s="3" t="s">
        <v>318</v>
      </c>
      <c r="C2960" s="3" t="s">
        <v>319</v>
      </c>
      <c r="D2960" s="3">
        <v>1</v>
      </c>
      <c r="E2960" s="3">
        <v>85.453846150000004</v>
      </c>
      <c r="F2960">
        <f t="shared" si="46"/>
        <v>85.453846150000004</v>
      </c>
    </row>
    <row r="2961" spans="1:6" x14ac:dyDescent="0.2">
      <c r="A2961">
        <v>837</v>
      </c>
      <c r="B2961" s="3" t="s">
        <v>320</v>
      </c>
      <c r="C2961" s="3" t="s">
        <v>321</v>
      </c>
      <c r="D2961" s="3">
        <v>5</v>
      </c>
      <c r="E2961" s="3">
        <v>92.206615380000002</v>
      </c>
      <c r="F2961">
        <f t="shared" si="46"/>
        <v>461.03307690000003</v>
      </c>
    </row>
    <row r="2962" spans="1:6" x14ac:dyDescent="0.2">
      <c r="A2962">
        <v>837</v>
      </c>
      <c r="B2962" s="3" t="s">
        <v>267</v>
      </c>
      <c r="C2962" s="3" t="s">
        <v>268</v>
      </c>
      <c r="D2962" s="3">
        <v>5</v>
      </c>
      <c r="E2962" s="3">
        <v>84863.132920000004</v>
      </c>
      <c r="F2962">
        <f t="shared" si="46"/>
        <v>424315.66460000002</v>
      </c>
    </row>
    <row r="2963" spans="1:6" x14ac:dyDescent="0.2">
      <c r="A2963">
        <v>837</v>
      </c>
      <c r="B2963" s="3" t="s">
        <v>260</v>
      </c>
      <c r="C2963" s="3" t="s">
        <v>261</v>
      </c>
      <c r="D2963" s="3">
        <v>1</v>
      </c>
      <c r="E2963" s="3">
        <v>2908.2944619999998</v>
      </c>
      <c r="F2963">
        <f t="shared" si="46"/>
        <v>2908.2944619999998</v>
      </c>
    </row>
    <row r="2964" spans="1:6" x14ac:dyDescent="0.2">
      <c r="A2964">
        <v>837</v>
      </c>
      <c r="B2964" s="3" t="s">
        <v>262</v>
      </c>
      <c r="C2964" s="3" t="s">
        <v>263</v>
      </c>
      <c r="D2964" s="3">
        <v>1</v>
      </c>
      <c r="E2964" s="3">
        <v>3207.1966149999998</v>
      </c>
      <c r="F2964">
        <f t="shared" si="46"/>
        <v>3207.1966149999998</v>
      </c>
    </row>
    <row r="2965" spans="1:6" x14ac:dyDescent="0.2">
      <c r="A2965">
        <v>837</v>
      </c>
      <c r="B2965" s="3" t="s">
        <v>264</v>
      </c>
      <c r="C2965" s="3" t="s">
        <v>265</v>
      </c>
      <c r="D2965" s="3">
        <v>4</v>
      </c>
      <c r="E2965" s="3">
        <v>3466.7312310000002</v>
      </c>
      <c r="F2965">
        <f t="shared" si="46"/>
        <v>13866.924924000001</v>
      </c>
    </row>
    <row r="2966" spans="1:6" x14ac:dyDescent="0.2">
      <c r="A2966">
        <v>837</v>
      </c>
      <c r="B2966" s="3" t="s">
        <v>259</v>
      </c>
      <c r="C2966" s="3" t="s">
        <v>258</v>
      </c>
      <c r="D2966" s="3">
        <v>3</v>
      </c>
      <c r="E2966" s="3">
        <v>3325.9760000000001</v>
      </c>
      <c r="F2966">
        <f t="shared" si="46"/>
        <v>9977.9279999999999</v>
      </c>
    </row>
    <row r="2967" spans="1:6" x14ac:dyDescent="0.2">
      <c r="A2967">
        <v>837</v>
      </c>
      <c r="B2967" s="3" t="s">
        <v>257</v>
      </c>
      <c r="C2967" s="3" t="s">
        <v>258</v>
      </c>
      <c r="D2967" s="3">
        <v>1</v>
      </c>
      <c r="E2967" s="3">
        <v>3325.9760000000001</v>
      </c>
      <c r="F2967">
        <f t="shared" si="46"/>
        <v>3325.9760000000001</v>
      </c>
    </row>
    <row r="2968" spans="1:6" x14ac:dyDescent="0.2">
      <c r="A2968">
        <v>837</v>
      </c>
      <c r="B2968" s="3" t="s">
        <v>255</v>
      </c>
      <c r="C2968" s="3" t="s">
        <v>256</v>
      </c>
      <c r="D2968" s="3">
        <v>3</v>
      </c>
      <c r="E2968" s="3">
        <v>18546.09462</v>
      </c>
      <c r="F2968">
        <f t="shared" si="46"/>
        <v>55638.283859999996</v>
      </c>
    </row>
    <row r="2969" spans="1:6" x14ac:dyDescent="0.2">
      <c r="A2969">
        <v>837</v>
      </c>
      <c r="B2969" s="3" t="s">
        <v>253</v>
      </c>
      <c r="C2969" s="3" t="s">
        <v>254</v>
      </c>
      <c r="D2969" s="3">
        <v>2</v>
      </c>
      <c r="E2969" s="3">
        <v>21043.679540000001</v>
      </c>
      <c r="F2969">
        <f t="shared" si="46"/>
        <v>42087.359080000002</v>
      </c>
    </row>
    <row r="2970" spans="1:6" x14ac:dyDescent="0.2">
      <c r="A2970">
        <v>837</v>
      </c>
      <c r="B2970" s="3" t="s">
        <v>359</v>
      </c>
      <c r="C2970" s="3" t="s">
        <v>360</v>
      </c>
      <c r="D2970" s="3">
        <v>4</v>
      </c>
      <c r="E2970" s="3">
        <v>1844.9384620000001</v>
      </c>
      <c r="F2970">
        <f t="shared" si="46"/>
        <v>7379.7538480000003</v>
      </c>
    </row>
    <row r="2971" spans="1:6" x14ac:dyDescent="0.2">
      <c r="A2971">
        <v>837</v>
      </c>
      <c r="B2971" s="3" t="s">
        <v>389</v>
      </c>
      <c r="C2971" s="3" t="s">
        <v>390</v>
      </c>
      <c r="D2971">
        <v>1</v>
      </c>
      <c r="E2971" s="3">
        <v>4906</v>
      </c>
      <c r="F2971">
        <f t="shared" si="46"/>
        <v>4906</v>
      </c>
    </row>
    <row r="2972" spans="1:6" x14ac:dyDescent="0.2">
      <c r="A2972">
        <v>838</v>
      </c>
      <c r="B2972" t="s">
        <v>62</v>
      </c>
      <c r="C2972" t="s">
        <v>63</v>
      </c>
      <c r="D2972">
        <v>118</v>
      </c>
      <c r="E2972">
        <v>0.34860000000000002</v>
      </c>
      <c r="F2972">
        <f t="shared" si="46"/>
        <v>41.134800000000006</v>
      </c>
    </row>
    <row r="2973" spans="1:6" x14ac:dyDescent="0.2">
      <c r="A2973">
        <v>838</v>
      </c>
      <c r="B2973" t="s">
        <v>64</v>
      </c>
      <c r="C2973" t="s">
        <v>65</v>
      </c>
      <c r="D2973">
        <v>1</v>
      </c>
      <c r="E2973">
        <v>803.07692307692309</v>
      </c>
      <c r="F2973">
        <f t="shared" si="46"/>
        <v>803.07692307692309</v>
      </c>
    </row>
    <row r="2974" spans="1:6" x14ac:dyDescent="0.2">
      <c r="A2974">
        <v>838</v>
      </c>
      <c r="B2974" t="s">
        <v>67</v>
      </c>
      <c r="C2974" t="s">
        <v>68</v>
      </c>
      <c r="D2974">
        <v>1</v>
      </c>
      <c r="E2974">
        <v>49.678567679999993</v>
      </c>
      <c r="F2974">
        <f t="shared" si="46"/>
        <v>49.678567679999993</v>
      </c>
    </row>
    <row r="2975" spans="1:6" x14ac:dyDescent="0.2">
      <c r="A2975">
        <v>838</v>
      </c>
      <c r="B2975" t="s">
        <v>70</v>
      </c>
      <c r="C2975" t="s">
        <v>71</v>
      </c>
      <c r="D2975">
        <v>3</v>
      </c>
      <c r="E2975">
        <v>407.98649999999998</v>
      </c>
      <c r="F2975">
        <f t="shared" si="46"/>
        <v>1223.9594999999999</v>
      </c>
    </row>
    <row r="2976" spans="1:6" x14ac:dyDescent="0.2">
      <c r="A2976">
        <v>838</v>
      </c>
      <c r="B2976" t="s">
        <v>73</v>
      </c>
      <c r="C2976" t="s">
        <v>74</v>
      </c>
      <c r="D2976">
        <v>1</v>
      </c>
      <c r="E2976">
        <v>0.57783935999999991</v>
      </c>
      <c r="F2976">
        <f t="shared" si="46"/>
        <v>0.57783935999999991</v>
      </c>
    </row>
    <row r="2977" spans="1:6" x14ac:dyDescent="0.2">
      <c r="A2977">
        <v>838</v>
      </c>
      <c r="B2977" t="s">
        <v>75</v>
      </c>
      <c r="C2977" t="s">
        <v>76</v>
      </c>
      <c r="D2977">
        <v>2</v>
      </c>
      <c r="E2977">
        <v>0.1153846153846154</v>
      </c>
      <c r="F2977">
        <f t="shared" si="46"/>
        <v>0.23076923076923081</v>
      </c>
    </row>
    <row r="2978" spans="1:6" x14ac:dyDescent="0.2">
      <c r="A2978">
        <v>838</v>
      </c>
      <c r="B2978" t="s">
        <v>77</v>
      </c>
      <c r="C2978" t="s">
        <v>74</v>
      </c>
      <c r="D2978">
        <v>3</v>
      </c>
      <c r="E2978">
        <v>1.3943999999999999</v>
      </c>
      <c r="F2978">
        <f t="shared" si="46"/>
        <v>4.1831999999999994</v>
      </c>
    </row>
    <row r="2979" spans="1:6" x14ac:dyDescent="0.2">
      <c r="A2979">
        <v>838</v>
      </c>
      <c r="B2979" t="s">
        <v>78</v>
      </c>
      <c r="C2979" t="s">
        <v>76</v>
      </c>
      <c r="D2979">
        <v>6</v>
      </c>
      <c r="E2979">
        <v>0.71839487999999996</v>
      </c>
      <c r="F2979">
        <f t="shared" si="46"/>
        <v>4.3103692799999997</v>
      </c>
    </row>
    <row r="2980" spans="1:6" x14ac:dyDescent="0.2">
      <c r="A2980">
        <v>838</v>
      </c>
      <c r="B2980" t="s">
        <v>79</v>
      </c>
      <c r="C2980" t="s">
        <v>74</v>
      </c>
      <c r="D2980">
        <v>6</v>
      </c>
      <c r="E2980">
        <v>1.9307692307692308</v>
      </c>
      <c r="F2980">
        <f t="shared" si="46"/>
        <v>11.584615384615384</v>
      </c>
    </row>
    <row r="2981" spans="1:6" x14ac:dyDescent="0.2">
      <c r="A2981">
        <v>838</v>
      </c>
      <c r="B2981" t="s">
        <v>80</v>
      </c>
      <c r="C2981" t="s">
        <v>74</v>
      </c>
      <c r="D2981">
        <v>1</v>
      </c>
      <c r="E2981">
        <v>0.9544999999999999</v>
      </c>
      <c r="F2981">
        <f t="shared" ref="F2981:F3033" si="47">D2981*E2981</f>
        <v>0.9544999999999999</v>
      </c>
    </row>
    <row r="2982" spans="1:6" x14ac:dyDescent="0.2">
      <c r="A2982">
        <v>838</v>
      </c>
      <c r="B2982" t="s">
        <v>81</v>
      </c>
      <c r="C2982" t="s">
        <v>74</v>
      </c>
      <c r="D2982">
        <v>3</v>
      </c>
      <c r="E2982">
        <v>0.76359999999999995</v>
      </c>
      <c r="F2982">
        <f t="shared" si="47"/>
        <v>2.2907999999999999</v>
      </c>
    </row>
    <row r="2983" spans="1:6" x14ac:dyDescent="0.2">
      <c r="A2983">
        <v>838</v>
      </c>
      <c r="B2983" t="s">
        <v>82</v>
      </c>
      <c r="C2983" t="s">
        <v>83</v>
      </c>
      <c r="D2983">
        <v>1</v>
      </c>
      <c r="E2983">
        <v>20.351599999999998</v>
      </c>
      <c r="F2983">
        <f t="shared" si="47"/>
        <v>20.351599999999998</v>
      </c>
    </row>
    <row r="2984" spans="1:6" x14ac:dyDescent="0.2">
      <c r="A2984">
        <v>838</v>
      </c>
      <c r="B2984" t="s">
        <v>84</v>
      </c>
      <c r="C2984" t="s">
        <v>85</v>
      </c>
      <c r="D2984">
        <v>1</v>
      </c>
      <c r="E2984">
        <v>102.33222719999999</v>
      </c>
      <c r="F2984">
        <f t="shared" si="47"/>
        <v>102.33222719999999</v>
      </c>
    </row>
    <row r="2985" spans="1:6" x14ac:dyDescent="0.2">
      <c r="A2985">
        <v>838</v>
      </c>
      <c r="B2985" t="s">
        <v>86</v>
      </c>
      <c r="C2985" t="s">
        <v>85</v>
      </c>
      <c r="D2985">
        <v>3</v>
      </c>
      <c r="E2985">
        <v>144.26462399999997</v>
      </c>
      <c r="F2985">
        <f t="shared" si="47"/>
        <v>432.79387199999991</v>
      </c>
    </row>
    <row r="2986" spans="1:6" x14ac:dyDescent="0.2">
      <c r="A2986">
        <v>838</v>
      </c>
      <c r="B2986" t="s">
        <v>87</v>
      </c>
      <c r="C2986" t="s">
        <v>88</v>
      </c>
      <c r="D2986">
        <v>2</v>
      </c>
      <c r="E2986">
        <v>162.02147135999999</v>
      </c>
      <c r="F2986">
        <f t="shared" si="47"/>
        <v>324.04294271999999</v>
      </c>
    </row>
    <row r="2987" spans="1:6" x14ac:dyDescent="0.2">
      <c r="A2987">
        <v>838</v>
      </c>
      <c r="B2987" t="s">
        <v>89</v>
      </c>
      <c r="C2987" t="s">
        <v>85</v>
      </c>
      <c r="D2987">
        <v>1</v>
      </c>
      <c r="E2987">
        <v>211.01287872</v>
      </c>
      <c r="F2987">
        <f t="shared" si="47"/>
        <v>211.01287872</v>
      </c>
    </row>
    <row r="2988" spans="1:6" x14ac:dyDescent="0.2">
      <c r="A2988">
        <v>838</v>
      </c>
      <c r="B2988" t="s">
        <v>90</v>
      </c>
      <c r="C2988" t="s">
        <v>88</v>
      </c>
      <c r="D2988">
        <v>5</v>
      </c>
      <c r="E2988">
        <v>238.16351999999995</v>
      </c>
      <c r="F2988">
        <f t="shared" si="47"/>
        <v>1190.8175999999999</v>
      </c>
    </row>
    <row r="2989" spans="1:6" x14ac:dyDescent="0.2">
      <c r="A2989">
        <v>838</v>
      </c>
      <c r="B2989" t="s">
        <v>92</v>
      </c>
      <c r="C2989" t="s">
        <v>93</v>
      </c>
      <c r="D2989">
        <v>1</v>
      </c>
      <c r="E2989">
        <v>19.297499999999999</v>
      </c>
      <c r="F2989">
        <f t="shared" si="47"/>
        <v>19.297499999999999</v>
      </c>
    </row>
    <row r="2990" spans="1:6" x14ac:dyDescent="0.2">
      <c r="A2990">
        <v>838</v>
      </c>
      <c r="B2990" t="s">
        <v>94</v>
      </c>
      <c r="C2990" t="s">
        <v>95</v>
      </c>
      <c r="D2990">
        <v>3</v>
      </c>
      <c r="E2990">
        <v>644.46267648000003</v>
      </c>
      <c r="F2990">
        <f t="shared" si="47"/>
        <v>1933.3880294400001</v>
      </c>
    </row>
    <row r="2991" spans="1:6" x14ac:dyDescent="0.2">
      <c r="A2991">
        <v>838</v>
      </c>
      <c r="B2991" t="s">
        <v>236</v>
      </c>
      <c r="C2991" t="s">
        <v>237</v>
      </c>
      <c r="D2991">
        <v>6</v>
      </c>
      <c r="E2991">
        <v>132.79999999999998</v>
      </c>
      <c r="F2991">
        <f t="shared" si="47"/>
        <v>796.8</v>
      </c>
    </row>
    <row r="2992" spans="1:6" x14ac:dyDescent="0.2">
      <c r="A2992">
        <v>838</v>
      </c>
      <c r="B2992" t="s">
        <v>238</v>
      </c>
      <c r="C2992" t="s">
        <v>239</v>
      </c>
      <c r="D2992">
        <v>6</v>
      </c>
      <c r="E2992">
        <v>340.93846153846152</v>
      </c>
      <c r="F2992">
        <f t="shared" si="47"/>
        <v>2045.6307692307691</v>
      </c>
    </row>
    <row r="2993" spans="1:6" x14ac:dyDescent="0.2">
      <c r="A2993">
        <v>838</v>
      </c>
      <c r="B2993" t="s">
        <v>240</v>
      </c>
      <c r="C2993" t="s">
        <v>241</v>
      </c>
      <c r="D2993">
        <v>1</v>
      </c>
      <c r="E2993">
        <v>309.01538461538462</v>
      </c>
      <c r="F2993">
        <f t="shared" si="47"/>
        <v>309.01538461538462</v>
      </c>
    </row>
    <row r="2994" spans="1:6" x14ac:dyDescent="0.2">
      <c r="A2994">
        <v>838</v>
      </c>
      <c r="B2994" t="s">
        <v>242</v>
      </c>
      <c r="C2994" t="s">
        <v>243</v>
      </c>
      <c r="D2994">
        <v>3</v>
      </c>
      <c r="E2994">
        <v>427.76923076923072</v>
      </c>
      <c r="F2994">
        <f t="shared" si="47"/>
        <v>1283.3076923076922</v>
      </c>
    </row>
    <row r="2995" spans="1:6" x14ac:dyDescent="0.2">
      <c r="A2995">
        <v>838</v>
      </c>
      <c r="B2995" t="s">
        <v>244</v>
      </c>
      <c r="C2995" t="s">
        <v>184</v>
      </c>
      <c r="D2995">
        <v>1</v>
      </c>
      <c r="E2995">
        <v>18.643076923076922</v>
      </c>
      <c r="F2995">
        <f t="shared" si="47"/>
        <v>18.643076923076922</v>
      </c>
    </row>
    <row r="2996" spans="1:6" x14ac:dyDescent="0.2">
      <c r="A2996">
        <v>838</v>
      </c>
      <c r="B2996" t="s">
        <v>245</v>
      </c>
      <c r="C2996" t="s">
        <v>246</v>
      </c>
      <c r="D2996">
        <v>1</v>
      </c>
      <c r="E2996">
        <v>0.44819999999999999</v>
      </c>
      <c r="F2996">
        <f t="shared" si="47"/>
        <v>0.44819999999999999</v>
      </c>
    </row>
    <row r="2997" spans="1:6" x14ac:dyDescent="0.2">
      <c r="A2997">
        <v>838</v>
      </c>
      <c r="B2997" t="s">
        <v>75</v>
      </c>
      <c r="C2997" t="s">
        <v>247</v>
      </c>
      <c r="D2997">
        <v>3</v>
      </c>
      <c r="E2997">
        <v>0.1153846153846154</v>
      </c>
      <c r="F2997">
        <f t="shared" si="47"/>
        <v>0.3461538461538462</v>
      </c>
    </row>
    <row r="2998" spans="1:6" x14ac:dyDescent="0.2">
      <c r="A2998">
        <v>838</v>
      </c>
      <c r="B2998" t="s">
        <v>197</v>
      </c>
      <c r="C2998" t="s">
        <v>117</v>
      </c>
      <c r="D2998">
        <v>2</v>
      </c>
      <c r="E2998">
        <v>7.4699999999999989E-2</v>
      </c>
      <c r="F2998">
        <f t="shared" si="47"/>
        <v>0.14939999999999998</v>
      </c>
    </row>
    <row r="2999" spans="1:6" x14ac:dyDescent="0.2">
      <c r="A2999">
        <v>838</v>
      </c>
      <c r="B2999" t="s">
        <v>248</v>
      </c>
      <c r="C2999" t="s">
        <v>249</v>
      </c>
      <c r="D2999">
        <v>1</v>
      </c>
      <c r="E2999">
        <v>31064.984615384612</v>
      </c>
      <c r="F2999">
        <f t="shared" si="47"/>
        <v>31064.984615384612</v>
      </c>
    </row>
    <row r="3000" spans="1:6" x14ac:dyDescent="0.2">
      <c r="A3000">
        <v>838</v>
      </c>
      <c r="B3000" t="s">
        <v>250</v>
      </c>
      <c r="C3000" t="s">
        <v>251</v>
      </c>
      <c r="D3000">
        <v>5</v>
      </c>
      <c r="E3000">
        <v>564.54124607999995</v>
      </c>
      <c r="F3000">
        <f t="shared" si="47"/>
        <v>2822.7062303999996</v>
      </c>
    </row>
    <row r="3001" spans="1:6" x14ac:dyDescent="0.2">
      <c r="A3001">
        <v>838</v>
      </c>
      <c r="B3001" t="s">
        <v>146</v>
      </c>
      <c r="C3001" t="s">
        <v>147</v>
      </c>
      <c r="D3001">
        <v>1</v>
      </c>
      <c r="E3001">
        <v>8021.5764999999992</v>
      </c>
      <c r="F3001">
        <f t="shared" si="47"/>
        <v>8021.5764999999992</v>
      </c>
    </row>
    <row r="3002" spans="1:6" x14ac:dyDescent="0.2">
      <c r="A3002">
        <v>838</v>
      </c>
      <c r="B3002" t="s">
        <v>215</v>
      </c>
      <c r="C3002" t="s">
        <v>208</v>
      </c>
      <c r="D3002">
        <v>1</v>
      </c>
      <c r="E3002">
        <v>1.42898112</v>
      </c>
      <c r="F3002">
        <f t="shared" si="47"/>
        <v>1.42898112</v>
      </c>
    </row>
    <row r="3003" spans="1:6" x14ac:dyDescent="0.2">
      <c r="A3003">
        <v>838</v>
      </c>
      <c r="B3003" t="s">
        <v>200</v>
      </c>
      <c r="C3003" t="s">
        <v>199</v>
      </c>
      <c r="D3003">
        <v>1</v>
      </c>
      <c r="E3003">
        <v>0.66373439999999995</v>
      </c>
      <c r="F3003">
        <f t="shared" si="47"/>
        <v>0.66373439999999995</v>
      </c>
    </row>
    <row r="3004" spans="1:6" x14ac:dyDescent="0.2">
      <c r="A3004">
        <v>838</v>
      </c>
      <c r="B3004" t="s">
        <v>216</v>
      </c>
      <c r="C3004" t="s">
        <v>199</v>
      </c>
      <c r="D3004">
        <v>5</v>
      </c>
      <c r="E3004">
        <v>0.66400000000000003</v>
      </c>
      <c r="F3004">
        <f t="shared" si="47"/>
        <v>3.3200000000000003</v>
      </c>
    </row>
    <row r="3005" spans="1:6" x14ac:dyDescent="0.2">
      <c r="A3005">
        <v>838</v>
      </c>
      <c r="B3005" t="s">
        <v>217</v>
      </c>
      <c r="C3005" t="s">
        <v>199</v>
      </c>
      <c r="D3005">
        <v>5</v>
      </c>
      <c r="E3005">
        <v>4.2164000000000001</v>
      </c>
      <c r="F3005">
        <f t="shared" si="47"/>
        <v>21.082000000000001</v>
      </c>
    </row>
    <row r="3006" spans="1:6" x14ac:dyDescent="0.2">
      <c r="A3006">
        <v>838</v>
      </c>
      <c r="B3006" t="s">
        <v>218</v>
      </c>
      <c r="C3006" t="s">
        <v>208</v>
      </c>
      <c r="D3006">
        <v>1</v>
      </c>
      <c r="E3006">
        <v>7.3454999999999995</v>
      </c>
      <c r="F3006">
        <f t="shared" si="47"/>
        <v>7.3454999999999995</v>
      </c>
    </row>
    <row r="3007" spans="1:6" x14ac:dyDescent="0.2">
      <c r="A3007">
        <v>838</v>
      </c>
      <c r="B3007" t="s">
        <v>219</v>
      </c>
      <c r="C3007" t="s">
        <v>199</v>
      </c>
      <c r="D3007">
        <v>1</v>
      </c>
      <c r="E3007">
        <v>1.4774</v>
      </c>
      <c r="F3007">
        <f t="shared" si="47"/>
        <v>1.4774</v>
      </c>
    </row>
    <row r="3008" spans="1:6" x14ac:dyDescent="0.2">
      <c r="A3008">
        <v>838</v>
      </c>
      <c r="B3008" t="s">
        <v>220</v>
      </c>
      <c r="C3008" t="s">
        <v>208</v>
      </c>
      <c r="D3008">
        <v>4</v>
      </c>
      <c r="E3008">
        <v>3.7267000000000001</v>
      </c>
      <c r="F3008">
        <f t="shared" si="47"/>
        <v>14.9068</v>
      </c>
    </row>
    <row r="3009" spans="1:6" x14ac:dyDescent="0.2">
      <c r="A3009">
        <v>838</v>
      </c>
      <c r="B3009" t="s">
        <v>221</v>
      </c>
      <c r="C3009" t="s">
        <v>199</v>
      </c>
      <c r="D3009">
        <v>3</v>
      </c>
      <c r="E3009">
        <v>0.97939999999999994</v>
      </c>
      <c r="F3009">
        <f t="shared" si="47"/>
        <v>2.9381999999999997</v>
      </c>
    </row>
    <row r="3010" spans="1:6" x14ac:dyDescent="0.2">
      <c r="A3010">
        <v>838</v>
      </c>
      <c r="B3010" t="s">
        <v>222</v>
      </c>
      <c r="C3010" t="s">
        <v>208</v>
      </c>
      <c r="D3010">
        <v>1</v>
      </c>
      <c r="E3010">
        <v>6.0672999999999995</v>
      </c>
      <c r="F3010">
        <f t="shared" si="47"/>
        <v>6.0672999999999995</v>
      </c>
    </row>
    <row r="3011" spans="1:6" x14ac:dyDescent="0.2">
      <c r="A3011">
        <v>838</v>
      </c>
      <c r="B3011" t="s">
        <v>223</v>
      </c>
      <c r="C3011" t="s">
        <v>224</v>
      </c>
      <c r="D3011">
        <v>3</v>
      </c>
      <c r="E3011">
        <v>19.4635</v>
      </c>
      <c r="F3011">
        <f t="shared" si="47"/>
        <v>58.390500000000003</v>
      </c>
    </row>
    <row r="3012" spans="1:6" x14ac:dyDescent="0.2">
      <c r="A3012">
        <v>838</v>
      </c>
      <c r="B3012" t="s">
        <v>225</v>
      </c>
      <c r="C3012" t="s">
        <v>226</v>
      </c>
      <c r="D3012">
        <v>2</v>
      </c>
      <c r="E3012">
        <v>10.221509759999998</v>
      </c>
      <c r="F3012">
        <f t="shared" si="47"/>
        <v>20.443019519999996</v>
      </c>
    </row>
    <row r="3013" spans="1:6" x14ac:dyDescent="0.2">
      <c r="A3013">
        <v>838</v>
      </c>
      <c r="B3013" t="s">
        <v>227</v>
      </c>
      <c r="C3013" t="s">
        <v>208</v>
      </c>
      <c r="D3013">
        <v>4</v>
      </c>
      <c r="E3013">
        <v>3.6307692307692312</v>
      </c>
      <c r="F3013">
        <f t="shared" si="47"/>
        <v>14.523076923076925</v>
      </c>
    </row>
    <row r="3014" spans="1:6" x14ac:dyDescent="0.2">
      <c r="A3014">
        <v>838</v>
      </c>
      <c r="B3014" t="s">
        <v>228</v>
      </c>
      <c r="C3014" t="s">
        <v>229</v>
      </c>
      <c r="D3014">
        <v>1</v>
      </c>
      <c r="E3014">
        <v>306.94982975999994</v>
      </c>
      <c r="F3014">
        <f t="shared" si="47"/>
        <v>306.94982975999994</v>
      </c>
    </row>
    <row r="3015" spans="1:6" x14ac:dyDescent="0.2">
      <c r="A3015">
        <v>838</v>
      </c>
      <c r="B3015" t="s">
        <v>116</v>
      </c>
      <c r="C3015" t="s">
        <v>117</v>
      </c>
      <c r="D3015">
        <v>118</v>
      </c>
      <c r="E3015">
        <v>0.25729999999999997</v>
      </c>
      <c r="F3015">
        <f t="shared" si="47"/>
        <v>30.361399999999996</v>
      </c>
    </row>
    <row r="3016" spans="1:6" x14ac:dyDescent="0.2">
      <c r="A3016">
        <v>838</v>
      </c>
      <c r="B3016" t="s">
        <v>78</v>
      </c>
      <c r="C3016" t="s">
        <v>76</v>
      </c>
      <c r="D3016">
        <v>1</v>
      </c>
      <c r="E3016">
        <v>0.71839487999999996</v>
      </c>
      <c r="F3016">
        <f t="shared" si="47"/>
        <v>0.71839487999999996</v>
      </c>
    </row>
    <row r="3017" spans="1:6" x14ac:dyDescent="0.2">
      <c r="A3017">
        <v>838</v>
      </c>
      <c r="B3017" t="s">
        <v>231</v>
      </c>
      <c r="C3017" t="s">
        <v>208</v>
      </c>
      <c r="D3017">
        <v>1</v>
      </c>
      <c r="E3017">
        <v>2.0832999999999999</v>
      </c>
      <c r="F3017">
        <f t="shared" si="47"/>
        <v>2.0832999999999999</v>
      </c>
    </row>
    <row r="3018" spans="1:6" x14ac:dyDescent="0.2">
      <c r="A3018">
        <v>838</v>
      </c>
      <c r="B3018" t="s">
        <v>232</v>
      </c>
      <c r="C3018" t="s">
        <v>119</v>
      </c>
      <c r="D3018">
        <v>3</v>
      </c>
      <c r="E3018">
        <v>1.5935999999999999</v>
      </c>
      <c r="F3018">
        <f t="shared" si="47"/>
        <v>4.7807999999999993</v>
      </c>
    </row>
    <row r="3019" spans="1:6" x14ac:dyDescent="0.2">
      <c r="A3019">
        <v>838</v>
      </c>
      <c r="B3019" t="s">
        <v>233</v>
      </c>
      <c r="C3019" t="s">
        <v>234</v>
      </c>
      <c r="D3019">
        <v>1</v>
      </c>
      <c r="E3019">
        <v>3989.2954</v>
      </c>
      <c r="F3019">
        <f t="shared" si="47"/>
        <v>3989.2954</v>
      </c>
    </row>
    <row r="3020" spans="1:6" x14ac:dyDescent="0.2">
      <c r="A3020">
        <v>838</v>
      </c>
      <c r="B3020" t="s">
        <v>142</v>
      </c>
      <c r="C3020" t="s">
        <v>143</v>
      </c>
      <c r="D3020">
        <v>2</v>
      </c>
      <c r="E3020">
        <v>18141.642</v>
      </c>
      <c r="F3020">
        <f t="shared" si="47"/>
        <v>36283.284</v>
      </c>
    </row>
    <row r="3021" spans="1:6" x14ac:dyDescent="0.2">
      <c r="A3021">
        <v>838</v>
      </c>
      <c r="B3021" t="s">
        <v>144</v>
      </c>
      <c r="C3021" t="s">
        <v>145</v>
      </c>
      <c r="D3021">
        <v>3</v>
      </c>
      <c r="E3021">
        <v>7346.6769230769241</v>
      </c>
      <c r="F3021">
        <f t="shared" si="47"/>
        <v>22040.030769230772</v>
      </c>
    </row>
    <row r="3022" spans="1:6" x14ac:dyDescent="0.2">
      <c r="A3022">
        <v>838</v>
      </c>
      <c r="B3022" t="s">
        <v>197</v>
      </c>
      <c r="C3022" t="s">
        <v>117</v>
      </c>
      <c r="D3022">
        <v>6</v>
      </c>
      <c r="E3022">
        <v>7.4699999999999989E-2</v>
      </c>
      <c r="F3022">
        <f t="shared" si="47"/>
        <v>0.44819999999999993</v>
      </c>
    </row>
    <row r="3023" spans="1:6" x14ac:dyDescent="0.2">
      <c r="A3023">
        <v>838</v>
      </c>
      <c r="B3023" t="s">
        <v>198</v>
      </c>
      <c r="C3023" t="s">
        <v>199</v>
      </c>
      <c r="D3023">
        <v>6</v>
      </c>
      <c r="E3023">
        <v>0.66373439999999995</v>
      </c>
      <c r="F3023">
        <f t="shared" si="47"/>
        <v>3.9824063999999995</v>
      </c>
    </row>
    <row r="3024" spans="1:6" x14ac:dyDescent="0.2">
      <c r="A3024">
        <v>838</v>
      </c>
      <c r="B3024" t="s">
        <v>200</v>
      </c>
      <c r="C3024" t="s">
        <v>199</v>
      </c>
      <c r="D3024">
        <v>1</v>
      </c>
      <c r="E3024">
        <v>0.66373439999999995</v>
      </c>
      <c r="F3024">
        <f t="shared" si="47"/>
        <v>0.66373439999999995</v>
      </c>
    </row>
    <row r="3025" spans="1:6" x14ac:dyDescent="0.2">
      <c r="A3025">
        <v>838</v>
      </c>
      <c r="B3025" t="s">
        <v>201</v>
      </c>
      <c r="C3025" t="s">
        <v>76</v>
      </c>
      <c r="D3025">
        <v>3</v>
      </c>
      <c r="E3025">
        <v>0.22645055999999994</v>
      </c>
      <c r="F3025">
        <f t="shared" si="47"/>
        <v>0.67935167999999979</v>
      </c>
    </row>
    <row r="3026" spans="1:6" x14ac:dyDescent="0.2">
      <c r="A3026">
        <v>838</v>
      </c>
      <c r="B3026" t="s">
        <v>202</v>
      </c>
      <c r="C3026" t="s">
        <v>203</v>
      </c>
      <c r="D3026">
        <v>1</v>
      </c>
      <c r="E3026">
        <v>12.45</v>
      </c>
      <c r="F3026">
        <f t="shared" si="47"/>
        <v>12.45</v>
      </c>
    </row>
    <row r="3027" spans="1:6" x14ac:dyDescent="0.2">
      <c r="A3027">
        <v>838</v>
      </c>
      <c r="B3027" t="s">
        <v>204</v>
      </c>
      <c r="C3027" t="s">
        <v>205</v>
      </c>
      <c r="D3027">
        <v>1</v>
      </c>
      <c r="E3027">
        <v>103.72216512</v>
      </c>
      <c r="F3027">
        <f t="shared" si="47"/>
        <v>103.72216512</v>
      </c>
    </row>
    <row r="3028" spans="1:6" x14ac:dyDescent="0.2">
      <c r="A3028">
        <v>838</v>
      </c>
      <c r="B3028" t="s">
        <v>116</v>
      </c>
      <c r="C3028" t="s">
        <v>117</v>
      </c>
      <c r="D3028">
        <v>3</v>
      </c>
      <c r="E3028">
        <v>0.25729999999999997</v>
      </c>
      <c r="F3028">
        <f t="shared" si="47"/>
        <v>0.77189999999999992</v>
      </c>
    </row>
    <row r="3029" spans="1:6" x14ac:dyDescent="0.2">
      <c r="A3029">
        <v>838</v>
      </c>
      <c r="B3029" t="s">
        <v>78</v>
      </c>
      <c r="C3029" t="s">
        <v>76</v>
      </c>
      <c r="D3029">
        <v>2</v>
      </c>
      <c r="E3029">
        <v>0.71839487999999996</v>
      </c>
      <c r="F3029">
        <f t="shared" si="47"/>
        <v>1.4367897599999999</v>
      </c>
    </row>
    <row r="3030" spans="1:6" x14ac:dyDescent="0.2">
      <c r="A3030">
        <v>838</v>
      </c>
      <c r="B3030" t="s">
        <v>207</v>
      </c>
      <c r="C3030" t="s">
        <v>208</v>
      </c>
      <c r="D3030">
        <v>1</v>
      </c>
      <c r="E3030">
        <v>4.6314000000000002</v>
      </c>
      <c r="F3030">
        <f t="shared" si="47"/>
        <v>4.6314000000000002</v>
      </c>
    </row>
    <row r="3031" spans="1:6" x14ac:dyDescent="0.2">
      <c r="A3031">
        <v>838</v>
      </c>
      <c r="B3031" t="s">
        <v>209</v>
      </c>
      <c r="C3031" t="s">
        <v>210</v>
      </c>
      <c r="D3031">
        <v>5</v>
      </c>
      <c r="E3031">
        <v>39.550761599999994</v>
      </c>
      <c r="F3031">
        <f t="shared" si="47"/>
        <v>197.75380799999996</v>
      </c>
    </row>
    <row r="3032" spans="1:6" x14ac:dyDescent="0.2">
      <c r="A3032">
        <v>838</v>
      </c>
      <c r="B3032" t="s">
        <v>211</v>
      </c>
      <c r="C3032" t="s">
        <v>203</v>
      </c>
      <c r="D3032">
        <v>1</v>
      </c>
      <c r="E3032">
        <v>25.754899999999999</v>
      </c>
      <c r="F3032">
        <f t="shared" si="47"/>
        <v>25.754899999999999</v>
      </c>
    </row>
    <row r="3033" spans="1:6" x14ac:dyDescent="0.2">
      <c r="A3033">
        <v>838</v>
      </c>
      <c r="B3033" t="s">
        <v>212</v>
      </c>
      <c r="C3033" t="s">
        <v>213</v>
      </c>
      <c r="D3033">
        <v>1</v>
      </c>
      <c r="E3033">
        <v>272.92059999999998</v>
      </c>
      <c r="F3033">
        <f t="shared" si="47"/>
        <v>272.92059999999998</v>
      </c>
    </row>
    <row r="3034" spans="1:6" x14ac:dyDescent="0.2">
      <c r="A3034">
        <v>838</v>
      </c>
      <c r="B3034" t="s">
        <v>135</v>
      </c>
      <c r="C3034" t="s">
        <v>136</v>
      </c>
      <c r="D3034">
        <v>1</v>
      </c>
      <c r="E3034">
        <v>395.04690624</v>
      </c>
      <c r="F3034">
        <f t="shared" ref="F3034:F3078" si="48">D3034*E3034</f>
        <v>395.04690624</v>
      </c>
    </row>
    <row r="3035" spans="1:6" x14ac:dyDescent="0.2">
      <c r="A3035">
        <v>838</v>
      </c>
      <c r="B3035" t="s">
        <v>137</v>
      </c>
      <c r="C3035" t="s">
        <v>138</v>
      </c>
      <c r="D3035">
        <v>5</v>
      </c>
      <c r="E3035">
        <v>252.98431871999998</v>
      </c>
      <c r="F3035">
        <f t="shared" si="48"/>
        <v>1264.9215935999998</v>
      </c>
    </row>
    <row r="3036" spans="1:6" x14ac:dyDescent="0.2">
      <c r="A3036">
        <v>838</v>
      </c>
      <c r="B3036" t="s">
        <v>139</v>
      </c>
      <c r="C3036" t="s">
        <v>140</v>
      </c>
      <c r="D3036">
        <v>5</v>
      </c>
      <c r="E3036">
        <v>2054.4575</v>
      </c>
      <c r="F3036">
        <f t="shared" si="48"/>
        <v>10272.2875</v>
      </c>
    </row>
    <row r="3037" spans="1:6" x14ac:dyDescent="0.2">
      <c r="A3037">
        <v>838</v>
      </c>
      <c r="B3037" t="s">
        <v>116</v>
      </c>
      <c r="C3037" t="s">
        <v>117</v>
      </c>
      <c r="D3037">
        <v>1</v>
      </c>
      <c r="E3037">
        <v>0.25729999999999997</v>
      </c>
      <c r="F3037">
        <f t="shared" si="48"/>
        <v>0.25729999999999997</v>
      </c>
    </row>
    <row r="3038" spans="1:6" x14ac:dyDescent="0.2">
      <c r="A3038">
        <v>838</v>
      </c>
      <c r="B3038" t="s">
        <v>118</v>
      </c>
      <c r="C3038" t="s">
        <v>119</v>
      </c>
      <c r="D3038">
        <v>1</v>
      </c>
      <c r="E3038">
        <v>0.83</v>
      </c>
      <c r="F3038">
        <f t="shared" si="48"/>
        <v>0.83</v>
      </c>
    </row>
    <row r="3039" spans="1:6" x14ac:dyDescent="0.2">
      <c r="A3039">
        <v>838</v>
      </c>
      <c r="B3039" t="s">
        <v>120</v>
      </c>
      <c r="C3039" t="s">
        <v>117</v>
      </c>
      <c r="D3039">
        <v>4</v>
      </c>
      <c r="E3039">
        <v>1.5603999999999998</v>
      </c>
      <c r="F3039">
        <f t="shared" si="48"/>
        <v>6.2415999999999991</v>
      </c>
    </row>
    <row r="3040" spans="1:6" x14ac:dyDescent="0.2">
      <c r="A3040">
        <v>838</v>
      </c>
      <c r="B3040" t="s">
        <v>121</v>
      </c>
      <c r="C3040" t="s">
        <v>117</v>
      </c>
      <c r="D3040">
        <v>3</v>
      </c>
      <c r="E3040">
        <v>270.83729999999997</v>
      </c>
      <c r="F3040">
        <f t="shared" si="48"/>
        <v>812.51189999999997</v>
      </c>
    </row>
    <row r="3041" spans="1:6" x14ac:dyDescent="0.2">
      <c r="A3041">
        <v>838</v>
      </c>
      <c r="B3041" t="s">
        <v>122</v>
      </c>
      <c r="C3041" t="s">
        <v>76</v>
      </c>
      <c r="D3041">
        <v>1</v>
      </c>
      <c r="E3041">
        <v>14.915099999999999</v>
      </c>
      <c r="F3041">
        <f t="shared" si="48"/>
        <v>14.915099999999999</v>
      </c>
    </row>
    <row r="3042" spans="1:6" x14ac:dyDescent="0.2">
      <c r="A3042">
        <v>838</v>
      </c>
      <c r="B3042" t="s">
        <v>123</v>
      </c>
      <c r="C3042" t="s">
        <v>119</v>
      </c>
      <c r="D3042">
        <v>3</v>
      </c>
      <c r="E3042">
        <v>122.52459999999999</v>
      </c>
      <c r="F3042">
        <f t="shared" si="48"/>
        <v>367.57380000000001</v>
      </c>
    </row>
    <row r="3043" spans="1:6" x14ac:dyDescent="0.2">
      <c r="A3043">
        <v>838</v>
      </c>
      <c r="B3043" t="s">
        <v>124</v>
      </c>
      <c r="C3043" t="s">
        <v>119</v>
      </c>
      <c r="D3043">
        <v>2</v>
      </c>
      <c r="E3043">
        <v>65.877099999999999</v>
      </c>
      <c r="F3043">
        <f t="shared" si="48"/>
        <v>131.7542</v>
      </c>
    </row>
    <row r="3044" spans="1:6" x14ac:dyDescent="0.2">
      <c r="A3044">
        <v>838</v>
      </c>
      <c r="B3044" t="s">
        <v>125</v>
      </c>
      <c r="C3044" t="s">
        <v>117</v>
      </c>
      <c r="D3044">
        <v>4</v>
      </c>
      <c r="E3044">
        <v>45.957099999999997</v>
      </c>
      <c r="F3044">
        <f t="shared" si="48"/>
        <v>183.82839999999999</v>
      </c>
    </row>
    <row r="3045" spans="1:6" x14ac:dyDescent="0.2">
      <c r="A3045">
        <v>838</v>
      </c>
      <c r="B3045" t="s">
        <v>126</v>
      </c>
      <c r="C3045" t="s">
        <v>127</v>
      </c>
      <c r="D3045">
        <v>1</v>
      </c>
      <c r="E3045">
        <v>411.49739999999997</v>
      </c>
      <c r="F3045">
        <f t="shared" si="48"/>
        <v>411.49739999999997</v>
      </c>
    </row>
    <row r="3046" spans="1:6" x14ac:dyDescent="0.2">
      <c r="A3046">
        <v>838</v>
      </c>
      <c r="B3046" t="s">
        <v>129</v>
      </c>
      <c r="C3046" t="s">
        <v>130</v>
      </c>
      <c r="D3046">
        <v>118</v>
      </c>
      <c r="E3046">
        <v>6724.2781999999997</v>
      </c>
      <c r="F3046">
        <f t="shared" si="48"/>
        <v>793464.82759999996</v>
      </c>
    </row>
    <row r="3047" spans="1:6" x14ac:dyDescent="0.2">
      <c r="A3047">
        <v>838</v>
      </c>
      <c r="B3047" t="s">
        <v>132</v>
      </c>
      <c r="C3047" t="s">
        <v>133</v>
      </c>
      <c r="D3047">
        <v>1</v>
      </c>
      <c r="E3047">
        <v>1168.0257999999999</v>
      </c>
      <c r="F3047">
        <f t="shared" si="48"/>
        <v>1168.0257999999999</v>
      </c>
    </row>
    <row r="3048" spans="1:6" x14ac:dyDescent="0.2">
      <c r="A3048">
        <v>838</v>
      </c>
      <c r="B3048" t="s">
        <v>110</v>
      </c>
      <c r="C3048" t="s">
        <v>111</v>
      </c>
      <c r="D3048">
        <v>1</v>
      </c>
      <c r="E3048">
        <v>119.83539999999999</v>
      </c>
      <c r="F3048">
        <f t="shared" si="48"/>
        <v>119.83539999999999</v>
      </c>
    </row>
    <row r="3049" spans="1:6" x14ac:dyDescent="0.2">
      <c r="A3049">
        <v>838</v>
      </c>
      <c r="B3049" t="s">
        <v>112</v>
      </c>
      <c r="C3049" t="s">
        <v>113</v>
      </c>
      <c r="D3049">
        <v>3</v>
      </c>
      <c r="E3049">
        <v>97.646153846153851</v>
      </c>
      <c r="F3049">
        <f t="shared" si="48"/>
        <v>292.93846153846152</v>
      </c>
    </row>
    <row r="3050" spans="1:6" x14ac:dyDescent="0.2">
      <c r="A3050">
        <v>838</v>
      </c>
      <c r="B3050" t="s">
        <v>110</v>
      </c>
      <c r="C3050" t="s">
        <v>111</v>
      </c>
      <c r="D3050">
        <v>1</v>
      </c>
      <c r="E3050">
        <v>119.83539999999999</v>
      </c>
      <c r="F3050">
        <f t="shared" si="48"/>
        <v>119.83539999999999</v>
      </c>
    </row>
    <row r="3051" spans="1:6" x14ac:dyDescent="0.2">
      <c r="A3051">
        <v>838</v>
      </c>
      <c r="B3051" t="s">
        <v>112</v>
      </c>
      <c r="C3051" t="s">
        <v>113</v>
      </c>
      <c r="D3051">
        <v>2</v>
      </c>
      <c r="E3051">
        <v>97.646153846153851</v>
      </c>
      <c r="F3051">
        <f t="shared" si="48"/>
        <v>195.2923076923077</v>
      </c>
    </row>
    <row r="3052" spans="1:6" x14ac:dyDescent="0.2">
      <c r="A3052">
        <v>838</v>
      </c>
      <c r="B3052" t="s">
        <v>97</v>
      </c>
      <c r="C3052" t="s">
        <v>98</v>
      </c>
      <c r="D3052">
        <v>3</v>
      </c>
      <c r="E3052">
        <v>189.87909999999999</v>
      </c>
      <c r="F3052">
        <f t="shared" si="48"/>
        <v>569.63729999999998</v>
      </c>
    </row>
    <row r="3053" spans="1:6" x14ac:dyDescent="0.2">
      <c r="A3053">
        <v>838</v>
      </c>
      <c r="B3053" t="s">
        <v>99</v>
      </c>
      <c r="C3053" t="s">
        <v>100</v>
      </c>
      <c r="D3053">
        <v>6</v>
      </c>
      <c r="E3053">
        <v>1287.1384615384613</v>
      </c>
      <c r="F3053">
        <f t="shared" si="48"/>
        <v>7722.8307692307681</v>
      </c>
    </row>
    <row r="3054" spans="1:6" x14ac:dyDescent="0.2">
      <c r="A3054">
        <v>838</v>
      </c>
      <c r="B3054" t="s">
        <v>101</v>
      </c>
      <c r="C3054" t="s">
        <v>102</v>
      </c>
      <c r="D3054">
        <v>6</v>
      </c>
      <c r="E3054">
        <v>1363.0371551999999</v>
      </c>
      <c r="F3054">
        <f t="shared" si="48"/>
        <v>8178.2229311999999</v>
      </c>
    </row>
    <row r="3055" spans="1:6" x14ac:dyDescent="0.2">
      <c r="A3055">
        <v>838</v>
      </c>
      <c r="B3055" t="s">
        <v>103</v>
      </c>
      <c r="C3055" t="s">
        <v>104</v>
      </c>
      <c r="D3055">
        <v>1</v>
      </c>
      <c r="E3055">
        <v>423.58219999999994</v>
      </c>
      <c r="F3055">
        <f t="shared" si="48"/>
        <v>423.58219999999994</v>
      </c>
    </row>
    <row r="3056" spans="1:6" x14ac:dyDescent="0.2">
      <c r="A3056">
        <v>838</v>
      </c>
      <c r="B3056" t="s">
        <v>105</v>
      </c>
      <c r="C3056" t="s">
        <v>106</v>
      </c>
      <c r="D3056">
        <v>3</v>
      </c>
      <c r="E3056">
        <v>36.470199999999998</v>
      </c>
      <c r="F3056">
        <f t="shared" si="48"/>
        <v>109.41059999999999</v>
      </c>
    </row>
    <row r="3057" spans="1:6" x14ac:dyDescent="0.2">
      <c r="A3057">
        <v>838</v>
      </c>
      <c r="B3057" t="s">
        <v>107</v>
      </c>
      <c r="C3057" t="s">
        <v>108</v>
      </c>
      <c r="D3057">
        <v>1</v>
      </c>
      <c r="E3057">
        <v>61.492307692307698</v>
      </c>
      <c r="F3057">
        <f t="shared" si="48"/>
        <v>61.492307692307698</v>
      </c>
    </row>
    <row r="3058" spans="1:6" x14ac:dyDescent="0.2">
      <c r="A3058">
        <v>838</v>
      </c>
      <c r="B3058" t="s">
        <v>62</v>
      </c>
      <c r="C3058" t="s">
        <v>323</v>
      </c>
      <c r="D3058">
        <v>1</v>
      </c>
      <c r="E3058">
        <v>0.34859999999999997</v>
      </c>
      <c r="F3058">
        <f t="shared" si="48"/>
        <v>0.34859999999999997</v>
      </c>
    </row>
    <row r="3059" spans="1:6" x14ac:dyDescent="0.2">
      <c r="A3059">
        <v>838</v>
      </c>
      <c r="B3059" t="s">
        <v>324</v>
      </c>
      <c r="C3059" t="s">
        <v>273</v>
      </c>
      <c r="D3059">
        <v>3</v>
      </c>
      <c r="E3059">
        <v>0.9544999999999999</v>
      </c>
      <c r="F3059">
        <f t="shared" si="48"/>
        <v>2.8634999999999997</v>
      </c>
    </row>
    <row r="3060" spans="1:6" x14ac:dyDescent="0.2">
      <c r="A3060">
        <v>838</v>
      </c>
      <c r="B3060" t="s">
        <v>325</v>
      </c>
      <c r="C3060" t="s">
        <v>273</v>
      </c>
      <c r="D3060">
        <v>2</v>
      </c>
      <c r="E3060">
        <v>3.3692307692307697</v>
      </c>
      <c r="F3060">
        <f t="shared" si="48"/>
        <v>6.7384615384615394</v>
      </c>
    </row>
    <row r="3061" spans="1:6" x14ac:dyDescent="0.2">
      <c r="A3061">
        <v>838</v>
      </c>
      <c r="B3061" t="s">
        <v>154</v>
      </c>
      <c r="C3061" t="s">
        <v>278</v>
      </c>
      <c r="D3061">
        <v>1</v>
      </c>
      <c r="E3061">
        <v>4.3657999999999992</v>
      </c>
      <c r="F3061">
        <f t="shared" si="48"/>
        <v>4.3657999999999992</v>
      </c>
    </row>
    <row r="3062" spans="1:6" x14ac:dyDescent="0.2">
      <c r="A3062">
        <v>838</v>
      </c>
      <c r="B3062" t="s">
        <v>290</v>
      </c>
      <c r="C3062" t="s">
        <v>278</v>
      </c>
      <c r="D3062">
        <v>5</v>
      </c>
      <c r="E3062">
        <v>43.751809919999999</v>
      </c>
      <c r="F3062">
        <f t="shared" si="48"/>
        <v>218.7590496</v>
      </c>
    </row>
    <row r="3063" spans="1:6" x14ac:dyDescent="0.2">
      <c r="A3063">
        <v>838</v>
      </c>
      <c r="B3063" t="s">
        <v>288</v>
      </c>
      <c r="C3063" t="s">
        <v>289</v>
      </c>
      <c r="D3063">
        <v>1</v>
      </c>
      <c r="E3063">
        <v>7.3401215999999998</v>
      </c>
      <c r="F3063">
        <f t="shared" si="48"/>
        <v>7.3401215999999998</v>
      </c>
    </row>
    <row r="3064" spans="1:6" x14ac:dyDescent="0.2">
      <c r="A3064">
        <v>838</v>
      </c>
      <c r="B3064" t="s">
        <v>287</v>
      </c>
      <c r="C3064" t="s">
        <v>273</v>
      </c>
      <c r="D3064">
        <v>1</v>
      </c>
      <c r="E3064">
        <v>100.66898687999999</v>
      </c>
      <c r="F3064">
        <f t="shared" si="48"/>
        <v>100.66898687999999</v>
      </c>
    </row>
    <row r="3065" spans="1:6" x14ac:dyDescent="0.2">
      <c r="A3065">
        <v>838</v>
      </c>
      <c r="B3065" t="s">
        <v>285</v>
      </c>
      <c r="C3065" t="s">
        <v>286</v>
      </c>
      <c r="D3065">
        <v>1</v>
      </c>
      <c r="E3065">
        <v>58.189985279999981</v>
      </c>
      <c r="F3065">
        <f t="shared" si="48"/>
        <v>58.189985279999981</v>
      </c>
    </row>
    <row r="3066" spans="1:6" x14ac:dyDescent="0.2">
      <c r="A3066">
        <v>838</v>
      </c>
      <c r="B3066" t="s">
        <v>291</v>
      </c>
      <c r="C3066" t="s">
        <v>278</v>
      </c>
      <c r="D3066">
        <v>5</v>
      </c>
      <c r="E3066">
        <v>24.136399999999998</v>
      </c>
      <c r="F3066">
        <f t="shared" si="48"/>
        <v>120.68199999999999</v>
      </c>
    </row>
    <row r="3067" spans="1:6" x14ac:dyDescent="0.2">
      <c r="A3067">
        <v>838</v>
      </c>
      <c r="B3067" t="s">
        <v>277</v>
      </c>
      <c r="C3067" t="s">
        <v>278</v>
      </c>
      <c r="D3067">
        <v>5</v>
      </c>
      <c r="E3067">
        <v>41.026594559999999</v>
      </c>
      <c r="F3067">
        <f t="shared" si="48"/>
        <v>205.1329728</v>
      </c>
    </row>
    <row r="3068" spans="1:6" x14ac:dyDescent="0.2">
      <c r="A3068">
        <v>838</v>
      </c>
      <c r="B3068" t="s">
        <v>326</v>
      </c>
      <c r="C3068" t="s">
        <v>278</v>
      </c>
      <c r="D3068">
        <v>1</v>
      </c>
      <c r="E3068">
        <v>3.97459776</v>
      </c>
      <c r="F3068">
        <f t="shared" si="48"/>
        <v>3.97459776</v>
      </c>
    </row>
    <row r="3069" spans="1:6" x14ac:dyDescent="0.2">
      <c r="A3069">
        <v>838</v>
      </c>
      <c r="B3069" t="s">
        <v>274</v>
      </c>
      <c r="C3069" t="s">
        <v>273</v>
      </c>
      <c r="D3069">
        <v>1</v>
      </c>
      <c r="E3069">
        <v>149.23091903999997</v>
      </c>
      <c r="F3069">
        <f t="shared" si="48"/>
        <v>149.23091903999997</v>
      </c>
    </row>
    <row r="3070" spans="1:6" x14ac:dyDescent="0.2">
      <c r="A3070">
        <v>838</v>
      </c>
      <c r="B3070" t="s">
        <v>327</v>
      </c>
      <c r="C3070" t="s">
        <v>309</v>
      </c>
      <c r="D3070">
        <v>4</v>
      </c>
      <c r="E3070">
        <v>1532.5236863999999</v>
      </c>
      <c r="F3070">
        <f t="shared" si="48"/>
        <v>6130.0947455999994</v>
      </c>
    </row>
    <row r="3071" spans="1:6" x14ac:dyDescent="0.2">
      <c r="A3071">
        <v>838</v>
      </c>
      <c r="B3071" t="s">
        <v>328</v>
      </c>
      <c r="C3071" t="s">
        <v>329</v>
      </c>
      <c r="D3071">
        <v>3</v>
      </c>
      <c r="E3071">
        <v>155.62307692307695</v>
      </c>
      <c r="F3071">
        <f t="shared" si="48"/>
        <v>466.86923076923085</v>
      </c>
    </row>
    <row r="3072" spans="1:6" x14ac:dyDescent="0.2">
      <c r="A3072">
        <v>838</v>
      </c>
      <c r="B3072" t="s">
        <v>330</v>
      </c>
      <c r="C3072" t="s">
        <v>331</v>
      </c>
      <c r="D3072">
        <v>1</v>
      </c>
      <c r="E3072">
        <v>710.44615384615395</v>
      </c>
      <c r="F3072">
        <f t="shared" si="48"/>
        <v>710.44615384615395</v>
      </c>
    </row>
    <row r="3073" spans="1:6" x14ac:dyDescent="0.2">
      <c r="A3073">
        <v>838</v>
      </c>
      <c r="B3073" t="s">
        <v>332</v>
      </c>
      <c r="C3073" t="s">
        <v>333</v>
      </c>
      <c r="D3073">
        <v>3</v>
      </c>
      <c r="E3073">
        <v>167.55384615384617</v>
      </c>
      <c r="F3073">
        <f t="shared" si="48"/>
        <v>502.6615384615385</v>
      </c>
    </row>
    <row r="3074" spans="1:6" x14ac:dyDescent="0.2">
      <c r="A3074">
        <v>838</v>
      </c>
      <c r="B3074" t="s">
        <v>272</v>
      </c>
      <c r="C3074" t="s">
        <v>273</v>
      </c>
      <c r="D3074">
        <v>2</v>
      </c>
      <c r="E3074">
        <v>170.11122239999997</v>
      </c>
      <c r="F3074">
        <f t="shared" si="48"/>
        <v>340.22244479999995</v>
      </c>
    </row>
    <row r="3075" spans="1:6" x14ac:dyDescent="0.2">
      <c r="A3075">
        <v>838</v>
      </c>
      <c r="B3075" t="s">
        <v>275</v>
      </c>
      <c r="C3075" t="s">
        <v>276</v>
      </c>
      <c r="D3075">
        <v>4</v>
      </c>
      <c r="E3075">
        <v>9.0814483199999998</v>
      </c>
      <c r="F3075">
        <f t="shared" si="48"/>
        <v>36.325793279999999</v>
      </c>
    </row>
    <row r="3076" spans="1:6" x14ac:dyDescent="0.2">
      <c r="A3076">
        <v>838</v>
      </c>
      <c r="B3076" t="s">
        <v>334</v>
      </c>
      <c r="C3076" t="s">
        <v>329</v>
      </c>
      <c r="D3076">
        <v>1</v>
      </c>
      <c r="E3076">
        <v>149.03076923076924</v>
      </c>
      <c r="F3076">
        <f t="shared" si="48"/>
        <v>149.03076923076924</v>
      </c>
    </row>
    <row r="3077" spans="1:6" x14ac:dyDescent="0.2">
      <c r="A3077">
        <v>838</v>
      </c>
      <c r="B3077" t="s">
        <v>335</v>
      </c>
      <c r="C3077" t="s">
        <v>331</v>
      </c>
      <c r="D3077">
        <v>118</v>
      </c>
      <c r="E3077">
        <v>703.1</v>
      </c>
      <c r="F3077">
        <f t="shared" si="48"/>
        <v>82965.8</v>
      </c>
    </row>
    <row r="3078" spans="1:6" x14ac:dyDescent="0.2">
      <c r="A3078">
        <v>838</v>
      </c>
      <c r="B3078" t="s">
        <v>336</v>
      </c>
      <c r="C3078" t="s">
        <v>333</v>
      </c>
      <c r="D3078">
        <v>1</v>
      </c>
      <c r="E3078">
        <v>288.42307692307691</v>
      </c>
      <c r="F3078">
        <f t="shared" si="48"/>
        <v>288.42307692307691</v>
      </c>
    </row>
    <row r="3079" spans="1:6" x14ac:dyDescent="0.2">
      <c r="A3079">
        <v>838</v>
      </c>
      <c r="B3079" t="s">
        <v>337</v>
      </c>
      <c r="C3079" t="s">
        <v>297</v>
      </c>
      <c r="D3079">
        <v>1</v>
      </c>
      <c r="E3079">
        <v>11.761099999999999</v>
      </c>
      <c r="F3079">
        <f t="shared" ref="F3079:F3142" si="49">D3079*E3079</f>
        <v>11.761099999999999</v>
      </c>
    </row>
    <row r="3080" spans="1:6" x14ac:dyDescent="0.2">
      <c r="A3080">
        <v>838</v>
      </c>
      <c r="B3080" t="s">
        <v>338</v>
      </c>
      <c r="C3080" t="s">
        <v>297</v>
      </c>
      <c r="D3080">
        <v>3</v>
      </c>
      <c r="E3080">
        <v>11.712959999999999</v>
      </c>
      <c r="F3080">
        <f t="shared" si="49"/>
        <v>35.13888</v>
      </c>
    </row>
    <row r="3081" spans="1:6" x14ac:dyDescent="0.2">
      <c r="A3081">
        <v>838</v>
      </c>
      <c r="B3081" t="s">
        <v>339</v>
      </c>
      <c r="C3081" t="s">
        <v>297</v>
      </c>
      <c r="D3081">
        <v>1</v>
      </c>
      <c r="E3081">
        <v>20.279038079999996</v>
      </c>
      <c r="F3081">
        <f t="shared" si="49"/>
        <v>20.279038079999996</v>
      </c>
    </row>
    <row r="3082" spans="1:6" x14ac:dyDescent="0.2">
      <c r="A3082">
        <v>838</v>
      </c>
      <c r="B3082" t="s">
        <v>340</v>
      </c>
      <c r="C3082" t="s">
        <v>309</v>
      </c>
      <c r="D3082">
        <v>2</v>
      </c>
      <c r="E3082">
        <v>1536.3343027199999</v>
      </c>
      <c r="F3082">
        <f t="shared" si="49"/>
        <v>3072.6686054399997</v>
      </c>
    </row>
    <row r="3083" spans="1:6" x14ac:dyDescent="0.2">
      <c r="A3083">
        <v>838</v>
      </c>
      <c r="B3083" t="s">
        <v>341</v>
      </c>
      <c r="C3083" t="s">
        <v>342</v>
      </c>
      <c r="D3083">
        <v>3</v>
      </c>
      <c r="E3083">
        <v>307.22449999999998</v>
      </c>
      <c r="F3083">
        <f t="shared" si="49"/>
        <v>921.67349999999988</v>
      </c>
    </row>
    <row r="3084" spans="1:6" x14ac:dyDescent="0.2">
      <c r="A3084">
        <v>838</v>
      </c>
      <c r="B3084" t="s">
        <v>284</v>
      </c>
      <c r="C3084" t="s">
        <v>273</v>
      </c>
      <c r="D3084">
        <v>6</v>
      </c>
      <c r="E3084">
        <v>15.547002240000001</v>
      </c>
      <c r="F3084">
        <f t="shared" si="49"/>
        <v>93.282013440000014</v>
      </c>
    </row>
    <row r="3085" spans="1:6" x14ac:dyDescent="0.2">
      <c r="A3085">
        <v>838</v>
      </c>
      <c r="B3085" t="s">
        <v>283</v>
      </c>
      <c r="C3085" t="s">
        <v>278</v>
      </c>
      <c r="D3085">
        <v>6</v>
      </c>
      <c r="E3085">
        <v>101.76219647999997</v>
      </c>
      <c r="F3085">
        <f t="shared" si="49"/>
        <v>610.57317887999989</v>
      </c>
    </row>
    <row r="3086" spans="1:6" x14ac:dyDescent="0.2">
      <c r="A3086">
        <v>838</v>
      </c>
      <c r="B3086" t="s">
        <v>281</v>
      </c>
      <c r="C3086" t="s">
        <v>282</v>
      </c>
      <c r="D3086">
        <v>1</v>
      </c>
      <c r="E3086">
        <v>43.369186559999996</v>
      </c>
      <c r="F3086">
        <f t="shared" si="49"/>
        <v>43.369186559999996</v>
      </c>
    </row>
    <row r="3087" spans="1:6" x14ac:dyDescent="0.2">
      <c r="A3087">
        <v>838</v>
      </c>
      <c r="B3087" t="s">
        <v>279</v>
      </c>
      <c r="C3087" t="s">
        <v>280</v>
      </c>
      <c r="D3087">
        <v>3</v>
      </c>
      <c r="E3087">
        <v>36.786503039999999</v>
      </c>
      <c r="F3087">
        <f t="shared" si="49"/>
        <v>110.35950912</v>
      </c>
    </row>
    <row r="3088" spans="1:6" x14ac:dyDescent="0.2">
      <c r="A3088">
        <v>838</v>
      </c>
      <c r="B3088" t="s">
        <v>343</v>
      </c>
      <c r="C3088" t="s">
        <v>282</v>
      </c>
      <c r="D3088">
        <v>1</v>
      </c>
      <c r="E3088">
        <v>16.807499999999997</v>
      </c>
      <c r="F3088">
        <f t="shared" si="49"/>
        <v>16.807499999999997</v>
      </c>
    </row>
    <row r="3089" spans="1:6" x14ac:dyDescent="0.2">
      <c r="A3089">
        <v>838</v>
      </c>
      <c r="B3089" t="s">
        <v>344</v>
      </c>
      <c r="C3089" t="s">
        <v>282</v>
      </c>
      <c r="D3089">
        <v>1</v>
      </c>
      <c r="E3089">
        <v>12.767126399999999</v>
      </c>
      <c r="F3089">
        <f t="shared" si="49"/>
        <v>12.767126399999999</v>
      </c>
    </row>
    <row r="3090" spans="1:6" x14ac:dyDescent="0.2">
      <c r="A3090">
        <v>838</v>
      </c>
      <c r="B3090" t="s">
        <v>270</v>
      </c>
      <c r="C3090" t="s">
        <v>271</v>
      </c>
      <c r="D3090">
        <v>3</v>
      </c>
      <c r="E3090">
        <v>3027.0973823999993</v>
      </c>
      <c r="F3090">
        <f t="shared" si="49"/>
        <v>9081.292147199998</v>
      </c>
    </row>
    <row r="3091" spans="1:6" x14ac:dyDescent="0.2">
      <c r="A3091">
        <v>838</v>
      </c>
      <c r="B3091" t="s">
        <v>272</v>
      </c>
      <c r="C3091" t="s">
        <v>273</v>
      </c>
      <c r="D3091">
        <v>2</v>
      </c>
      <c r="E3091">
        <v>170.11122239999997</v>
      </c>
      <c r="F3091">
        <f t="shared" si="49"/>
        <v>340.22244479999995</v>
      </c>
    </row>
    <row r="3092" spans="1:6" x14ac:dyDescent="0.2">
      <c r="A3092">
        <v>838</v>
      </c>
      <c r="B3092" t="s">
        <v>274</v>
      </c>
      <c r="C3092" t="s">
        <v>273</v>
      </c>
      <c r="D3092">
        <v>1</v>
      </c>
      <c r="E3092">
        <v>149.23091903999997</v>
      </c>
      <c r="F3092">
        <f t="shared" si="49"/>
        <v>149.23091903999997</v>
      </c>
    </row>
    <row r="3093" spans="1:6" x14ac:dyDescent="0.2">
      <c r="A3093">
        <v>838</v>
      </c>
      <c r="B3093" t="s">
        <v>275</v>
      </c>
      <c r="C3093" t="s">
        <v>276</v>
      </c>
      <c r="D3093">
        <v>5</v>
      </c>
      <c r="E3093">
        <v>9.0814483199999998</v>
      </c>
      <c r="F3093">
        <f t="shared" si="49"/>
        <v>45.407241599999999</v>
      </c>
    </row>
    <row r="3094" spans="1:6" x14ac:dyDescent="0.2">
      <c r="A3094">
        <v>838</v>
      </c>
      <c r="B3094" t="s">
        <v>277</v>
      </c>
      <c r="C3094" t="s">
        <v>278</v>
      </c>
      <c r="D3094">
        <v>1</v>
      </c>
      <c r="E3094">
        <v>41.026594559999999</v>
      </c>
      <c r="F3094">
        <f t="shared" si="49"/>
        <v>41.026594559999999</v>
      </c>
    </row>
    <row r="3095" spans="1:6" x14ac:dyDescent="0.2">
      <c r="A3095">
        <v>838</v>
      </c>
      <c r="B3095" t="s">
        <v>279</v>
      </c>
      <c r="C3095" t="s">
        <v>280</v>
      </c>
      <c r="D3095">
        <v>1</v>
      </c>
      <c r="E3095">
        <v>36.786503039999999</v>
      </c>
      <c r="F3095">
        <f t="shared" si="49"/>
        <v>36.786503039999999</v>
      </c>
    </row>
    <row r="3096" spans="1:6" x14ac:dyDescent="0.2">
      <c r="A3096">
        <v>838</v>
      </c>
      <c r="B3096" t="s">
        <v>281</v>
      </c>
      <c r="C3096" t="s">
        <v>282</v>
      </c>
      <c r="D3096">
        <v>1</v>
      </c>
      <c r="E3096">
        <v>43.369186559999996</v>
      </c>
      <c r="F3096">
        <f t="shared" si="49"/>
        <v>43.369186559999996</v>
      </c>
    </row>
    <row r="3097" spans="1:6" x14ac:dyDescent="0.2">
      <c r="A3097">
        <v>838</v>
      </c>
      <c r="B3097" t="s">
        <v>283</v>
      </c>
      <c r="C3097" t="s">
        <v>278</v>
      </c>
      <c r="D3097">
        <v>5</v>
      </c>
      <c r="E3097">
        <v>101.76219647999997</v>
      </c>
      <c r="F3097">
        <f t="shared" si="49"/>
        <v>508.81098239999983</v>
      </c>
    </row>
    <row r="3098" spans="1:6" x14ac:dyDescent="0.2">
      <c r="A3098">
        <v>838</v>
      </c>
      <c r="B3098" t="s">
        <v>284</v>
      </c>
      <c r="C3098" t="s">
        <v>273</v>
      </c>
      <c r="D3098">
        <v>5</v>
      </c>
      <c r="E3098">
        <v>15.547002240000001</v>
      </c>
      <c r="F3098">
        <f t="shared" si="49"/>
        <v>77.735011200000002</v>
      </c>
    </row>
    <row r="3099" spans="1:6" x14ac:dyDescent="0.2">
      <c r="A3099">
        <v>838</v>
      </c>
      <c r="B3099" t="s">
        <v>285</v>
      </c>
      <c r="C3099" t="s">
        <v>286</v>
      </c>
      <c r="D3099">
        <v>1</v>
      </c>
      <c r="E3099">
        <v>58.189985279999981</v>
      </c>
      <c r="F3099">
        <f t="shared" si="49"/>
        <v>58.189985279999981</v>
      </c>
    </row>
    <row r="3100" spans="1:6" x14ac:dyDescent="0.2">
      <c r="A3100">
        <v>838</v>
      </c>
      <c r="B3100" t="s">
        <v>287</v>
      </c>
      <c r="C3100" t="s">
        <v>273</v>
      </c>
      <c r="D3100">
        <v>1</v>
      </c>
      <c r="E3100">
        <v>100.66898687999999</v>
      </c>
      <c r="F3100">
        <f t="shared" si="49"/>
        <v>100.66898687999999</v>
      </c>
    </row>
    <row r="3101" spans="1:6" x14ac:dyDescent="0.2">
      <c r="A3101">
        <v>838</v>
      </c>
      <c r="B3101" t="s">
        <v>288</v>
      </c>
      <c r="C3101" t="s">
        <v>289</v>
      </c>
      <c r="D3101">
        <v>4</v>
      </c>
      <c r="E3101">
        <v>7.3401215999999998</v>
      </c>
      <c r="F3101">
        <f t="shared" si="49"/>
        <v>29.360486399999999</v>
      </c>
    </row>
    <row r="3102" spans="1:6" x14ac:dyDescent="0.2">
      <c r="A3102">
        <v>838</v>
      </c>
      <c r="B3102" t="s">
        <v>290</v>
      </c>
      <c r="C3102" t="s">
        <v>278</v>
      </c>
      <c r="D3102">
        <v>3</v>
      </c>
      <c r="E3102">
        <v>43.751809919999999</v>
      </c>
      <c r="F3102">
        <f t="shared" si="49"/>
        <v>131.25542976</v>
      </c>
    </row>
    <row r="3103" spans="1:6" x14ac:dyDescent="0.2">
      <c r="A3103">
        <v>838</v>
      </c>
      <c r="B3103" t="s">
        <v>277</v>
      </c>
      <c r="C3103" t="s">
        <v>278</v>
      </c>
      <c r="D3103">
        <v>1</v>
      </c>
      <c r="E3103">
        <v>41.026594559999999</v>
      </c>
      <c r="F3103">
        <f t="shared" si="49"/>
        <v>41.026594559999999</v>
      </c>
    </row>
    <row r="3104" spans="1:6" x14ac:dyDescent="0.2">
      <c r="A3104">
        <v>838</v>
      </c>
      <c r="B3104" t="s">
        <v>291</v>
      </c>
      <c r="C3104" t="s">
        <v>278</v>
      </c>
      <c r="D3104">
        <v>3</v>
      </c>
      <c r="E3104">
        <v>24.136399999999998</v>
      </c>
      <c r="F3104">
        <f t="shared" si="49"/>
        <v>72.409199999999998</v>
      </c>
    </row>
    <row r="3105" spans="1:6" x14ac:dyDescent="0.2">
      <c r="A3105">
        <v>838</v>
      </c>
      <c r="B3105" t="s">
        <v>292</v>
      </c>
      <c r="C3105" t="s">
        <v>293</v>
      </c>
      <c r="D3105">
        <v>2</v>
      </c>
      <c r="E3105">
        <v>96.852699999999999</v>
      </c>
      <c r="F3105">
        <f t="shared" si="49"/>
        <v>193.7054</v>
      </c>
    </row>
    <row r="3106" spans="1:6" x14ac:dyDescent="0.2">
      <c r="A3106">
        <v>838</v>
      </c>
      <c r="B3106" t="s">
        <v>294</v>
      </c>
      <c r="C3106" t="s">
        <v>278</v>
      </c>
      <c r="D3106">
        <v>4</v>
      </c>
      <c r="E3106">
        <v>26.221413119999998</v>
      </c>
      <c r="F3106">
        <f t="shared" si="49"/>
        <v>104.88565247999999</v>
      </c>
    </row>
    <row r="3107" spans="1:6" x14ac:dyDescent="0.2">
      <c r="A3107">
        <v>838</v>
      </c>
      <c r="B3107" t="s">
        <v>295</v>
      </c>
      <c r="C3107" t="s">
        <v>273</v>
      </c>
      <c r="D3107">
        <v>1</v>
      </c>
      <c r="E3107">
        <v>54.886930560000003</v>
      </c>
      <c r="F3107">
        <f t="shared" si="49"/>
        <v>54.886930560000003</v>
      </c>
    </row>
    <row r="3108" spans="1:6" x14ac:dyDescent="0.2">
      <c r="A3108">
        <v>838</v>
      </c>
      <c r="B3108" t="s">
        <v>296</v>
      </c>
      <c r="C3108" t="s">
        <v>297</v>
      </c>
      <c r="D3108">
        <v>118</v>
      </c>
      <c r="E3108">
        <v>5.5028999999999995</v>
      </c>
      <c r="F3108">
        <f t="shared" si="49"/>
        <v>649.34219999999993</v>
      </c>
    </row>
    <row r="3109" spans="1:6" x14ac:dyDescent="0.2">
      <c r="A3109">
        <v>838</v>
      </c>
      <c r="B3109" t="s">
        <v>298</v>
      </c>
      <c r="C3109" t="s">
        <v>297</v>
      </c>
      <c r="D3109">
        <v>1</v>
      </c>
      <c r="E3109">
        <v>5.9344999999999999</v>
      </c>
      <c r="F3109">
        <f t="shared" si="49"/>
        <v>5.9344999999999999</v>
      </c>
    </row>
    <row r="3110" spans="1:6" x14ac:dyDescent="0.2">
      <c r="A3110">
        <v>838</v>
      </c>
      <c r="B3110" t="s">
        <v>299</v>
      </c>
      <c r="C3110" t="s">
        <v>297</v>
      </c>
      <c r="D3110">
        <v>1</v>
      </c>
      <c r="E3110">
        <v>4.3574999999999999</v>
      </c>
      <c r="F3110">
        <f t="shared" si="49"/>
        <v>4.3574999999999999</v>
      </c>
    </row>
    <row r="3111" spans="1:6" x14ac:dyDescent="0.2">
      <c r="A3111">
        <v>838</v>
      </c>
      <c r="B3111" t="s">
        <v>122</v>
      </c>
      <c r="C3111" t="s">
        <v>276</v>
      </c>
      <c r="D3111">
        <v>3</v>
      </c>
      <c r="E3111">
        <v>14.915099999999999</v>
      </c>
      <c r="F3111">
        <f t="shared" si="49"/>
        <v>44.7453</v>
      </c>
    </row>
    <row r="3112" spans="1:6" x14ac:dyDescent="0.2">
      <c r="A3112">
        <v>838</v>
      </c>
      <c r="B3112" t="s">
        <v>120</v>
      </c>
      <c r="C3112" t="s">
        <v>278</v>
      </c>
      <c r="D3112">
        <v>1</v>
      </c>
      <c r="E3112">
        <v>1.5603999999999998</v>
      </c>
      <c r="F3112">
        <f t="shared" si="49"/>
        <v>1.5603999999999998</v>
      </c>
    </row>
    <row r="3113" spans="1:6" x14ac:dyDescent="0.2">
      <c r="A3113">
        <v>838</v>
      </c>
      <c r="B3113" t="s">
        <v>300</v>
      </c>
      <c r="C3113" t="s">
        <v>273</v>
      </c>
      <c r="D3113">
        <v>2</v>
      </c>
      <c r="E3113">
        <v>60.589999999999996</v>
      </c>
      <c r="F3113">
        <f t="shared" si="49"/>
        <v>121.17999999999999</v>
      </c>
    </row>
    <row r="3114" spans="1:6" x14ac:dyDescent="0.2">
      <c r="A3114">
        <v>838</v>
      </c>
      <c r="B3114" t="s">
        <v>301</v>
      </c>
      <c r="C3114" t="s">
        <v>302</v>
      </c>
      <c r="D3114">
        <v>3</v>
      </c>
      <c r="E3114">
        <v>104.88565247999999</v>
      </c>
      <c r="F3114">
        <f t="shared" si="49"/>
        <v>314.65695743999999</v>
      </c>
    </row>
    <row r="3115" spans="1:6" x14ac:dyDescent="0.2">
      <c r="A3115">
        <v>838</v>
      </c>
      <c r="B3115" t="s">
        <v>303</v>
      </c>
      <c r="C3115" t="s">
        <v>304</v>
      </c>
      <c r="D3115">
        <v>6</v>
      </c>
      <c r="E3115">
        <v>683.94489999999996</v>
      </c>
      <c r="F3115">
        <f t="shared" si="49"/>
        <v>4103.6693999999998</v>
      </c>
    </row>
    <row r="3116" spans="1:6" x14ac:dyDescent="0.2">
      <c r="A3116">
        <v>838</v>
      </c>
      <c r="B3116" t="s">
        <v>305</v>
      </c>
      <c r="C3116" t="s">
        <v>273</v>
      </c>
      <c r="D3116">
        <v>6</v>
      </c>
      <c r="E3116">
        <v>71.189099999999996</v>
      </c>
      <c r="F3116">
        <f t="shared" si="49"/>
        <v>427.13459999999998</v>
      </c>
    </row>
    <row r="3117" spans="1:6" x14ac:dyDescent="0.2">
      <c r="A3117">
        <v>838</v>
      </c>
      <c r="B3117" t="s">
        <v>294</v>
      </c>
      <c r="C3117" t="s">
        <v>278</v>
      </c>
      <c r="D3117">
        <v>1</v>
      </c>
      <c r="E3117">
        <v>26.221413119999998</v>
      </c>
      <c r="F3117">
        <f t="shared" si="49"/>
        <v>26.221413119999998</v>
      </c>
    </row>
    <row r="3118" spans="1:6" x14ac:dyDescent="0.2">
      <c r="A3118">
        <v>838</v>
      </c>
      <c r="B3118" t="s">
        <v>306</v>
      </c>
      <c r="C3118" t="s">
        <v>273</v>
      </c>
      <c r="D3118">
        <v>3</v>
      </c>
      <c r="E3118">
        <v>99.575777279999997</v>
      </c>
      <c r="F3118">
        <f t="shared" si="49"/>
        <v>298.72733183999998</v>
      </c>
    </row>
    <row r="3119" spans="1:6" x14ac:dyDescent="0.2">
      <c r="A3119">
        <v>838</v>
      </c>
      <c r="B3119" t="s">
        <v>294</v>
      </c>
      <c r="C3119" t="s">
        <v>278</v>
      </c>
      <c r="D3119">
        <v>1</v>
      </c>
      <c r="E3119">
        <v>26.221413119999998</v>
      </c>
      <c r="F3119">
        <f t="shared" si="49"/>
        <v>26.221413119999998</v>
      </c>
    </row>
    <row r="3120" spans="1:6" x14ac:dyDescent="0.2">
      <c r="A3120">
        <v>838</v>
      </c>
      <c r="B3120" t="s">
        <v>306</v>
      </c>
      <c r="C3120" t="s">
        <v>273</v>
      </c>
      <c r="D3120">
        <v>1</v>
      </c>
      <c r="E3120">
        <v>99.575777279999997</v>
      </c>
      <c r="F3120">
        <f t="shared" si="49"/>
        <v>99.575777279999997</v>
      </c>
    </row>
    <row r="3121" spans="1:6" x14ac:dyDescent="0.2">
      <c r="A3121">
        <v>838</v>
      </c>
      <c r="B3121" t="s">
        <v>308</v>
      </c>
      <c r="C3121" t="s">
        <v>309</v>
      </c>
      <c r="D3121">
        <v>3</v>
      </c>
      <c r="E3121">
        <v>167.62307692307692</v>
      </c>
      <c r="F3121">
        <f t="shared" si="49"/>
        <v>502.86923076923074</v>
      </c>
    </row>
    <row r="3122" spans="1:6" x14ac:dyDescent="0.2">
      <c r="A3122">
        <v>838</v>
      </c>
      <c r="B3122" t="s">
        <v>310</v>
      </c>
      <c r="C3122" t="s">
        <v>273</v>
      </c>
      <c r="D3122">
        <v>2</v>
      </c>
      <c r="E3122">
        <v>0.33200000000000002</v>
      </c>
      <c r="F3122">
        <f t="shared" si="49"/>
        <v>0.66400000000000003</v>
      </c>
    </row>
    <row r="3123" spans="1:6" x14ac:dyDescent="0.2">
      <c r="A3123">
        <v>838</v>
      </c>
      <c r="B3123" t="s">
        <v>197</v>
      </c>
      <c r="C3123" t="s">
        <v>278</v>
      </c>
      <c r="D3123">
        <v>1</v>
      </c>
      <c r="E3123">
        <v>7.4699999999999989E-2</v>
      </c>
      <c r="F3123">
        <f t="shared" si="49"/>
        <v>7.4699999999999989E-2</v>
      </c>
    </row>
    <row r="3124" spans="1:6" x14ac:dyDescent="0.2">
      <c r="A3124">
        <v>838</v>
      </c>
      <c r="B3124" t="s">
        <v>311</v>
      </c>
      <c r="C3124" t="s">
        <v>273</v>
      </c>
      <c r="D3124">
        <v>5</v>
      </c>
      <c r="E3124">
        <v>1.5935999999999999</v>
      </c>
      <c r="F3124">
        <f t="shared" si="49"/>
        <v>7.968</v>
      </c>
    </row>
    <row r="3125" spans="1:6" x14ac:dyDescent="0.2">
      <c r="A3125">
        <v>838</v>
      </c>
      <c r="B3125" t="s">
        <v>312</v>
      </c>
      <c r="C3125" t="s">
        <v>278</v>
      </c>
      <c r="D3125">
        <v>1</v>
      </c>
      <c r="E3125">
        <v>21.040500000000002</v>
      </c>
      <c r="F3125">
        <f t="shared" si="49"/>
        <v>21.040500000000002</v>
      </c>
    </row>
    <row r="3126" spans="1:6" x14ac:dyDescent="0.2">
      <c r="A3126">
        <v>838</v>
      </c>
      <c r="B3126" t="s">
        <v>75</v>
      </c>
      <c r="C3126" t="s">
        <v>313</v>
      </c>
      <c r="D3126">
        <v>1</v>
      </c>
      <c r="E3126">
        <v>0.1153846153846154</v>
      </c>
      <c r="F3126">
        <f t="shared" si="49"/>
        <v>0.1153846153846154</v>
      </c>
    </row>
    <row r="3127" spans="1:6" x14ac:dyDescent="0.2">
      <c r="A3127">
        <v>838</v>
      </c>
      <c r="B3127" t="s">
        <v>314</v>
      </c>
      <c r="C3127" t="s">
        <v>273</v>
      </c>
      <c r="D3127">
        <v>1</v>
      </c>
      <c r="E3127">
        <v>0.45650000000000002</v>
      </c>
      <c r="F3127">
        <f t="shared" si="49"/>
        <v>0.45650000000000002</v>
      </c>
    </row>
    <row r="3128" spans="1:6" x14ac:dyDescent="0.2">
      <c r="A3128">
        <v>838</v>
      </c>
      <c r="B3128" t="s">
        <v>314</v>
      </c>
      <c r="C3128" t="s">
        <v>315</v>
      </c>
      <c r="D3128">
        <v>5</v>
      </c>
      <c r="E3128">
        <v>0.45650000000000002</v>
      </c>
      <c r="F3128">
        <f t="shared" si="49"/>
        <v>2.2825000000000002</v>
      </c>
    </row>
    <row r="3129" spans="1:6" x14ac:dyDescent="0.2">
      <c r="A3129">
        <v>838</v>
      </c>
      <c r="B3129" t="s">
        <v>316</v>
      </c>
      <c r="C3129" t="s">
        <v>317</v>
      </c>
      <c r="D3129">
        <v>5</v>
      </c>
      <c r="E3129">
        <v>92.206615384615375</v>
      </c>
      <c r="F3129">
        <f t="shared" si="49"/>
        <v>461.03307692307686</v>
      </c>
    </row>
    <row r="3130" spans="1:6" x14ac:dyDescent="0.2">
      <c r="A3130">
        <v>838</v>
      </c>
      <c r="B3130" t="s">
        <v>318</v>
      </c>
      <c r="C3130" t="s">
        <v>319</v>
      </c>
      <c r="D3130">
        <v>1</v>
      </c>
      <c r="E3130">
        <v>85.453846153846172</v>
      </c>
      <c r="F3130">
        <f t="shared" si="49"/>
        <v>85.453846153846172</v>
      </c>
    </row>
    <row r="3131" spans="1:6" x14ac:dyDescent="0.2">
      <c r="A3131">
        <v>838</v>
      </c>
      <c r="B3131" t="s">
        <v>320</v>
      </c>
      <c r="C3131" t="s">
        <v>321</v>
      </c>
      <c r="D3131">
        <v>1</v>
      </c>
      <c r="E3131">
        <v>92.206615384615375</v>
      </c>
      <c r="F3131">
        <f t="shared" si="49"/>
        <v>92.206615384615375</v>
      </c>
    </row>
    <row r="3132" spans="1:6" x14ac:dyDescent="0.2">
      <c r="A3132">
        <v>838</v>
      </c>
      <c r="B3132" t="s">
        <v>267</v>
      </c>
      <c r="C3132" t="s">
        <v>268</v>
      </c>
      <c r="D3132">
        <v>4</v>
      </c>
      <c r="E3132">
        <v>84863.132923076919</v>
      </c>
      <c r="F3132">
        <f t="shared" si="49"/>
        <v>339452.53169230768</v>
      </c>
    </row>
    <row r="3133" spans="1:6" x14ac:dyDescent="0.2">
      <c r="A3133">
        <v>838</v>
      </c>
      <c r="B3133" t="s">
        <v>260</v>
      </c>
      <c r="C3133" t="s">
        <v>261</v>
      </c>
      <c r="D3133">
        <v>3</v>
      </c>
      <c r="E3133">
        <v>2908.2944615384613</v>
      </c>
      <c r="F3133">
        <f t="shared" si="49"/>
        <v>8724.883384615383</v>
      </c>
    </row>
    <row r="3134" spans="1:6" x14ac:dyDescent="0.2">
      <c r="A3134">
        <v>838</v>
      </c>
      <c r="B3134" t="s">
        <v>262</v>
      </c>
      <c r="C3134" t="s">
        <v>263</v>
      </c>
      <c r="D3134">
        <v>1</v>
      </c>
      <c r="E3134">
        <v>3207.1966153846147</v>
      </c>
      <c r="F3134">
        <f t="shared" si="49"/>
        <v>3207.1966153846147</v>
      </c>
    </row>
    <row r="3135" spans="1:6" x14ac:dyDescent="0.2">
      <c r="A3135">
        <v>838</v>
      </c>
      <c r="B3135" t="s">
        <v>264</v>
      </c>
      <c r="C3135" t="s">
        <v>265</v>
      </c>
      <c r="D3135">
        <v>3</v>
      </c>
      <c r="E3135">
        <v>3466.73123076923</v>
      </c>
      <c r="F3135">
        <f t="shared" si="49"/>
        <v>10400.19369230769</v>
      </c>
    </row>
    <row r="3136" spans="1:6" x14ac:dyDescent="0.2">
      <c r="A3136">
        <v>838</v>
      </c>
      <c r="B3136" t="s">
        <v>259</v>
      </c>
      <c r="C3136" t="s">
        <v>258</v>
      </c>
      <c r="D3136">
        <v>2</v>
      </c>
      <c r="E3136">
        <v>3325.9759999999997</v>
      </c>
      <c r="F3136">
        <f t="shared" si="49"/>
        <v>6651.9519999999993</v>
      </c>
    </row>
    <row r="3137" spans="1:6" x14ac:dyDescent="0.2">
      <c r="A3137">
        <v>838</v>
      </c>
      <c r="B3137" t="s">
        <v>257</v>
      </c>
      <c r="C3137" t="s">
        <v>258</v>
      </c>
      <c r="D3137">
        <v>4</v>
      </c>
      <c r="E3137">
        <v>3325.9759999999997</v>
      </c>
      <c r="F3137">
        <f t="shared" si="49"/>
        <v>13303.903999999999</v>
      </c>
    </row>
    <row r="3138" spans="1:6" x14ac:dyDescent="0.2">
      <c r="A3138">
        <v>838</v>
      </c>
      <c r="B3138" t="s">
        <v>255</v>
      </c>
      <c r="C3138" t="s">
        <v>256</v>
      </c>
      <c r="D3138">
        <v>1</v>
      </c>
      <c r="E3138">
        <v>18546.094615384613</v>
      </c>
      <c r="F3138">
        <f t="shared" si="49"/>
        <v>18546.094615384613</v>
      </c>
    </row>
    <row r="3139" spans="1:6" x14ac:dyDescent="0.2">
      <c r="A3139">
        <v>838</v>
      </c>
      <c r="B3139" t="s">
        <v>359</v>
      </c>
      <c r="C3139" t="s">
        <v>360</v>
      </c>
      <c r="D3139">
        <v>118</v>
      </c>
      <c r="E3139">
        <v>1844.9384615384615</v>
      </c>
      <c r="F3139">
        <f t="shared" si="49"/>
        <v>217702.73846153845</v>
      </c>
    </row>
    <row r="3140" spans="1:6" x14ac:dyDescent="0.2">
      <c r="A3140">
        <v>838</v>
      </c>
      <c r="B3140" t="s">
        <v>389</v>
      </c>
      <c r="C3140" t="s">
        <v>390</v>
      </c>
      <c r="D3140">
        <v>1</v>
      </c>
      <c r="E3140">
        <v>4906</v>
      </c>
      <c r="F3140">
        <f t="shared" si="49"/>
        <v>4906</v>
      </c>
    </row>
    <row r="3141" spans="1:6" x14ac:dyDescent="0.2">
      <c r="A3141">
        <v>839</v>
      </c>
      <c r="B3141" t="s">
        <v>62</v>
      </c>
      <c r="C3141" t="s">
        <v>63</v>
      </c>
      <c r="D3141">
        <v>1</v>
      </c>
      <c r="E3141">
        <v>0.34860000000000002</v>
      </c>
      <c r="F3141">
        <f t="shared" si="49"/>
        <v>0.34860000000000002</v>
      </c>
    </row>
    <row r="3142" spans="1:6" x14ac:dyDescent="0.2">
      <c r="A3142">
        <v>839</v>
      </c>
      <c r="B3142" t="s">
        <v>64</v>
      </c>
      <c r="C3142" t="s">
        <v>65</v>
      </c>
      <c r="D3142">
        <v>3</v>
      </c>
      <c r="E3142">
        <v>803.07692307692309</v>
      </c>
      <c r="F3142">
        <f t="shared" si="49"/>
        <v>2409.2307692307695</v>
      </c>
    </row>
    <row r="3143" spans="1:6" x14ac:dyDescent="0.2">
      <c r="A3143">
        <v>839</v>
      </c>
      <c r="B3143" t="s">
        <v>67</v>
      </c>
      <c r="C3143" t="s">
        <v>68</v>
      </c>
      <c r="D3143">
        <v>1</v>
      </c>
      <c r="E3143">
        <v>49.678567679999993</v>
      </c>
      <c r="F3143">
        <f t="shared" ref="F3143:F3206" si="50">D3143*E3143</f>
        <v>49.678567679999993</v>
      </c>
    </row>
    <row r="3144" spans="1:6" x14ac:dyDescent="0.2">
      <c r="A3144">
        <v>839</v>
      </c>
      <c r="B3144" t="s">
        <v>70</v>
      </c>
      <c r="C3144" t="s">
        <v>71</v>
      </c>
      <c r="D3144">
        <v>2</v>
      </c>
      <c r="E3144">
        <v>407.98649999999998</v>
      </c>
      <c r="F3144">
        <f t="shared" si="50"/>
        <v>815.97299999999996</v>
      </c>
    </row>
    <row r="3145" spans="1:6" x14ac:dyDescent="0.2">
      <c r="A3145">
        <v>839</v>
      </c>
      <c r="B3145" t="s">
        <v>73</v>
      </c>
      <c r="C3145" t="s">
        <v>74</v>
      </c>
      <c r="D3145">
        <v>3</v>
      </c>
      <c r="E3145">
        <v>0.57783935999999991</v>
      </c>
      <c r="F3145">
        <f t="shared" si="50"/>
        <v>1.7335180799999996</v>
      </c>
    </row>
    <row r="3146" spans="1:6" x14ac:dyDescent="0.2">
      <c r="A3146">
        <v>839</v>
      </c>
      <c r="B3146" t="s">
        <v>75</v>
      </c>
      <c r="C3146" t="s">
        <v>76</v>
      </c>
      <c r="D3146">
        <v>6</v>
      </c>
      <c r="E3146">
        <v>0.1153846153846154</v>
      </c>
      <c r="F3146">
        <f t="shared" si="50"/>
        <v>0.6923076923076924</v>
      </c>
    </row>
    <row r="3147" spans="1:6" x14ac:dyDescent="0.2">
      <c r="A3147">
        <v>839</v>
      </c>
      <c r="B3147" t="s">
        <v>77</v>
      </c>
      <c r="C3147" t="s">
        <v>74</v>
      </c>
      <c r="D3147">
        <v>6</v>
      </c>
      <c r="E3147">
        <v>1.3943999999999999</v>
      </c>
      <c r="F3147">
        <f t="shared" si="50"/>
        <v>8.3663999999999987</v>
      </c>
    </row>
    <row r="3148" spans="1:6" x14ac:dyDescent="0.2">
      <c r="A3148">
        <v>839</v>
      </c>
      <c r="B3148" t="s">
        <v>78</v>
      </c>
      <c r="C3148" t="s">
        <v>76</v>
      </c>
      <c r="D3148">
        <v>1</v>
      </c>
      <c r="E3148">
        <v>0.71839487999999996</v>
      </c>
      <c r="F3148">
        <f t="shared" si="50"/>
        <v>0.71839487999999996</v>
      </c>
    </row>
    <row r="3149" spans="1:6" x14ac:dyDescent="0.2">
      <c r="A3149">
        <v>839</v>
      </c>
      <c r="B3149" t="s">
        <v>79</v>
      </c>
      <c r="C3149" t="s">
        <v>74</v>
      </c>
      <c r="D3149">
        <v>3</v>
      </c>
      <c r="E3149">
        <v>1.9307692307692308</v>
      </c>
      <c r="F3149">
        <f t="shared" si="50"/>
        <v>5.7923076923076922</v>
      </c>
    </row>
    <row r="3150" spans="1:6" x14ac:dyDescent="0.2">
      <c r="A3150">
        <v>839</v>
      </c>
      <c r="B3150" t="s">
        <v>80</v>
      </c>
      <c r="C3150" t="s">
        <v>74</v>
      </c>
      <c r="D3150">
        <v>1</v>
      </c>
      <c r="E3150">
        <v>0.9544999999999999</v>
      </c>
      <c r="F3150">
        <f t="shared" si="50"/>
        <v>0.9544999999999999</v>
      </c>
    </row>
    <row r="3151" spans="1:6" x14ac:dyDescent="0.2">
      <c r="A3151">
        <v>839</v>
      </c>
      <c r="B3151" t="s">
        <v>81</v>
      </c>
      <c r="C3151" t="s">
        <v>74</v>
      </c>
      <c r="D3151">
        <v>1</v>
      </c>
      <c r="E3151">
        <v>0.76359999999999995</v>
      </c>
      <c r="F3151">
        <f t="shared" si="50"/>
        <v>0.76359999999999995</v>
      </c>
    </row>
    <row r="3152" spans="1:6" x14ac:dyDescent="0.2">
      <c r="A3152">
        <v>839</v>
      </c>
      <c r="B3152" t="s">
        <v>82</v>
      </c>
      <c r="C3152" t="s">
        <v>83</v>
      </c>
      <c r="D3152">
        <v>3</v>
      </c>
      <c r="E3152">
        <v>20.351599999999998</v>
      </c>
      <c r="F3152">
        <f t="shared" si="50"/>
        <v>61.054799999999993</v>
      </c>
    </row>
    <row r="3153" spans="1:6" x14ac:dyDescent="0.2">
      <c r="A3153">
        <v>839</v>
      </c>
      <c r="B3153" t="s">
        <v>84</v>
      </c>
      <c r="C3153" t="s">
        <v>85</v>
      </c>
      <c r="D3153">
        <v>2</v>
      </c>
      <c r="E3153">
        <v>102.33222719999999</v>
      </c>
      <c r="F3153">
        <f t="shared" si="50"/>
        <v>204.66445439999998</v>
      </c>
    </row>
    <row r="3154" spans="1:6" x14ac:dyDescent="0.2">
      <c r="A3154">
        <v>839</v>
      </c>
      <c r="B3154" t="s">
        <v>86</v>
      </c>
      <c r="C3154" t="s">
        <v>85</v>
      </c>
      <c r="D3154">
        <v>1</v>
      </c>
      <c r="E3154">
        <v>144.26462399999997</v>
      </c>
      <c r="F3154">
        <f t="shared" si="50"/>
        <v>144.26462399999997</v>
      </c>
    </row>
    <row r="3155" spans="1:6" x14ac:dyDescent="0.2">
      <c r="A3155">
        <v>839</v>
      </c>
      <c r="B3155" t="s">
        <v>87</v>
      </c>
      <c r="C3155" t="s">
        <v>88</v>
      </c>
      <c r="D3155">
        <v>5</v>
      </c>
      <c r="E3155">
        <v>162.02147135999999</v>
      </c>
      <c r="F3155">
        <f t="shared" si="50"/>
        <v>810.10735679999993</v>
      </c>
    </row>
    <row r="3156" spans="1:6" x14ac:dyDescent="0.2">
      <c r="A3156">
        <v>839</v>
      </c>
      <c r="B3156" t="s">
        <v>89</v>
      </c>
      <c r="C3156" t="s">
        <v>85</v>
      </c>
      <c r="D3156">
        <v>1</v>
      </c>
      <c r="E3156">
        <v>211.01287872</v>
      </c>
      <c r="F3156">
        <f t="shared" si="50"/>
        <v>211.01287872</v>
      </c>
    </row>
    <row r="3157" spans="1:6" x14ac:dyDescent="0.2">
      <c r="A3157">
        <v>839</v>
      </c>
      <c r="B3157" t="s">
        <v>90</v>
      </c>
      <c r="C3157" t="s">
        <v>88</v>
      </c>
      <c r="D3157">
        <v>3</v>
      </c>
      <c r="E3157">
        <v>238.16351999999995</v>
      </c>
      <c r="F3157">
        <f t="shared" si="50"/>
        <v>714.49055999999985</v>
      </c>
    </row>
    <row r="3158" spans="1:6" x14ac:dyDescent="0.2">
      <c r="A3158">
        <v>839</v>
      </c>
      <c r="B3158" t="s">
        <v>92</v>
      </c>
      <c r="C3158" t="s">
        <v>93</v>
      </c>
      <c r="D3158">
        <v>6</v>
      </c>
      <c r="E3158">
        <v>19.297499999999999</v>
      </c>
      <c r="F3158">
        <f t="shared" si="50"/>
        <v>115.785</v>
      </c>
    </row>
    <row r="3159" spans="1:6" x14ac:dyDescent="0.2">
      <c r="A3159">
        <v>839</v>
      </c>
      <c r="B3159" t="s">
        <v>94</v>
      </c>
      <c r="C3159" t="s">
        <v>95</v>
      </c>
      <c r="D3159">
        <v>6</v>
      </c>
      <c r="E3159">
        <v>644.46267648000003</v>
      </c>
      <c r="F3159">
        <f t="shared" si="50"/>
        <v>3866.7760588800002</v>
      </c>
    </row>
    <row r="3160" spans="1:6" x14ac:dyDescent="0.2">
      <c r="A3160">
        <v>839</v>
      </c>
      <c r="B3160" t="s">
        <v>236</v>
      </c>
      <c r="C3160" t="s">
        <v>237</v>
      </c>
      <c r="D3160">
        <v>1</v>
      </c>
      <c r="E3160">
        <v>132.79999999999998</v>
      </c>
      <c r="F3160">
        <f t="shared" si="50"/>
        <v>132.79999999999998</v>
      </c>
    </row>
    <row r="3161" spans="1:6" x14ac:dyDescent="0.2">
      <c r="A3161">
        <v>839</v>
      </c>
      <c r="B3161" t="s">
        <v>238</v>
      </c>
      <c r="C3161" t="s">
        <v>239</v>
      </c>
      <c r="D3161">
        <v>3</v>
      </c>
      <c r="E3161">
        <v>340.93846153846152</v>
      </c>
      <c r="F3161">
        <f t="shared" si="50"/>
        <v>1022.8153846153846</v>
      </c>
    </row>
    <row r="3162" spans="1:6" x14ac:dyDescent="0.2">
      <c r="A3162">
        <v>839</v>
      </c>
      <c r="B3162" t="s">
        <v>240</v>
      </c>
      <c r="C3162" t="s">
        <v>241</v>
      </c>
      <c r="D3162">
        <v>1</v>
      </c>
      <c r="E3162">
        <v>309.01538461538462</v>
      </c>
      <c r="F3162">
        <f t="shared" si="50"/>
        <v>309.01538461538462</v>
      </c>
    </row>
    <row r="3163" spans="1:6" x14ac:dyDescent="0.2">
      <c r="A3163">
        <v>839</v>
      </c>
      <c r="B3163" t="s">
        <v>242</v>
      </c>
      <c r="C3163" t="s">
        <v>243</v>
      </c>
      <c r="D3163">
        <v>1</v>
      </c>
      <c r="E3163">
        <v>427.76923076923072</v>
      </c>
      <c r="F3163">
        <f t="shared" si="50"/>
        <v>427.76923076923072</v>
      </c>
    </row>
    <row r="3164" spans="1:6" x14ac:dyDescent="0.2">
      <c r="A3164">
        <v>839</v>
      </c>
      <c r="B3164" t="s">
        <v>244</v>
      </c>
      <c r="C3164" t="s">
        <v>184</v>
      </c>
      <c r="D3164">
        <v>3</v>
      </c>
      <c r="E3164">
        <v>18.643076923076922</v>
      </c>
      <c r="F3164">
        <f t="shared" si="50"/>
        <v>55.92923076923077</v>
      </c>
    </row>
    <row r="3165" spans="1:6" x14ac:dyDescent="0.2">
      <c r="A3165">
        <v>839</v>
      </c>
      <c r="B3165" t="s">
        <v>245</v>
      </c>
      <c r="C3165" t="s">
        <v>246</v>
      </c>
      <c r="D3165">
        <v>2</v>
      </c>
      <c r="E3165">
        <v>0.44819999999999999</v>
      </c>
      <c r="F3165">
        <f t="shared" si="50"/>
        <v>0.89639999999999997</v>
      </c>
    </row>
    <row r="3166" spans="1:6" x14ac:dyDescent="0.2">
      <c r="A3166">
        <v>839</v>
      </c>
      <c r="B3166" t="s">
        <v>75</v>
      </c>
      <c r="C3166" t="s">
        <v>247</v>
      </c>
      <c r="D3166">
        <v>1</v>
      </c>
      <c r="E3166">
        <v>0.1153846153846154</v>
      </c>
      <c r="F3166">
        <f t="shared" si="50"/>
        <v>0.1153846153846154</v>
      </c>
    </row>
    <row r="3167" spans="1:6" x14ac:dyDescent="0.2">
      <c r="A3167">
        <v>839</v>
      </c>
      <c r="B3167" t="s">
        <v>197</v>
      </c>
      <c r="C3167" t="s">
        <v>117</v>
      </c>
      <c r="D3167">
        <v>5</v>
      </c>
      <c r="E3167">
        <v>7.4699999999999989E-2</v>
      </c>
      <c r="F3167">
        <f t="shared" si="50"/>
        <v>0.37349999999999994</v>
      </c>
    </row>
    <row r="3168" spans="1:6" x14ac:dyDescent="0.2">
      <c r="A3168">
        <v>839</v>
      </c>
      <c r="B3168" t="s">
        <v>248</v>
      </c>
      <c r="C3168" t="s">
        <v>249</v>
      </c>
      <c r="D3168">
        <v>1</v>
      </c>
      <c r="E3168">
        <v>31064.984615384612</v>
      </c>
      <c r="F3168">
        <f t="shared" si="50"/>
        <v>31064.984615384612</v>
      </c>
    </row>
    <row r="3169" spans="1:6" x14ac:dyDescent="0.2">
      <c r="A3169">
        <v>839</v>
      </c>
      <c r="B3169" t="s">
        <v>250</v>
      </c>
      <c r="C3169" t="s">
        <v>251</v>
      </c>
      <c r="D3169">
        <v>1</v>
      </c>
      <c r="E3169">
        <v>564.54124607999995</v>
      </c>
      <c r="F3169">
        <f t="shared" si="50"/>
        <v>564.54124607999995</v>
      </c>
    </row>
    <row r="3170" spans="1:6" x14ac:dyDescent="0.2">
      <c r="A3170">
        <v>839</v>
      </c>
      <c r="B3170" t="s">
        <v>146</v>
      </c>
      <c r="C3170" t="s">
        <v>147</v>
      </c>
      <c r="D3170">
        <v>1</v>
      </c>
      <c r="E3170">
        <v>8021.5764999999992</v>
      </c>
      <c r="F3170">
        <f t="shared" si="50"/>
        <v>8021.5764999999992</v>
      </c>
    </row>
    <row r="3171" spans="1:6" x14ac:dyDescent="0.2">
      <c r="A3171">
        <v>839</v>
      </c>
      <c r="B3171" t="s">
        <v>215</v>
      </c>
      <c r="C3171" t="s">
        <v>208</v>
      </c>
      <c r="D3171">
        <v>5</v>
      </c>
      <c r="E3171">
        <v>1.42898112</v>
      </c>
      <c r="F3171">
        <f t="shared" si="50"/>
        <v>7.1449055999999995</v>
      </c>
    </row>
    <row r="3172" spans="1:6" x14ac:dyDescent="0.2">
      <c r="A3172">
        <v>839</v>
      </c>
      <c r="B3172" t="s">
        <v>200</v>
      </c>
      <c r="C3172" t="s">
        <v>199</v>
      </c>
      <c r="D3172">
        <v>5</v>
      </c>
      <c r="E3172">
        <v>0.66373439999999995</v>
      </c>
      <c r="F3172">
        <f t="shared" si="50"/>
        <v>3.3186719999999998</v>
      </c>
    </row>
    <row r="3173" spans="1:6" x14ac:dyDescent="0.2">
      <c r="A3173">
        <v>839</v>
      </c>
      <c r="B3173" t="s">
        <v>216</v>
      </c>
      <c r="C3173" t="s">
        <v>199</v>
      </c>
      <c r="D3173">
        <v>1</v>
      </c>
      <c r="E3173">
        <v>0.66400000000000003</v>
      </c>
      <c r="F3173">
        <f t="shared" si="50"/>
        <v>0.66400000000000003</v>
      </c>
    </row>
    <row r="3174" spans="1:6" x14ac:dyDescent="0.2">
      <c r="A3174">
        <v>839</v>
      </c>
      <c r="B3174" t="s">
        <v>217</v>
      </c>
      <c r="C3174" t="s">
        <v>199</v>
      </c>
      <c r="D3174">
        <v>1</v>
      </c>
      <c r="E3174">
        <v>4.2164000000000001</v>
      </c>
      <c r="F3174">
        <f t="shared" si="50"/>
        <v>4.2164000000000001</v>
      </c>
    </row>
    <row r="3175" spans="1:6" x14ac:dyDescent="0.2">
      <c r="A3175">
        <v>839</v>
      </c>
      <c r="B3175" t="s">
        <v>218</v>
      </c>
      <c r="C3175" t="s">
        <v>208</v>
      </c>
      <c r="D3175">
        <v>4</v>
      </c>
      <c r="E3175">
        <v>7.3454999999999995</v>
      </c>
      <c r="F3175">
        <f t="shared" si="50"/>
        <v>29.381999999999998</v>
      </c>
    </row>
    <row r="3176" spans="1:6" x14ac:dyDescent="0.2">
      <c r="A3176">
        <v>839</v>
      </c>
      <c r="B3176" t="s">
        <v>219</v>
      </c>
      <c r="C3176" t="s">
        <v>199</v>
      </c>
      <c r="D3176">
        <v>3</v>
      </c>
      <c r="E3176">
        <v>1.4774</v>
      </c>
      <c r="F3176">
        <f t="shared" si="50"/>
        <v>4.4321999999999999</v>
      </c>
    </row>
    <row r="3177" spans="1:6" x14ac:dyDescent="0.2">
      <c r="A3177">
        <v>839</v>
      </c>
      <c r="B3177" t="s">
        <v>220</v>
      </c>
      <c r="C3177" t="s">
        <v>208</v>
      </c>
      <c r="D3177">
        <v>1</v>
      </c>
      <c r="E3177">
        <v>3.7267000000000001</v>
      </c>
      <c r="F3177">
        <f t="shared" si="50"/>
        <v>3.7267000000000001</v>
      </c>
    </row>
    <row r="3178" spans="1:6" x14ac:dyDescent="0.2">
      <c r="A3178">
        <v>839</v>
      </c>
      <c r="B3178" t="s">
        <v>221</v>
      </c>
      <c r="C3178" t="s">
        <v>199</v>
      </c>
      <c r="D3178">
        <v>3</v>
      </c>
      <c r="E3178">
        <v>0.97939999999999994</v>
      </c>
      <c r="F3178">
        <f t="shared" si="50"/>
        <v>2.9381999999999997</v>
      </c>
    </row>
    <row r="3179" spans="1:6" x14ac:dyDescent="0.2">
      <c r="A3179">
        <v>839</v>
      </c>
      <c r="B3179" t="s">
        <v>222</v>
      </c>
      <c r="C3179" t="s">
        <v>208</v>
      </c>
      <c r="D3179">
        <v>2</v>
      </c>
      <c r="E3179">
        <v>6.0672999999999995</v>
      </c>
      <c r="F3179">
        <f t="shared" si="50"/>
        <v>12.134599999999999</v>
      </c>
    </row>
    <row r="3180" spans="1:6" x14ac:dyDescent="0.2">
      <c r="A3180">
        <v>839</v>
      </c>
      <c r="B3180" t="s">
        <v>223</v>
      </c>
      <c r="C3180" t="s">
        <v>224</v>
      </c>
      <c r="D3180">
        <v>4</v>
      </c>
      <c r="E3180">
        <v>19.4635</v>
      </c>
      <c r="F3180">
        <f t="shared" si="50"/>
        <v>77.853999999999999</v>
      </c>
    </row>
    <row r="3181" spans="1:6" x14ac:dyDescent="0.2">
      <c r="A3181">
        <v>839</v>
      </c>
      <c r="B3181" t="s">
        <v>225</v>
      </c>
      <c r="C3181" t="s">
        <v>226</v>
      </c>
      <c r="D3181">
        <v>1</v>
      </c>
      <c r="E3181">
        <v>10.221509759999998</v>
      </c>
      <c r="F3181">
        <f t="shared" si="50"/>
        <v>10.221509759999998</v>
      </c>
    </row>
    <row r="3182" spans="1:6" x14ac:dyDescent="0.2">
      <c r="A3182">
        <v>839</v>
      </c>
      <c r="B3182" t="s">
        <v>227</v>
      </c>
      <c r="C3182" t="s">
        <v>208</v>
      </c>
      <c r="D3182">
        <v>118</v>
      </c>
      <c r="E3182">
        <v>3.6307692307692312</v>
      </c>
      <c r="F3182">
        <f t="shared" si="50"/>
        <v>428.43076923076927</v>
      </c>
    </row>
    <row r="3183" spans="1:6" x14ac:dyDescent="0.2">
      <c r="A3183">
        <v>839</v>
      </c>
      <c r="B3183" t="s">
        <v>228</v>
      </c>
      <c r="C3183" t="s">
        <v>229</v>
      </c>
      <c r="D3183">
        <v>1</v>
      </c>
      <c r="E3183">
        <v>306.94982975999994</v>
      </c>
      <c r="F3183">
        <f t="shared" si="50"/>
        <v>306.94982975999994</v>
      </c>
    </row>
    <row r="3184" spans="1:6" x14ac:dyDescent="0.2">
      <c r="A3184">
        <v>839</v>
      </c>
      <c r="B3184" t="s">
        <v>116</v>
      </c>
      <c r="C3184" t="s">
        <v>117</v>
      </c>
      <c r="D3184">
        <v>1</v>
      </c>
      <c r="E3184">
        <v>0.25729999999999997</v>
      </c>
      <c r="F3184">
        <f t="shared" si="50"/>
        <v>0.25729999999999997</v>
      </c>
    </row>
    <row r="3185" spans="1:6" x14ac:dyDescent="0.2">
      <c r="A3185">
        <v>839</v>
      </c>
      <c r="B3185" t="s">
        <v>78</v>
      </c>
      <c r="C3185" t="s">
        <v>76</v>
      </c>
      <c r="D3185">
        <v>3</v>
      </c>
      <c r="E3185">
        <v>0.71839487999999996</v>
      </c>
      <c r="F3185">
        <f t="shared" si="50"/>
        <v>2.1551846399999999</v>
      </c>
    </row>
    <row r="3186" spans="1:6" x14ac:dyDescent="0.2">
      <c r="A3186">
        <v>839</v>
      </c>
      <c r="B3186" t="s">
        <v>231</v>
      </c>
      <c r="C3186" t="s">
        <v>208</v>
      </c>
      <c r="D3186">
        <v>1</v>
      </c>
      <c r="E3186">
        <v>2.0832999999999999</v>
      </c>
      <c r="F3186">
        <f t="shared" si="50"/>
        <v>2.0832999999999999</v>
      </c>
    </row>
    <row r="3187" spans="1:6" x14ac:dyDescent="0.2">
      <c r="A3187">
        <v>839</v>
      </c>
      <c r="B3187" t="s">
        <v>232</v>
      </c>
      <c r="C3187" t="s">
        <v>119</v>
      </c>
      <c r="D3187">
        <v>2</v>
      </c>
      <c r="E3187">
        <v>1.5935999999999999</v>
      </c>
      <c r="F3187">
        <f t="shared" si="50"/>
        <v>3.1871999999999998</v>
      </c>
    </row>
    <row r="3188" spans="1:6" x14ac:dyDescent="0.2">
      <c r="A3188">
        <v>839</v>
      </c>
      <c r="B3188" t="s">
        <v>233</v>
      </c>
      <c r="C3188" t="s">
        <v>234</v>
      </c>
      <c r="D3188">
        <v>3</v>
      </c>
      <c r="E3188">
        <v>3989.2954</v>
      </c>
      <c r="F3188">
        <f t="shared" si="50"/>
        <v>11967.886200000001</v>
      </c>
    </row>
    <row r="3189" spans="1:6" x14ac:dyDescent="0.2">
      <c r="A3189">
        <v>839</v>
      </c>
      <c r="B3189" t="s">
        <v>142</v>
      </c>
      <c r="C3189" t="s">
        <v>143</v>
      </c>
      <c r="D3189">
        <v>6</v>
      </c>
      <c r="E3189">
        <v>18141.642</v>
      </c>
      <c r="F3189">
        <f t="shared" si="50"/>
        <v>108849.852</v>
      </c>
    </row>
    <row r="3190" spans="1:6" x14ac:dyDescent="0.2">
      <c r="A3190">
        <v>839</v>
      </c>
      <c r="B3190" t="s">
        <v>144</v>
      </c>
      <c r="C3190" t="s">
        <v>145</v>
      </c>
      <c r="D3190">
        <v>6</v>
      </c>
      <c r="E3190">
        <v>7346.6769230769241</v>
      </c>
      <c r="F3190">
        <f t="shared" si="50"/>
        <v>44080.061538461545</v>
      </c>
    </row>
    <row r="3191" spans="1:6" x14ac:dyDescent="0.2">
      <c r="A3191">
        <v>839</v>
      </c>
      <c r="B3191" t="s">
        <v>197</v>
      </c>
      <c r="C3191" t="s">
        <v>117</v>
      </c>
      <c r="D3191">
        <v>1</v>
      </c>
      <c r="E3191">
        <v>7.4699999999999989E-2</v>
      </c>
      <c r="F3191">
        <f t="shared" si="50"/>
        <v>7.4699999999999989E-2</v>
      </c>
    </row>
    <row r="3192" spans="1:6" x14ac:dyDescent="0.2">
      <c r="A3192">
        <v>839</v>
      </c>
      <c r="B3192" t="s">
        <v>198</v>
      </c>
      <c r="C3192" t="s">
        <v>199</v>
      </c>
      <c r="D3192">
        <v>3</v>
      </c>
      <c r="E3192">
        <v>0.66373439999999995</v>
      </c>
      <c r="F3192">
        <f t="shared" si="50"/>
        <v>1.9912031999999997</v>
      </c>
    </row>
    <row r="3193" spans="1:6" x14ac:dyDescent="0.2">
      <c r="A3193">
        <v>839</v>
      </c>
      <c r="B3193" t="s">
        <v>200</v>
      </c>
      <c r="C3193" t="s">
        <v>199</v>
      </c>
      <c r="D3193">
        <v>1</v>
      </c>
      <c r="E3193">
        <v>0.66373439999999995</v>
      </c>
      <c r="F3193">
        <f t="shared" si="50"/>
        <v>0.66373439999999995</v>
      </c>
    </row>
    <row r="3194" spans="1:6" x14ac:dyDescent="0.2">
      <c r="A3194">
        <v>839</v>
      </c>
      <c r="B3194" t="s">
        <v>201</v>
      </c>
      <c r="C3194" t="s">
        <v>76</v>
      </c>
      <c r="D3194">
        <v>1</v>
      </c>
      <c r="E3194">
        <v>0.22645055999999994</v>
      </c>
      <c r="F3194">
        <f t="shared" si="50"/>
        <v>0.22645055999999994</v>
      </c>
    </row>
    <row r="3195" spans="1:6" x14ac:dyDescent="0.2">
      <c r="A3195">
        <v>839</v>
      </c>
      <c r="B3195" t="s">
        <v>202</v>
      </c>
      <c r="C3195" t="s">
        <v>203</v>
      </c>
      <c r="D3195">
        <v>3</v>
      </c>
      <c r="E3195">
        <v>12.45</v>
      </c>
      <c r="F3195">
        <f t="shared" si="50"/>
        <v>37.349999999999994</v>
      </c>
    </row>
    <row r="3196" spans="1:6" x14ac:dyDescent="0.2">
      <c r="A3196">
        <v>839</v>
      </c>
      <c r="B3196" t="s">
        <v>204</v>
      </c>
      <c r="C3196" t="s">
        <v>205</v>
      </c>
      <c r="D3196">
        <v>2</v>
      </c>
      <c r="E3196">
        <v>103.72216512</v>
      </c>
      <c r="F3196">
        <f t="shared" si="50"/>
        <v>207.44433024</v>
      </c>
    </row>
    <row r="3197" spans="1:6" x14ac:dyDescent="0.2">
      <c r="A3197">
        <v>839</v>
      </c>
      <c r="B3197" t="s">
        <v>116</v>
      </c>
      <c r="C3197" t="s">
        <v>117</v>
      </c>
      <c r="D3197">
        <v>1</v>
      </c>
      <c r="E3197">
        <v>0.25729999999999997</v>
      </c>
      <c r="F3197">
        <f t="shared" si="50"/>
        <v>0.25729999999999997</v>
      </c>
    </row>
    <row r="3198" spans="1:6" x14ac:dyDescent="0.2">
      <c r="A3198">
        <v>839</v>
      </c>
      <c r="B3198" t="s">
        <v>78</v>
      </c>
      <c r="C3198" t="s">
        <v>76</v>
      </c>
      <c r="D3198">
        <v>5</v>
      </c>
      <c r="E3198">
        <v>0.71839487999999996</v>
      </c>
      <c r="F3198">
        <f t="shared" si="50"/>
        <v>3.5919743999999998</v>
      </c>
    </row>
    <row r="3199" spans="1:6" x14ac:dyDescent="0.2">
      <c r="A3199">
        <v>839</v>
      </c>
      <c r="B3199" t="s">
        <v>207</v>
      </c>
      <c r="C3199" t="s">
        <v>208</v>
      </c>
      <c r="D3199">
        <v>1</v>
      </c>
      <c r="E3199">
        <v>4.6314000000000002</v>
      </c>
      <c r="F3199">
        <f t="shared" si="50"/>
        <v>4.6314000000000002</v>
      </c>
    </row>
    <row r="3200" spans="1:6" x14ac:dyDescent="0.2">
      <c r="A3200">
        <v>839</v>
      </c>
      <c r="B3200" t="s">
        <v>209</v>
      </c>
      <c r="C3200" t="s">
        <v>210</v>
      </c>
      <c r="D3200">
        <v>1</v>
      </c>
      <c r="E3200">
        <v>39.550761599999994</v>
      </c>
      <c r="F3200">
        <f t="shared" si="50"/>
        <v>39.550761599999994</v>
      </c>
    </row>
    <row r="3201" spans="1:6" x14ac:dyDescent="0.2">
      <c r="A3201">
        <v>839</v>
      </c>
      <c r="B3201" t="s">
        <v>211</v>
      </c>
      <c r="C3201" t="s">
        <v>203</v>
      </c>
      <c r="D3201">
        <v>1</v>
      </c>
      <c r="E3201">
        <v>25.754899999999999</v>
      </c>
      <c r="F3201">
        <f t="shared" si="50"/>
        <v>25.754899999999999</v>
      </c>
    </row>
    <row r="3202" spans="1:6" x14ac:dyDescent="0.2">
      <c r="A3202">
        <v>839</v>
      </c>
      <c r="B3202" t="s">
        <v>212</v>
      </c>
      <c r="C3202" t="s">
        <v>213</v>
      </c>
      <c r="D3202">
        <v>5</v>
      </c>
      <c r="E3202">
        <v>272.92059999999998</v>
      </c>
      <c r="F3202">
        <f t="shared" si="50"/>
        <v>1364.6029999999998</v>
      </c>
    </row>
    <row r="3203" spans="1:6" x14ac:dyDescent="0.2">
      <c r="A3203">
        <v>839</v>
      </c>
      <c r="B3203" t="s">
        <v>149</v>
      </c>
      <c r="C3203" t="s">
        <v>150</v>
      </c>
      <c r="D3203">
        <v>5</v>
      </c>
      <c r="E3203">
        <v>0.7054999999999999</v>
      </c>
      <c r="F3203">
        <f t="shared" si="50"/>
        <v>3.5274999999999994</v>
      </c>
    </row>
    <row r="3204" spans="1:6" x14ac:dyDescent="0.2">
      <c r="A3204">
        <v>839</v>
      </c>
      <c r="B3204" t="s">
        <v>151</v>
      </c>
      <c r="C3204" t="s">
        <v>152</v>
      </c>
      <c r="D3204">
        <v>1</v>
      </c>
      <c r="E3204">
        <v>5.6190999999999995</v>
      </c>
      <c r="F3204">
        <f t="shared" si="50"/>
        <v>5.6190999999999995</v>
      </c>
    </row>
    <row r="3205" spans="1:6" x14ac:dyDescent="0.2">
      <c r="A3205">
        <v>839</v>
      </c>
      <c r="B3205" t="s">
        <v>153</v>
      </c>
      <c r="C3205" t="s">
        <v>119</v>
      </c>
      <c r="D3205">
        <v>1</v>
      </c>
      <c r="E3205">
        <v>1.11663552</v>
      </c>
      <c r="F3205">
        <f t="shared" si="50"/>
        <v>1.11663552</v>
      </c>
    </row>
    <row r="3206" spans="1:6" x14ac:dyDescent="0.2">
      <c r="A3206">
        <v>839</v>
      </c>
      <c r="B3206" t="s">
        <v>154</v>
      </c>
      <c r="C3206" t="s">
        <v>117</v>
      </c>
      <c r="D3206">
        <v>4</v>
      </c>
      <c r="E3206">
        <v>4.3657999999999992</v>
      </c>
      <c r="F3206">
        <f t="shared" si="50"/>
        <v>17.463199999999997</v>
      </c>
    </row>
    <row r="3207" spans="1:6" x14ac:dyDescent="0.2">
      <c r="A3207">
        <v>839</v>
      </c>
      <c r="B3207" t="s">
        <v>155</v>
      </c>
      <c r="C3207" t="s">
        <v>156</v>
      </c>
      <c r="D3207">
        <v>3</v>
      </c>
      <c r="E3207">
        <v>28.551999999999996</v>
      </c>
      <c r="F3207">
        <f t="shared" ref="F3207:F3270" si="51">D3207*E3207</f>
        <v>85.655999999999992</v>
      </c>
    </row>
    <row r="3208" spans="1:6" x14ac:dyDescent="0.2">
      <c r="A3208">
        <v>839</v>
      </c>
      <c r="B3208" t="s">
        <v>157</v>
      </c>
      <c r="C3208" t="s">
        <v>158</v>
      </c>
      <c r="D3208">
        <v>1</v>
      </c>
      <c r="E3208">
        <v>29.456700000000001</v>
      </c>
      <c r="F3208">
        <f t="shared" si="51"/>
        <v>29.456700000000001</v>
      </c>
    </row>
    <row r="3209" spans="1:6" x14ac:dyDescent="0.2">
      <c r="A3209">
        <v>839</v>
      </c>
      <c r="B3209" t="s">
        <v>159</v>
      </c>
      <c r="C3209" t="s">
        <v>117</v>
      </c>
      <c r="D3209">
        <v>3</v>
      </c>
      <c r="E3209">
        <v>11.976899999999999</v>
      </c>
      <c r="F3209">
        <f t="shared" si="51"/>
        <v>35.930699999999995</v>
      </c>
    </row>
    <row r="3210" spans="1:6" x14ac:dyDescent="0.2">
      <c r="A3210">
        <v>839</v>
      </c>
      <c r="B3210" t="s">
        <v>116</v>
      </c>
      <c r="C3210" t="s">
        <v>117</v>
      </c>
      <c r="D3210">
        <v>2</v>
      </c>
      <c r="E3210">
        <v>0.25729999999999997</v>
      </c>
      <c r="F3210">
        <f t="shared" si="51"/>
        <v>0.51459999999999995</v>
      </c>
    </row>
    <row r="3211" spans="1:6" x14ac:dyDescent="0.2">
      <c r="A3211">
        <v>839</v>
      </c>
      <c r="B3211" t="s">
        <v>160</v>
      </c>
      <c r="C3211" t="s">
        <v>161</v>
      </c>
      <c r="D3211">
        <v>4</v>
      </c>
      <c r="E3211">
        <v>15.9194</v>
      </c>
      <c r="F3211">
        <f t="shared" si="51"/>
        <v>63.677599999999998</v>
      </c>
    </row>
    <row r="3212" spans="1:6" x14ac:dyDescent="0.2">
      <c r="A3212">
        <v>839</v>
      </c>
      <c r="B3212" t="s">
        <v>162</v>
      </c>
      <c r="C3212" t="s">
        <v>163</v>
      </c>
      <c r="D3212">
        <v>1</v>
      </c>
      <c r="E3212">
        <v>62.822699999999998</v>
      </c>
      <c r="F3212">
        <f t="shared" si="51"/>
        <v>62.822699999999998</v>
      </c>
    </row>
    <row r="3213" spans="1:6" x14ac:dyDescent="0.2">
      <c r="A3213">
        <v>839</v>
      </c>
      <c r="B3213" t="s">
        <v>164</v>
      </c>
      <c r="C3213" t="s">
        <v>165</v>
      </c>
      <c r="D3213">
        <v>118</v>
      </c>
      <c r="E3213">
        <v>29.381999999999998</v>
      </c>
      <c r="F3213">
        <f t="shared" si="51"/>
        <v>3467.0759999999996</v>
      </c>
    </row>
    <row r="3214" spans="1:6" x14ac:dyDescent="0.2">
      <c r="A3214">
        <v>839</v>
      </c>
      <c r="B3214" t="s">
        <v>166</v>
      </c>
      <c r="C3214" t="s">
        <v>76</v>
      </c>
      <c r="D3214">
        <v>1</v>
      </c>
      <c r="E3214">
        <v>0.97109999999999985</v>
      </c>
      <c r="F3214">
        <f t="shared" si="51"/>
        <v>0.97109999999999985</v>
      </c>
    </row>
    <row r="3215" spans="1:6" x14ac:dyDescent="0.2">
      <c r="A3215">
        <v>839</v>
      </c>
      <c r="B3215" t="s">
        <v>167</v>
      </c>
      <c r="C3215" t="s">
        <v>168</v>
      </c>
      <c r="D3215">
        <v>1</v>
      </c>
      <c r="E3215">
        <v>68.201099999999997</v>
      </c>
      <c r="F3215">
        <f t="shared" si="51"/>
        <v>68.201099999999997</v>
      </c>
    </row>
    <row r="3216" spans="1:6" x14ac:dyDescent="0.2">
      <c r="A3216">
        <v>839</v>
      </c>
      <c r="B3216" t="s">
        <v>169</v>
      </c>
      <c r="C3216" t="s">
        <v>119</v>
      </c>
      <c r="D3216">
        <v>3</v>
      </c>
      <c r="E3216">
        <v>26.078600000000002</v>
      </c>
      <c r="F3216">
        <f t="shared" si="51"/>
        <v>78.235800000000012</v>
      </c>
    </row>
    <row r="3217" spans="1:6" x14ac:dyDescent="0.2">
      <c r="A3217">
        <v>839</v>
      </c>
      <c r="B3217" t="s">
        <v>170</v>
      </c>
      <c r="C3217" t="s">
        <v>171</v>
      </c>
      <c r="D3217">
        <v>1</v>
      </c>
      <c r="E3217">
        <v>15.438000000000001</v>
      </c>
      <c r="F3217">
        <f t="shared" si="51"/>
        <v>15.438000000000001</v>
      </c>
    </row>
    <row r="3218" spans="1:6" x14ac:dyDescent="0.2">
      <c r="A3218">
        <v>839</v>
      </c>
      <c r="B3218" t="s">
        <v>172</v>
      </c>
      <c r="C3218" t="s">
        <v>173</v>
      </c>
      <c r="D3218">
        <v>2</v>
      </c>
      <c r="E3218">
        <v>158.41380000000001</v>
      </c>
      <c r="F3218">
        <f t="shared" si="51"/>
        <v>316.82760000000002</v>
      </c>
    </row>
    <row r="3219" spans="1:6" x14ac:dyDescent="0.2">
      <c r="A3219">
        <v>839</v>
      </c>
      <c r="B3219" t="s">
        <v>174</v>
      </c>
      <c r="C3219" t="s">
        <v>119</v>
      </c>
      <c r="D3219">
        <v>3</v>
      </c>
      <c r="E3219">
        <v>1.2616000000000001</v>
      </c>
      <c r="F3219">
        <f t="shared" si="51"/>
        <v>3.7848000000000002</v>
      </c>
    </row>
    <row r="3220" spans="1:6" x14ac:dyDescent="0.2">
      <c r="A3220">
        <v>839</v>
      </c>
      <c r="B3220" t="s">
        <v>175</v>
      </c>
      <c r="C3220" t="s">
        <v>176</v>
      </c>
      <c r="D3220">
        <v>6</v>
      </c>
      <c r="E3220">
        <v>194.7595</v>
      </c>
      <c r="F3220">
        <f t="shared" si="51"/>
        <v>1168.557</v>
      </c>
    </row>
    <row r="3221" spans="1:6" x14ac:dyDescent="0.2">
      <c r="A3221">
        <v>839</v>
      </c>
      <c r="B3221" t="s">
        <v>177</v>
      </c>
      <c r="C3221" t="s">
        <v>178</v>
      </c>
      <c r="D3221">
        <v>6</v>
      </c>
      <c r="E3221">
        <v>1660.6244256000002</v>
      </c>
      <c r="F3221">
        <f t="shared" si="51"/>
        <v>9963.7465536000018</v>
      </c>
    </row>
    <row r="3222" spans="1:6" x14ac:dyDescent="0.2">
      <c r="A3222">
        <v>839</v>
      </c>
      <c r="B3222" t="s">
        <v>179</v>
      </c>
      <c r="C3222" t="s">
        <v>119</v>
      </c>
      <c r="D3222">
        <v>12</v>
      </c>
      <c r="E3222">
        <v>32.444700000000005</v>
      </c>
      <c r="F3222">
        <f t="shared" si="51"/>
        <v>389.33640000000003</v>
      </c>
    </row>
    <row r="3223" spans="1:6" x14ac:dyDescent="0.2">
      <c r="A3223">
        <v>839</v>
      </c>
      <c r="B3223" t="s">
        <v>180</v>
      </c>
      <c r="C3223" t="s">
        <v>181</v>
      </c>
      <c r="D3223">
        <v>8</v>
      </c>
      <c r="E3223">
        <v>64.117499999999993</v>
      </c>
      <c r="F3223">
        <f t="shared" si="51"/>
        <v>512.93999999999994</v>
      </c>
    </row>
    <row r="3224" spans="1:6" x14ac:dyDescent="0.2">
      <c r="A3224">
        <v>839</v>
      </c>
      <c r="B3224" t="s">
        <v>182</v>
      </c>
      <c r="C3224" t="s">
        <v>158</v>
      </c>
      <c r="D3224">
        <v>6</v>
      </c>
      <c r="E3224">
        <v>80.788189439999996</v>
      </c>
      <c r="F3224">
        <f t="shared" si="51"/>
        <v>484.72913663999998</v>
      </c>
    </row>
    <row r="3225" spans="1:6" x14ac:dyDescent="0.2">
      <c r="A3225">
        <v>839</v>
      </c>
      <c r="B3225" t="s">
        <v>183</v>
      </c>
      <c r="C3225" t="s">
        <v>184</v>
      </c>
      <c r="D3225">
        <v>1</v>
      </c>
      <c r="E3225">
        <v>548.61538461538476</v>
      </c>
      <c r="F3225">
        <f t="shared" si="51"/>
        <v>548.61538461538476</v>
      </c>
    </row>
    <row r="3226" spans="1:6" x14ac:dyDescent="0.2">
      <c r="A3226">
        <v>839</v>
      </c>
      <c r="B3226" t="s">
        <v>185</v>
      </c>
      <c r="C3226" t="s">
        <v>186</v>
      </c>
      <c r="D3226">
        <v>3</v>
      </c>
      <c r="E3226">
        <v>278.05</v>
      </c>
      <c r="F3226">
        <f t="shared" si="51"/>
        <v>834.15000000000009</v>
      </c>
    </row>
    <row r="3227" spans="1:6" x14ac:dyDescent="0.2">
      <c r="A3227">
        <v>839</v>
      </c>
      <c r="B3227" t="s">
        <v>187</v>
      </c>
      <c r="C3227" t="s">
        <v>188</v>
      </c>
      <c r="D3227">
        <v>1</v>
      </c>
      <c r="E3227">
        <v>105.03649999999999</v>
      </c>
      <c r="F3227">
        <f t="shared" si="51"/>
        <v>105.03649999999999</v>
      </c>
    </row>
    <row r="3228" spans="1:6" x14ac:dyDescent="0.2">
      <c r="A3228">
        <v>839</v>
      </c>
      <c r="B3228" t="s">
        <v>189</v>
      </c>
      <c r="C3228" t="s">
        <v>163</v>
      </c>
      <c r="D3228">
        <v>2</v>
      </c>
      <c r="E3228">
        <v>154.25968320000001</v>
      </c>
      <c r="F3228">
        <f t="shared" si="51"/>
        <v>308.51936640000002</v>
      </c>
    </row>
    <row r="3229" spans="1:6" x14ac:dyDescent="0.2">
      <c r="A3229">
        <v>839</v>
      </c>
      <c r="B3229" t="s">
        <v>190</v>
      </c>
      <c r="C3229" t="s">
        <v>191</v>
      </c>
      <c r="D3229">
        <v>3</v>
      </c>
      <c r="E3229">
        <v>1397.886</v>
      </c>
      <c r="F3229">
        <f t="shared" si="51"/>
        <v>4193.6579999999994</v>
      </c>
    </row>
    <row r="3230" spans="1:6" x14ac:dyDescent="0.2">
      <c r="A3230">
        <v>839</v>
      </c>
      <c r="B3230" t="s">
        <v>192</v>
      </c>
      <c r="C3230" t="s">
        <v>193</v>
      </c>
      <c r="D3230">
        <v>6</v>
      </c>
      <c r="E3230">
        <v>843.03639167999984</v>
      </c>
      <c r="F3230">
        <f t="shared" si="51"/>
        <v>5058.2183500799993</v>
      </c>
    </row>
    <row r="3231" spans="1:6" x14ac:dyDescent="0.2">
      <c r="A3231">
        <v>839</v>
      </c>
      <c r="B3231" t="s">
        <v>194</v>
      </c>
      <c r="C3231" t="s">
        <v>193</v>
      </c>
      <c r="D3231">
        <v>6</v>
      </c>
      <c r="E3231">
        <v>868.20489999999995</v>
      </c>
      <c r="F3231">
        <f t="shared" si="51"/>
        <v>5209.2294000000002</v>
      </c>
    </row>
    <row r="3232" spans="1:6" x14ac:dyDescent="0.2">
      <c r="A3232">
        <v>839</v>
      </c>
      <c r="B3232" t="s">
        <v>195</v>
      </c>
      <c r="C3232" t="s">
        <v>117</v>
      </c>
      <c r="D3232">
        <v>1</v>
      </c>
      <c r="E3232">
        <v>1.0374999999999999</v>
      </c>
      <c r="F3232">
        <f t="shared" si="51"/>
        <v>1.0374999999999999</v>
      </c>
    </row>
    <row r="3233" spans="1:6" x14ac:dyDescent="0.2">
      <c r="A3233">
        <v>839</v>
      </c>
      <c r="B3233" t="s">
        <v>135</v>
      </c>
      <c r="C3233" t="s">
        <v>136</v>
      </c>
      <c r="D3233">
        <v>3</v>
      </c>
      <c r="E3233">
        <v>395.04690624</v>
      </c>
      <c r="F3233">
        <f t="shared" si="51"/>
        <v>1185.14071872</v>
      </c>
    </row>
    <row r="3234" spans="1:6" x14ac:dyDescent="0.2">
      <c r="A3234">
        <v>839</v>
      </c>
      <c r="B3234" t="s">
        <v>137</v>
      </c>
      <c r="C3234" t="s">
        <v>138</v>
      </c>
      <c r="D3234">
        <v>1</v>
      </c>
      <c r="E3234">
        <v>252.98431871999998</v>
      </c>
      <c r="F3234">
        <f t="shared" si="51"/>
        <v>252.98431871999998</v>
      </c>
    </row>
    <row r="3235" spans="1:6" x14ac:dyDescent="0.2">
      <c r="A3235">
        <v>839</v>
      </c>
      <c r="B3235" t="s">
        <v>139</v>
      </c>
      <c r="C3235" t="s">
        <v>140</v>
      </c>
      <c r="D3235">
        <v>1</v>
      </c>
      <c r="E3235">
        <v>2054.4575</v>
      </c>
      <c r="F3235">
        <f t="shared" si="51"/>
        <v>2054.4575</v>
      </c>
    </row>
    <row r="3236" spans="1:6" x14ac:dyDescent="0.2">
      <c r="A3236">
        <v>839</v>
      </c>
      <c r="B3236" t="s">
        <v>116</v>
      </c>
      <c r="C3236" t="s">
        <v>117</v>
      </c>
      <c r="D3236">
        <v>3</v>
      </c>
      <c r="E3236">
        <v>0.25729999999999997</v>
      </c>
      <c r="F3236">
        <f t="shared" si="51"/>
        <v>0.77189999999999992</v>
      </c>
    </row>
    <row r="3237" spans="1:6" x14ac:dyDescent="0.2">
      <c r="A3237">
        <v>839</v>
      </c>
      <c r="B3237" t="s">
        <v>118</v>
      </c>
      <c r="C3237" t="s">
        <v>119</v>
      </c>
      <c r="D3237">
        <v>2</v>
      </c>
      <c r="E3237">
        <v>0.83</v>
      </c>
      <c r="F3237">
        <f t="shared" si="51"/>
        <v>1.66</v>
      </c>
    </row>
    <row r="3238" spans="1:6" x14ac:dyDescent="0.2">
      <c r="A3238">
        <v>839</v>
      </c>
      <c r="B3238" t="s">
        <v>120</v>
      </c>
      <c r="C3238" t="s">
        <v>117</v>
      </c>
      <c r="D3238">
        <v>1</v>
      </c>
      <c r="E3238">
        <v>1.5603999999999998</v>
      </c>
      <c r="F3238">
        <f t="shared" si="51"/>
        <v>1.5603999999999998</v>
      </c>
    </row>
    <row r="3239" spans="1:6" x14ac:dyDescent="0.2">
      <c r="A3239">
        <v>839</v>
      </c>
      <c r="B3239" t="s">
        <v>121</v>
      </c>
      <c r="C3239" t="s">
        <v>117</v>
      </c>
      <c r="D3239">
        <v>5</v>
      </c>
      <c r="E3239">
        <v>270.83729999999997</v>
      </c>
      <c r="F3239">
        <f t="shared" si="51"/>
        <v>1354.1864999999998</v>
      </c>
    </row>
    <row r="3240" spans="1:6" x14ac:dyDescent="0.2">
      <c r="A3240">
        <v>839</v>
      </c>
      <c r="B3240" t="s">
        <v>122</v>
      </c>
      <c r="C3240" t="s">
        <v>76</v>
      </c>
      <c r="D3240">
        <v>1</v>
      </c>
      <c r="E3240">
        <v>14.915099999999999</v>
      </c>
      <c r="F3240">
        <f t="shared" si="51"/>
        <v>14.915099999999999</v>
      </c>
    </row>
    <row r="3241" spans="1:6" x14ac:dyDescent="0.2">
      <c r="A3241">
        <v>839</v>
      </c>
      <c r="B3241" t="s">
        <v>123</v>
      </c>
      <c r="C3241" t="s">
        <v>119</v>
      </c>
      <c r="D3241">
        <v>1</v>
      </c>
      <c r="E3241">
        <v>122.52459999999999</v>
      </c>
      <c r="F3241">
        <f t="shared" si="51"/>
        <v>122.52459999999999</v>
      </c>
    </row>
    <row r="3242" spans="1:6" x14ac:dyDescent="0.2">
      <c r="A3242">
        <v>839</v>
      </c>
      <c r="B3242" t="s">
        <v>124</v>
      </c>
      <c r="C3242" t="s">
        <v>119</v>
      </c>
      <c r="D3242">
        <v>1</v>
      </c>
      <c r="E3242">
        <v>65.877099999999999</v>
      </c>
      <c r="F3242">
        <f t="shared" si="51"/>
        <v>65.877099999999999</v>
      </c>
    </row>
    <row r="3243" spans="1:6" x14ac:dyDescent="0.2">
      <c r="A3243">
        <v>839</v>
      </c>
      <c r="B3243" t="s">
        <v>125</v>
      </c>
      <c r="C3243" t="s">
        <v>117</v>
      </c>
      <c r="D3243">
        <v>5</v>
      </c>
      <c r="E3243">
        <v>45.957099999999997</v>
      </c>
      <c r="F3243">
        <f t="shared" si="51"/>
        <v>229.78549999999998</v>
      </c>
    </row>
    <row r="3244" spans="1:6" x14ac:dyDescent="0.2">
      <c r="A3244">
        <v>839</v>
      </c>
      <c r="B3244" t="s">
        <v>126</v>
      </c>
      <c r="C3244" t="s">
        <v>127</v>
      </c>
      <c r="D3244">
        <v>5</v>
      </c>
      <c r="E3244">
        <v>411.49739999999997</v>
      </c>
      <c r="F3244">
        <f t="shared" si="51"/>
        <v>2057.4870000000001</v>
      </c>
    </row>
    <row r="3245" spans="1:6" x14ac:dyDescent="0.2">
      <c r="A3245">
        <v>839</v>
      </c>
      <c r="B3245" t="s">
        <v>129</v>
      </c>
      <c r="C3245" t="s">
        <v>130</v>
      </c>
      <c r="D3245">
        <v>1</v>
      </c>
      <c r="E3245">
        <v>6724.2781999999997</v>
      </c>
      <c r="F3245">
        <f t="shared" si="51"/>
        <v>6724.2781999999997</v>
      </c>
    </row>
    <row r="3246" spans="1:6" x14ac:dyDescent="0.2">
      <c r="A3246">
        <v>839</v>
      </c>
      <c r="B3246" t="s">
        <v>132</v>
      </c>
      <c r="C3246" t="s">
        <v>133</v>
      </c>
      <c r="D3246">
        <v>1</v>
      </c>
      <c r="E3246">
        <v>1168.0257999999999</v>
      </c>
      <c r="F3246">
        <f t="shared" si="51"/>
        <v>1168.0257999999999</v>
      </c>
    </row>
    <row r="3247" spans="1:6" x14ac:dyDescent="0.2">
      <c r="A3247">
        <v>839</v>
      </c>
      <c r="B3247" t="s">
        <v>110</v>
      </c>
      <c r="C3247" t="s">
        <v>111</v>
      </c>
      <c r="D3247">
        <v>4</v>
      </c>
      <c r="E3247">
        <v>119.83539999999999</v>
      </c>
      <c r="F3247">
        <f t="shared" si="51"/>
        <v>479.34159999999997</v>
      </c>
    </row>
    <row r="3248" spans="1:6" x14ac:dyDescent="0.2">
      <c r="A3248">
        <v>839</v>
      </c>
      <c r="B3248" t="s">
        <v>112</v>
      </c>
      <c r="C3248" t="s">
        <v>113</v>
      </c>
      <c r="D3248">
        <v>3</v>
      </c>
      <c r="E3248">
        <v>97.646153846153851</v>
      </c>
      <c r="F3248">
        <f t="shared" si="51"/>
        <v>292.93846153846152</v>
      </c>
    </row>
    <row r="3249" spans="1:6" x14ac:dyDescent="0.2">
      <c r="A3249">
        <v>839</v>
      </c>
      <c r="B3249" t="s">
        <v>110</v>
      </c>
      <c r="C3249" t="s">
        <v>111</v>
      </c>
      <c r="D3249">
        <v>1</v>
      </c>
      <c r="E3249">
        <v>119.83539999999999</v>
      </c>
      <c r="F3249">
        <f t="shared" si="51"/>
        <v>119.83539999999999</v>
      </c>
    </row>
    <row r="3250" spans="1:6" x14ac:dyDescent="0.2">
      <c r="A3250">
        <v>839</v>
      </c>
      <c r="B3250" t="s">
        <v>112</v>
      </c>
      <c r="C3250" t="s">
        <v>113</v>
      </c>
      <c r="D3250">
        <v>3</v>
      </c>
      <c r="E3250">
        <v>97.646153846153851</v>
      </c>
      <c r="F3250">
        <f t="shared" si="51"/>
        <v>292.93846153846152</v>
      </c>
    </row>
    <row r="3251" spans="1:6" x14ac:dyDescent="0.2">
      <c r="A3251">
        <v>839</v>
      </c>
      <c r="B3251" t="s">
        <v>97</v>
      </c>
      <c r="C3251" t="s">
        <v>98</v>
      </c>
      <c r="D3251">
        <v>2</v>
      </c>
      <c r="E3251">
        <v>189.87909999999999</v>
      </c>
      <c r="F3251">
        <f t="shared" si="51"/>
        <v>379.75819999999999</v>
      </c>
    </row>
    <row r="3252" spans="1:6" x14ac:dyDescent="0.2">
      <c r="A3252">
        <v>839</v>
      </c>
      <c r="B3252" t="s">
        <v>99</v>
      </c>
      <c r="C3252" t="s">
        <v>100</v>
      </c>
      <c r="D3252">
        <v>4</v>
      </c>
      <c r="E3252">
        <v>1287.1384615384613</v>
      </c>
      <c r="F3252">
        <f t="shared" si="51"/>
        <v>5148.5538461538454</v>
      </c>
    </row>
    <row r="3253" spans="1:6" x14ac:dyDescent="0.2">
      <c r="A3253">
        <v>839</v>
      </c>
      <c r="B3253" t="s">
        <v>101</v>
      </c>
      <c r="C3253" t="s">
        <v>102</v>
      </c>
      <c r="D3253">
        <v>1</v>
      </c>
      <c r="E3253">
        <v>1363.0371551999999</v>
      </c>
      <c r="F3253">
        <f t="shared" si="51"/>
        <v>1363.0371551999999</v>
      </c>
    </row>
    <row r="3254" spans="1:6" x14ac:dyDescent="0.2">
      <c r="A3254">
        <v>839</v>
      </c>
      <c r="B3254" t="s">
        <v>103</v>
      </c>
      <c r="C3254" t="s">
        <v>104</v>
      </c>
      <c r="D3254">
        <v>118</v>
      </c>
      <c r="E3254">
        <v>423.58219999999994</v>
      </c>
      <c r="F3254">
        <f t="shared" si="51"/>
        <v>49982.699599999993</v>
      </c>
    </row>
    <row r="3255" spans="1:6" x14ac:dyDescent="0.2">
      <c r="A3255">
        <v>839</v>
      </c>
      <c r="B3255" t="s">
        <v>105</v>
      </c>
      <c r="C3255" t="s">
        <v>106</v>
      </c>
      <c r="D3255">
        <v>1</v>
      </c>
      <c r="E3255">
        <v>36.470199999999998</v>
      </c>
      <c r="F3255">
        <f t="shared" si="51"/>
        <v>36.470199999999998</v>
      </c>
    </row>
    <row r="3256" spans="1:6" x14ac:dyDescent="0.2">
      <c r="A3256">
        <v>839</v>
      </c>
      <c r="B3256" t="s">
        <v>107</v>
      </c>
      <c r="C3256" t="s">
        <v>108</v>
      </c>
      <c r="D3256">
        <v>1</v>
      </c>
      <c r="E3256">
        <v>61.492307692307698</v>
      </c>
      <c r="F3256">
        <f t="shared" si="51"/>
        <v>61.492307692307698</v>
      </c>
    </row>
    <row r="3257" spans="1:6" x14ac:dyDescent="0.2">
      <c r="A3257">
        <v>839</v>
      </c>
      <c r="B3257" t="s">
        <v>62</v>
      </c>
      <c r="C3257" t="s">
        <v>323</v>
      </c>
      <c r="D3257">
        <v>3</v>
      </c>
      <c r="E3257">
        <v>0.34859999999999997</v>
      </c>
      <c r="F3257">
        <f t="shared" si="51"/>
        <v>1.0457999999999998</v>
      </c>
    </row>
    <row r="3258" spans="1:6" x14ac:dyDescent="0.2">
      <c r="A3258">
        <v>839</v>
      </c>
      <c r="B3258" t="s">
        <v>324</v>
      </c>
      <c r="C3258" t="s">
        <v>273</v>
      </c>
      <c r="D3258">
        <v>1</v>
      </c>
      <c r="E3258">
        <v>0.9544999999999999</v>
      </c>
      <c r="F3258">
        <f t="shared" si="51"/>
        <v>0.9544999999999999</v>
      </c>
    </row>
    <row r="3259" spans="1:6" x14ac:dyDescent="0.2">
      <c r="A3259">
        <v>839</v>
      </c>
      <c r="B3259" t="s">
        <v>325</v>
      </c>
      <c r="C3259" t="s">
        <v>273</v>
      </c>
      <c r="D3259">
        <v>2</v>
      </c>
      <c r="E3259">
        <v>3.3692307692307697</v>
      </c>
      <c r="F3259">
        <f t="shared" si="51"/>
        <v>6.7384615384615394</v>
      </c>
    </row>
    <row r="3260" spans="1:6" x14ac:dyDescent="0.2">
      <c r="A3260">
        <v>839</v>
      </c>
      <c r="B3260" t="s">
        <v>154</v>
      </c>
      <c r="C3260" t="s">
        <v>278</v>
      </c>
      <c r="D3260">
        <v>3</v>
      </c>
      <c r="E3260">
        <v>4.3657999999999992</v>
      </c>
      <c r="F3260">
        <f t="shared" si="51"/>
        <v>13.097399999999997</v>
      </c>
    </row>
    <row r="3261" spans="1:6" x14ac:dyDescent="0.2">
      <c r="A3261">
        <v>839</v>
      </c>
      <c r="B3261" t="s">
        <v>290</v>
      </c>
      <c r="C3261" t="s">
        <v>278</v>
      </c>
      <c r="D3261">
        <v>6</v>
      </c>
      <c r="E3261">
        <v>43.751809919999999</v>
      </c>
      <c r="F3261">
        <f t="shared" si="51"/>
        <v>262.51085952</v>
      </c>
    </row>
    <row r="3262" spans="1:6" x14ac:dyDescent="0.2">
      <c r="A3262">
        <v>839</v>
      </c>
      <c r="B3262" t="s">
        <v>288</v>
      </c>
      <c r="C3262" t="s">
        <v>289</v>
      </c>
      <c r="D3262">
        <v>6</v>
      </c>
      <c r="E3262">
        <v>7.3401215999999998</v>
      </c>
      <c r="F3262">
        <f t="shared" si="51"/>
        <v>44.040729599999999</v>
      </c>
    </row>
    <row r="3263" spans="1:6" x14ac:dyDescent="0.2">
      <c r="A3263">
        <v>839</v>
      </c>
      <c r="B3263" t="s">
        <v>287</v>
      </c>
      <c r="C3263" t="s">
        <v>273</v>
      </c>
      <c r="D3263">
        <v>1</v>
      </c>
      <c r="E3263">
        <v>100.66898687999999</v>
      </c>
      <c r="F3263">
        <f t="shared" si="51"/>
        <v>100.66898687999999</v>
      </c>
    </row>
    <row r="3264" spans="1:6" x14ac:dyDescent="0.2">
      <c r="A3264">
        <v>839</v>
      </c>
      <c r="B3264" t="s">
        <v>285</v>
      </c>
      <c r="C3264" t="s">
        <v>286</v>
      </c>
      <c r="D3264">
        <v>3</v>
      </c>
      <c r="E3264">
        <v>58.189985279999981</v>
      </c>
      <c r="F3264">
        <f t="shared" si="51"/>
        <v>174.56995583999995</v>
      </c>
    </row>
    <row r="3265" spans="1:6" x14ac:dyDescent="0.2">
      <c r="A3265">
        <v>839</v>
      </c>
      <c r="B3265" t="s">
        <v>291</v>
      </c>
      <c r="C3265" t="s">
        <v>278</v>
      </c>
      <c r="D3265">
        <v>1</v>
      </c>
      <c r="E3265">
        <v>24.136399999999998</v>
      </c>
      <c r="F3265">
        <f t="shared" si="51"/>
        <v>24.136399999999998</v>
      </c>
    </row>
    <row r="3266" spans="1:6" x14ac:dyDescent="0.2">
      <c r="A3266">
        <v>839</v>
      </c>
      <c r="B3266" t="s">
        <v>277</v>
      </c>
      <c r="C3266" t="s">
        <v>278</v>
      </c>
      <c r="D3266">
        <v>1</v>
      </c>
      <c r="E3266">
        <v>41.026594559999999</v>
      </c>
      <c r="F3266">
        <f t="shared" si="51"/>
        <v>41.026594559999999</v>
      </c>
    </row>
    <row r="3267" spans="1:6" x14ac:dyDescent="0.2">
      <c r="A3267">
        <v>839</v>
      </c>
      <c r="B3267" t="s">
        <v>326</v>
      </c>
      <c r="C3267" t="s">
        <v>278</v>
      </c>
      <c r="D3267">
        <v>3</v>
      </c>
      <c r="E3267">
        <v>3.97459776</v>
      </c>
      <c r="F3267">
        <f t="shared" si="51"/>
        <v>11.92379328</v>
      </c>
    </row>
    <row r="3268" spans="1:6" x14ac:dyDescent="0.2">
      <c r="A3268">
        <v>839</v>
      </c>
      <c r="B3268" t="s">
        <v>274</v>
      </c>
      <c r="C3268" t="s">
        <v>273</v>
      </c>
      <c r="D3268">
        <v>2</v>
      </c>
      <c r="E3268">
        <v>149.23091903999997</v>
      </c>
      <c r="F3268">
        <f t="shared" si="51"/>
        <v>298.46183807999995</v>
      </c>
    </row>
    <row r="3269" spans="1:6" x14ac:dyDescent="0.2">
      <c r="A3269">
        <v>839</v>
      </c>
      <c r="B3269" t="s">
        <v>327</v>
      </c>
      <c r="C3269" t="s">
        <v>309</v>
      </c>
      <c r="D3269">
        <v>1</v>
      </c>
      <c r="E3269">
        <v>1532.5236863999999</v>
      </c>
      <c r="F3269">
        <f t="shared" si="51"/>
        <v>1532.5236863999999</v>
      </c>
    </row>
    <row r="3270" spans="1:6" x14ac:dyDescent="0.2">
      <c r="A3270">
        <v>839</v>
      </c>
      <c r="B3270" t="s">
        <v>328</v>
      </c>
      <c r="C3270" t="s">
        <v>329</v>
      </c>
      <c r="D3270">
        <v>5</v>
      </c>
      <c r="E3270">
        <v>155.62307692307695</v>
      </c>
      <c r="F3270">
        <f t="shared" si="51"/>
        <v>778.11538461538476</v>
      </c>
    </row>
    <row r="3271" spans="1:6" x14ac:dyDescent="0.2">
      <c r="A3271">
        <v>839</v>
      </c>
      <c r="B3271" t="s">
        <v>330</v>
      </c>
      <c r="C3271" t="s">
        <v>331</v>
      </c>
      <c r="D3271">
        <v>1</v>
      </c>
      <c r="E3271">
        <v>710.44615384615395</v>
      </c>
      <c r="F3271">
        <f t="shared" ref="F3271:F3334" si="52">D3271*E3271</f>
        <v>710.44615384615395</v>
      </c>
    </row>
    <row r="3272" spans="1:6" x14ac:dyDescent="0.2">
      <c r="A3272">
        <v>839</v>
      </c>
      <c r="B3272" t="s">
        <v>332</v>
      </c>
      <c r="C3272" t="s">
        <v>333</v>
      </c>
      <c r="D3272">
        <v>3</v>
      </c>
      <c r="E3272">
        <v>167.55384615384617</v>
      </c>
      <c r="F3272">
        <f t="shared" si="52"/>
        <v>502.6615384615385</v>
      </c>
    </row>
    <row r="3273" spans="1:6" x14ac:dyDescent="0.2">
      <c r="A3273">
        <v>839</v>
      </c>
      <c r="B3273" t="s">
        <v>272</v>
      </c>
      <c r="C3273" t="s">
        <v>273</v>
      </c>
      <c r="D3273">
        <v>6</v>
      </c>
      <c r="E3273">
        <v>170.11122239999997</v>
      </c>
      <c r="F3273">
        <f t="shared" si="52"/>
        <v>1020.6673343999998</v>
      </c>
    </row>
    <row r="3274" spans="1:6" x14ac:dyDescent="0.2">
      <c r="A3274">
        <v>839</v>
      </c>
      <c r="B3274" t="s">
        <v>275</v>
      </c>
      <c r="C3274" t="s">
        <v>276</v>
      </c>
      <c r="D3274">
        <v>6</v>
      </c>
      <c r="E3274">
        <v>9.0814483199999998</v>
      </c>
      <c r="F3274">
        <f t="shared" si="52"/>
        <v>54.488689919999999</v>
      </c>
    </row>
    <row r="3275" spans="1:6" x14ac:dyDescent="0.2">
      <c r="A3275">
        <v>839</v>
      </c>
      <c r="B3275" t="s">
        <v>334</v>
      </c>
      <c r="C3275" t="s">
        <v>329</v>
      </c>
      <c r="D3275">
        <v>1</v>
      </c>
      <c r="E3275">
        <v>149.03076923076924</v>
      </c>
      <c r="F3275">
        <f t="shared" si="52"/>
        <v>149.03076923076924</v>
      </c>
    </row>
    <row r="3276" spans="1:6" x14ac:dyDescent="0.2">
      <c r="A3276">
        <v>839</v>
      </c>
      <c r="B3276" t="s">
        <v>335</v>
      </c>
      <c r="C3276" t="s">
        <v>331</v>
      </c>
      <c r="D3276">
        <v>3</v>
      </c>
      <c r="E3276">
        <v>703.1</v>
      </c>
      <c r="F3276">
        <f t="shared" si="52"/>
        <v>2109.3000000000002</v>
      </c>
    </row>
    <row r="3277" spans="1:6" x14ac:dyDescent="0.2">
      <c r="A3277">
        <v>839</v>
      </c>
      <c r="B3277" t="s">
        <v>336</v>
      </c>
      <c r="C3277" t="s">
        <v>333</v>
      </c>
      <c r="D3277">
        <v>1</v>
      </c>
      <c r="E3277">
        <v>288.42307692307691</v>
      </c>
      <c r="F3277">
        <f t="shared" si="52"/>
        <v>288.42307692307691</v>
      </c>
    </row>
    <row r="3278" spans="1:6" x14ac:dyDescent="0.2">
      <c r="A3278">
        <v>839</v>
      </c>
      <c r="B3278" t="s">
        <v>337</v>
      </c>
      <c r="C3278" t="s">
        <v>297</v>
      </c>
      <c r="D3278">
        <v>1</v>
      </c>
      <c r="E3278">
        <v>11.761099999999999</v>
      </c>
      <c r="F3278">
        <f t="shared" si="52"/>
        <v>11.761099999999999</v>
      </c>
    </row>
    <row r="3279" spans="1:6" x14ac:dyDescent="0.2">
      <c r="A3279">
        <v>839</v>
      </c>
      <c r="B3279" t="s">
        <v>338</v>
      </c>
      <c r="C3279" t="s">
        <v>297</v>
      </c>
      <c r="D3279">
        <v>3</v>
      </c>
      <c r="E3279">
        <v>11.712959999999999</v>
      </c>
      <c r="F3279">
        <f t="shared" si="52"/>
        <v>35.13888</v>
      </c>
    </row>
    <row r="3280" spans="1:6" x14ac:dyDescent="0.2">
      <c r="A3280">
        <v>839</v>
      </c>
      <c r="B3280" t="s">
        <v>339</v>
      </c>
      <c r="C3280" t="s">
        <v>297</v>
      </c>
      <c r="D3280">
        <v>2</v>
      </c>
      <c r="E3280">
        <v>20.279038079999996</v>
      </c>
      <c r="F3280">
        <f t="shared" si="52"/>
        <v>40.558076159999992</v>
      </c>
    </row>
    <row r="3281" spans="1:6" x14ac:dyDescent="0.2">
      <c r="A3281">
        <v>839</v>
      </c>
      <c r="B3281" t="s">
        <v>340</v>
      </c>
      <c r="C3281" t="s">
        <v>309</v>
      </c>
      <c r="D3281">
        <v>1</v>
      </c>
      <c r="E3281">
        <v>1536.3343027199999</v>
      </c>
      <c r="F3281">
        <f t="shared" si="52"/>
        <v>1536.3343027199999</v>
      </c>
    </row>
    <row r="3282" spans="1:6" x14ac:dyDescent="0.2">
      <c r="A3282">
        <v>839</v>
      </c>
      <c r="B3282" t="s">
        <v>341</v>
      </c>
      <c r="C3282" t="s">
        <v>342</v>
      </c>
      <c r="D3282">
        <v>5</v>
      </c>
      <c r="E3282">
        <v>307.22449999999998</v>
      </c>
      <c r="F3282">
        <f t="shared" si="52"/>
        <v>1536.1224999999999</v>
      </c>
    </row>
    <row r="3283" spans="1:6" x14ac:dyDescent="0.2">
      <c r="A3283">
        <v>839</v>
      </c>
      <c r="B3283" t="s">
        <v>284</v>
      </c>
      <c r="C3283" t="s">
        <v>273</v>
      </c>
      <c r="D3283">
        <v>1</v>
      </c>
      <c r="E3283">
        <v>15.547002240000001</v>
      </c>
      <c r="F3283">
        <f t="shared" si="52"/>
        <v>15.547002240000001</v>
      </c>
    </row>
    <row r="3284" spans="1:6" x14ac:dyDescent="0.2">
      <c r="A3284">
        <v>839</v>
      </c>
      <c r="B3284" t="s">
        <v>283</v>
      </c>
      <c r="C3284" t="s">
        <v>278</v>
      </c>
      <c r="D3284">
        <v>1</v>
      </c>
      <c r="E3284">
        <v>101.76219647999997</v>
      </c>
      <c r="F3284">
        <f t="shared" si="52"/>
        <v>101.76219647999997</v>
      </c>
    </row>
    <row r="3285" spans="1:6" x14ac:dyDescent="0.2">
      <c r="A3285">
        <v>839</v>
      </c>
      <c r="B3285" t="s">
        <v>281</v>
      </c>
      <c r="C3285" t="s">
        <v>282</v>
      </c>
      <c r="D3285">
        <v>1</v>
      </c>
      <c r="E3285">
        <v>43.369186559999996</v>
      </c>
      <c r="F3285">
        <f t="shared" si="52"/>
        <v>43.369186559999996</v>
      </c>
    </row>
    <row r="3286" spans="1:6" x14ac:dyDescent="0.2">
      <c r="A3286">
        <v>839</v>
      </c>
      <c r="B3286" t="s">
        <v>279</v>
      </c>
      <c r="C3286" t="s">
        <v>280</v>
      </c>
      <c r="D3286">
        <v>5</v>
      </c>
      <c r="E3286">
        <v>36.786503039999999</v>
      </c>
      <c r="F3286">
        <f t="shared" si="52"/>
        <v>183.93251520000001</v>
      </c>
    </row>
    <row r="3287" spans="1:6" x14ac:dyDescent="0.2">
      <c r="A3287">
        <v>839</v>
      </c>
      <c r="B3287" t="s">
        <v>343</v>
      </c>
      <c r="C3287" t="s">
        <v>282</v>
      </c>
      <c r="D3287">
        <v>5</v>
      </c>
      <c r="E3287">
        <v>16.807499999999997</v>
      </c>
      <c r="F3287">
        <f t="shared" si="52"/>
        <v>84.037499999999994</v>
      </c>
    </row>
    <row r="3288" spans="1:6" x14ac:dyDescent="0.2">
      <c r="A3288">
        <v>839</v>
      </c>
      <c r="B3288" t="s">
        <v>344</v>
      </c>
      <c r="C3288" t="s">
        <v>282</v>
      </c>
      <c r="D3288">
        <v>1</v>
      </c>
      <c r="E3288">
        <v>12.767126399999999</v>
      </c>
      <c r="F3288">
        <f t="shared" si="52"/>
        <v>12.767126399999999</v>
      </c>
    </row>
    <row r="3289" spans="1:6" x14ac:dyDescent="0.2">
      <c r="A3289">
        <v>839</v>
      </c>
      <c r="B3289" t="s">
        <v>270</v>
      </c>
      <c r="C3289" t="s">
        <v>271</v>
      </c>
      <c r="D3289">
        <v>1</v>
      </c>
      <c r="E3289">
        <v>3027.0973823999993</v>
      </c>
      <c r="F3289">
        <f t="shared" si="52"/>
        <v>3027.0973823999993</v>
      </c>
    </row>
    <row r="3290" spans="1:6" x14ac:dyDescent="0.2">
      <c r="A3290">
        <v>839</v>
      </c>
      <c r="B3290" t="s">
        <v>272</v>
      </c>
      <c r="C3290" t="s">
        <v>273</v>
      </c>
      <c r="D3290">
        <v>4</v>
      </c>
      <c r="E3290">
        <v>170.11122239999997</v>
      </c>
      <c r="F3290">
        <f t="shared" si="52"/>
        <v>680.4448895999999</v>
      </c>
    </row>
    <row r="3291" spans="1:6" x14ac:dyDescent="0.2">
      <c r="A3291">
        <v>839</v>
      </c>
      <c r="B3291" t="s">
        <v>274</v>
      </c>
      <c r="C3291" t="s">
        <v>273</v>
      </c>
      <c r="D3291">
        <v>3</v>
      </c>
      <c r="E3291">
        <v>149.23091903999997</v>
      </c>
      <c r="F3291">
        <f t="shared" si="52"/>
        <v>447.6927571199999</v>
      </c>
    </row>
    <row r="3292" spans="1:6" x14ac:dyDescent="0.2">
      <c r="A3292">
        <v>839</v>
      </c>
      <c r="B3292" t="s">
        <v>275</v>
      </c>
      <c r="C3292" t="s">
        <v>276</v>
      </c>
      <c r="D3292">
        <v>1</v>
      </c>
      <c r="E3292">
        <v>9.0814483199999998</v>
      </c>
      <c r="F3292">
        <f t="shared" si="52"/>
        <v>9.0814483199999998</v>
      </c>
    </row>
    <row r="3293" spans="1:6" x14ac:dyDescent="0.2">
      <c r="A3293">
        <v>839</v>
      </c>
      <c r="B3293" t="s">
        <v>277</v>
      </c>
      <c r="C3293" t="s">
        <v>278</v>
      </c>
      <c r="D3293">
        <v>3</v>
      </c>
      <c r="E3293">
        <v>41.026594559999999</v>
      </c>
      <c r="F3293">
        <f t="shared" si="52"/>
        <v>123.07978367999999</v>
      </c>
    </row>
    <row r="3294" spans="1:6" x14ac:dyDescent="0.2">
      <c r="A3294">
        <v>839</v>
      </c>
      <c r="B3294" t="s">
        <v>279</v>
      </c>
      <c r="C3294" t="s">
        <v>280</v>
      </c>
      <c r="D3294">
        <v>2</v>
      </c>
      <c r="E3294">
        <v>36.786503039999999</v>
      </c>
      <c r="F3294">
        <f t="shared" si="52"/>
        <v>73.573006079999999</v>
      </c>
    </row>
    <row r="3295" spans="1:6" x14ac:dyDescent="0.2">
      <c r="A3295">
        <v>839</v>
      </c>
      <c r="B3295" t="s">
        <v>281</v>
      </c>
      <c r="C3295" t="s">
        <v>282</v>
      </c>
      <c r="D3295">
        <v>4</v>
      </c>
      <c r="E3295">
        <v>43.369186559999996</v>
      </c>
      <c r="F3295">
        <f t="shared" si="52"/>
        <v>173.47674623999998</v>
      </c>
    </row>
    <row r="3296" spans="1:6" x14ac:dyDescent="0.2">
      <c r="A3296">
        <v>839</v>
      </c>
      <c r="B3296" t="s">
        <v>283</v>
      </c>
      <c r="C3296" t="s">
        <v>278</v>
      </c>
      <c r="D3296">
        <v>1</v>
      </c>
      <c r="E3296">
        <v>101.76219647999997</v>
      </c>
      <c r="F3296">
        <f t="shared" si="52"/>
        <v>101.76219647999997</v>
      </c>
    </row>
    <row r="3297" spans="1:6" x14ac:dyDescent="0.2">
      <c r="A3297">
        <v>839</v>
      </c>
      <c r="B3297" t="s">
        <v>284</v>
      </c>
      <c r="C3297" t="s">
        <v>273</v>
      </c>
      <c r="D3297">
        <v>118</v>
      </c>
      <c r="E3297">
        <v>15.547002240000001</v>
      </c>
      <c r="F3297">
        <f t="shared" si="52"/>
        <v>1834.5462643200001</v>
      </c>
    </row>
    <row r="3298" spans="1:6" x14ac:dyDescent="0.2">
      <c r="A3298">
        <v>839</v>
      </c>
      <c r="B3298" t="s">
        <v>285</v>
      </c>
      <c r="C3298" t="s">
        <v>286</v>
      </c>
      <c r="D3298">
        <v>1</v>
      </c>
      <c r="E3298">
        <v>58.189985279999981</v>
      </c>
      <c r="F3298">
        <f t="shared" si="52"/>
        <v>58.189985279999981</v>
      </c>
    </row>
    <row r="3299" spans="1:6" x14ac:dyDescent="0.2">
      <c r="A3299">
        <v>839</v>
      </c>
      <c r="B3299" t="s">
        <v>287</v>
      </c>
      <c r="C3299" t="s">
        <v>273</v>
      </c>
      <c r="D3299">
        <v>1</v>
      </c>
      <c r="E3299">
        <v>100.66898687999999</v>
      </c>
      <c r="F3299">
        <f t="shared" si="52"/>
        <v>100.66898687999999</v>
      </c>
    </row>
    <row r="3300" spans="1:6" x14ac:dyDescent="0.2">
      <c r="A3300">
        <v>839</v>
      </c>
      <c r="B3300" t="s">
        <v>288</v>
      </c>
      <c r="C3300" t="s">
        <v>289</v>
      </c>
      <c r="D3300">
        <v>3</v>
      </c>
      <c r="E3300">
        <v>7.3401215999999998</v>
      </c>
      <c r="F3300">
        <f t="shared" si="52"/>
        <v>22.020364799999999</v>
      </c>
    </row>
    <row r="3301" spans="1:6" x14ac:dyDescent="0.2">
      <c r="A3301">
        <v>839</v>
      </c>
      <c r="B3301" t="s">
        <v>290</v>
      </c>
      <c r="C3301" t="s">
        <v>278</v>
      </c>
      <c r="D3301">
        <v>1</v>
      </c>
      <c r="E3301">
        <v>43.751809919999999</v>
      </c>
      <c r="F3301">
        <f t="shared" si="52"/>
        <v>43.751809919999999</v>
      </c>
    </row>
    <row r="3302" spans="1:6" x14ac:dyDescent="0.2">
      <c r="A3302">
        <v>839</v>
      </c>
      <c r="B3302" t="s">
        <v>277</v>
      </c>
      <c r="C3302" t="s">
        <v>278</v>
      </c>
      <c r="D3302">
        <v>2</v>
      </c>
      <c r="E3302">
        <v>41.026594559999999</v>
      </c>
      <c r="F3302">
        <f t="shared" si="52"/>
        <v>82.053189119999999</v>
      </c>
    </row>
    <row r="3303" spans="1:6" x14ac:dyDescent="0.2">
      <c r="A3303">
        <v>839</v>
      </c>
      <c r="B3303" t="s">
        <v>291</v>
      </c>
      <c r="C3303" t="s">
        <v>278</v>
      </c>
      <c r="D3303">
        <v>3</v>
      </c>
      <c r="E3303">
        <v>24.136399999999998</v>
      </c>
      <c r="F3303">
        <f t="shared" si="52"/>
        <v>72.409199999999998</v>
      </c>
    </row>
    <row r="3304" spans="1:6" x14ac:dyDescent="0.2">
      <c r="A3304">
        <v>839</v>
      </c>
      <c r="B3304" t="s">
        <v>292</v>
      </c>
      <c r="C3304" t="s">
        <v>293</v>
      </c>
      <c r="D3304">
        <v>6</v>
      </c>
      <c r="E3304">
        <v>96.852699999999999</v>
      </c>
      <c r="F3304">
        <f t="shared" si="52"/>
        <v>581.11619999999994</v>
      </c>
    </row>
    <row r="3305" spans="1:6" x14ac:dyDescent="0.2">
      <c r="A3305">
        <v>839</v>
      </c>
      <c r="B3305" t="s">
        <v>294</v>
      </c>
      <c r="C3305" t="s">
        <v>278</v>
      </c>
      <c r="D3305">
        <v>6</v>
      </c>
      <c r="E3305">
        <v>26.221413119999998</v>
      </c>
      <c r="F3305">
        <f t="shared" si="52"/>
        <v>157.32847871999999</v>
      </c>
    </row>
    <row r="3306" spans="1:6" x14ac:dyDescent="0.2">
      <c r="A3306">
        <v>839</v>
      </c>
      <c r="B3306" t="s">
        <v>295</v>
      </c>
      <c r="C3306" t="s">
        <v>273</v>
      </c>
      <c r="D3306">
        <v>1</v>
      </c>
      <c r="E3306">
        <v>54.886930560000003</v>
      </c>
      <c r="F3306">
        <f t="shared" si="52"/>
        <v>54.886930560000003</v>
      </c>
    </row>
    <row r="3307" spans="1:6" x14ac:dyDescent="0.2">
      <c r="A3307">
        <v>839</v>
      </c>
      <c r="B3307" t="s">
        <v>296</v>
      </c>
      <c r="C3307" t="s">
        <v>297</v>
      </c>
      <c r="D3307">
        <v>3</v>
      </c>
      <c r="E3307">
        <v>5.5028999999999995</v>
      </c>
      <c r="F3307">
        <f t="shared" si="52"/>
        <v>16.508699999999997</v>
      </c>
    </row>
    <row r="3308" spans="1:6" x14ac:dyDescent="0.2">
      <c r="A3308">
        <v>839</v>
      </c>
      <c r="B3308" t="s">
        <v>298</v>
      </c>
      <c r="C3308" t="s">
        <v>297</v>
      </c>
      <c r="D3308">
        <v>1</v>
      </c>
      <c r="E3308">
        <v>5.9344999999999999</v>
      </c>
      <c r="F3308">
        <f t="shared" si="52"/>
        <v>5.9344999999999999</v>
      </c>
    </row>
    <row r="3309" spans="1:6" x14ac:dyDescent="0.2">
      <c r="A3309">
        <v>839</v>
      </c>
      <c r="B3309" t="s">
        <v>299</v>
      </c>
      <c r="C3309" t="s">
        <v>297</v>
      </c>
      <c r="D3309">
        <v>1</v>
      </c>
      <c r="E3309">
        <v>4.3574999999999999</v>
      </c>
      <c r="F3309">
        <f t="shared" si="52"/>
        <v>4.3574999999999999</v>
      </c>
    </row>
    <row r="3310" spans="1:6" x14ac:dyDescent="0.2">
      <c r="A3310">
        <v>839</v>
      </c>
      <c r="B3310" t="s">
        <v>122</v>
      </c>
      <c r="C3310" t="s">
        <v>276</v>
      </c>
      <c r="D3310">
        <v>3</v>
      </c>
      <c r="E3310">
        <v>14.915099999999999</v>
      </c>
      <c r="F3310">
        <f t="shared" si="52"/>
        <v>44.7453</v>
      </c>
    </row>
    <row r="3311" spans="1:6" x14ac:dyDescent="0.2">
      <c r="A3311">
        <v>839</v>
      </c>
      <c r="B3311" t="s">
        <v>120</v>
      </c>
      <c r="C3311" t="s">
        <v>278</v>
      </c>
      <c r="D3311">
        <v>2</v>
      </c>
      <c r="E3311">
        <v>1.5603999999999998</v>
      </c>
      <c r="F3311">
        <f t="shared" si="52"/>
        <v>3.1207999999999996</v>
      </c>
    </row>
    <row r="3312" spans="1:6" x14ac:dyDescent="0.2">
      <c r="A3312">
        <v>839</v>
      </c>
      <c r="B3312" t="s">
        <v>300</v>
      </c>
      <c r="C3312" t="s">
        <v>273</v>
      </c>
      <c r="D3312">
        <v>1</v>
      </c>
      <c r="E3312">
        <v>60.589999999999996</v>
      </c>
      <c r="F3312">
        <f t="shared" si="52"/>
        <v>60.589999999999996</v>
      </c>
    </row>
    <row r="3313" spans="1:6" x14ac:dyDescent="0.2">
      <c r="A3313">
        <v>839</v>
      </c>
      <c r="B3313" t="s">
        <v>301</v>
      </c>
      <c r="C3313" t="s">
        <v>302</v>
      </c>
      <c r="D3313">
        <v>5</v>
      </c>
      <c r="E3313">
        <v>104.88565247999999</v>
      </c>
      <c r="F3313">
        <f t="shared" si="52"/>
        <v>524.42826239999999</v>
      </c>
    </row>
    <row r="3314" spans="1:6" x14ac:dyDescent="0.2">
      <c r="A3314">
        <v>839</v>
      </c>
      <c r="B3314" t="s">
        <v>303</v>
      </c>
      <c r="C3314" t="s">
        <v>304</v>
      </c>
      <c r="D3314">
        <v>1</v>
      </c>
      <c r="E3314">
        <v>683.94489999999996</v>
      </c>
      <c r="F3314">
        <f t="shared" si="52"/>
        <v>683.94489999999996</v>
      </c>
    </row>
    <row r="3315" spans="1:6" x14ac:dyDescent="0.2">
      <c r="A3315">
        <v>839</v>
      </c>
      <c r="B3315" t="s">
        <v>305</v>
      </c>
      <c r="C3315" t="s">
        <v>273</v>
      </c>
      <c r="D3315">
        <v>1</v>
      </c>
      <c r="E3315">
        <v>71.189099999999996</v>
      </c>
      <c r="F3315">
        <f t="shared" si="52"/>
        <v>71.189099999999996</v>
      </c>
    </row>
    <row r="3316" spans="1:6" x14ac:dyDescent="0.2">
      <c r="A3316">
        <v>839</v>
      </c>
      <c r="B3316" t="s">
        <v>294</v>
      </c>
      <c r="C3316" t="s">
        <v>278</v>
      </c>
      <c r="D3316">
        <v>1</v>
      </c>
      <c r="E3316">
        <v>26.221413119999998</v>
      </c>
      <c r="F3316">
        <f t="shared" si="52"/>
        <v>26.221413119999998</v>
      </c>
    </row>
    <row r="3317" spans="1:6" x14ac:dyDescent="0.2">
      <c r="A3317">
        <v>839</v>
      </c>
      <c r="B3317" t="s">
        <v>306</v>
      </c>
      <c r="C3317" t="s">
        <v>273</v>
      </c>
      <c r="D3317">
        <v>5</v>
      </c>
      <c r="E3317">
        <v>99.575777279999997</v>
      </c>
      <c r="F3317">
        <f t="shared" si="52"/>
        <v>497.8788864</v>
      </c>
    </row>
    <row r="3318" spans="1:6" x14ac:dyDescent="0.2">
      <c r="A3318">
        <v>839</v>
      </c>
      <c r="B3318" t="s">
        <v>294</v>
      </c>
      <c r="C3318" t="s">
        <v>278</v>
      </c>
      <c r="D3318">
        <v>5</v>
      </c>
      <c r="E3318">
        <v>26.221413119999998</v>
      </c>
      <c r="F3318">
        <f t="shared" si="52"/>
        <v>131.1070656</v>
      </c>
    </row>
    <row r="3319" spans="1:6" x14ac:dyDescent="0.2">
      <c r="A3319">
        <v>839</v>
      </c>
      <c r="B3319" t="s">
        <v>306</v>
      </c>
      <c r="C3319" t="s">
        <v>273</v>
      </c>
      <c r="D3319">
        <v>1</v>
      </c>
      <c r="E3319">
        <v>99.575777279999997</v>
      </c>
      <c r="F3319">
        <f t="shared" si="52"/>
        <v>99.575777279999997</v>
      </c>
    </row>
    <row r="3320" spans="1:6" x14ac:dyDescent="0.2">
      <c r="A3320">
        <v>839</v>
      </c>
      <c r="B3320" t="s">
        <v>308</v>
      </c>
      <c r="C3320" t="s">
        <v>309</v>
      </c>
      <c r="D3320">
        <v>1</v>
      </c>
      <c r="E3320">
        <v>167.62307692307692</v>
      </c>
      <c r="F3320">
        <f t="shared" si="52"/>
        <v>167.62307692307692</v>
      </c>
    </row>
    <row r="3321" spans="1:6" x14ac:dyDescent="0.2">
      <c r="A3321">
        <v>839</v>
      </c>
      <c r="B3321" t="s">
        <v>310</v>
      </c>
      <c r="C3321" t="s">
        <v>273</v>
      </c>
      <c r="D3321">
        <v>4</v>
      </c>
      <c r="E3321">
        <v>0.33200000000000002</v>
      </c>
      <c r="F3321">
        <f t="shared" si="52"/>
        <v>1.3280000000000001</v>
      </c>
    </row>
    <row r="3322" spans="1:6" x14ac:dyDescent="0.2">
      <c r="A3322">
        <v>839</v>
      </c>
      <c r="B3322" t="s">
        <v>197</v>
      </c>
      <c r="C3322" t="s">
        <v>278</v>
      </c>
      <c r="D3322">
        <v>3</v>
      </c>
      <c r="E3322">
        <v>7.4699999999999989E-2</v>
      </c>
      <c r="F3322">
        <f t="shared" si="52"/>
        <v>0.22409999999999997</v>
      </c>
    </row>
    <row r="3323" spans="1:6" x14ac:dyDescent="0.2">
      <c r="A3323">
        <v>839</v>
      </c>
      <c r="B3323" t="s">
        <v>311</v>
      </c>
      <c r="C3323" t="s">
        <v>273</v>
      </c>
      <c r="D3323">
        <v>1</v>
      </c>
      <c r="E3323">
        <v>1.5935999999999999</v>
      </c>
      <c r="F3323">
        <f t="shared" si="52"/>
        <v>1.5935999999999999</v>
      </c>
    </row>
    <row r="3324" spans="1:6" x14ac:dyDescent="0.2">
      <c r="A3324">
        <v>839</v>
      </c>
      <c r="B3324" t="s">
        <v>312</v>
      </c>
      <c r="C3324" t="s">
        <v>278</v>
      </c>
      <c r="D3324">
        <v>3</v>
      </c>
      <c r="E3324">
        <v>21.040500000000002</v>
      </c>
      <c r="F3324">
        <f t="shared" si="52"/>
        <v>63.121500000000005</v>
      </c>
    </row>
    <row r="3325" spans="1:6" x14ac:dyDescent="0.2">
      <c r="A3325">
        <v>839</v>
      </c>
      <c r="B3325" t="s">
        <v>75</v>
      </c>
      <c r="C3325" t="s">
        <v>313</v>
      </c>
      <c r="D3325">
        <v>2</v>
      </c>
      <c r="E3325">
        <v>0.1153846153846154</v>
      </c>
      <c r="F3325">
        <f t="shared" si="52"/>
        <v>0.23076923076923081</v>
      </c>
    </row>
    <row r="3326" spans="1:6" x14ac:dyDescent="0.2">
      <c r="A3326">
        <v>839</v>
      </c>
      <c r="B3326" t="s">
        <v>314</v>
      </c>
      <c r="C3326" t="s">
        <v>273</v>
      </c>
      <c r="D3326">
        <v>4</v>
      </c>
      <c r="E3326">
        <v>0.45650000000000002</v>
      </c>
      <c r="F3326">
        <f t="shared" si="52"/>
        <v>1.8260000000000001</v>
      </c>
    </row>
    <row r="3327" spans="1:6" x14ac:dyDescent="0.2">
      <c r="A3327">
        <v>839</v>
      </c>
      <c r="B3327" t="s">
        <v>314</v>
      </c>
      <c r="C3327" t="s">
        <v>315</v>
      </c>
      <c r="D3327">
        <v>1</v>
      </c>
      <c r="E3327">
        <v>0.45650000000000002</v>
      </c>
      <c r="F3327">
        <f t="shared" si="52"/>
        <v>0.45650000000000002</v>
      </c>
    </row>
    <row r="3328" spans="1:6" x14ac:dyDescent="0.2">
      <c r="A3328">
        <v>839</v>
      </c>
      <c r="B3328" t="s">
        <v>316</v>
      </c>
      <c r="C3328" t="s">
        <v>317</v>
      </c>
      <c r="D3328">
        <v>118</v>
      </c>
      <c r="E3328">
        <v>92.206615384615375</v>
      </c>
      <c r="F3328">
        <f t="shared" si="52"/>
        <v>10880.380615384614</v>
      </c>
    </row>
    <row r="3329" spans="1:6" x14ac:dyDescent="0.2">
      <c r="A3329">
        <v>839</v>
      </c>
      <c r="B3329" t="s">
        <v>318</v>
      </c>
      <c r="C3329" t="s">
        <v>319</v>
      </c>
      <c r="D3329">
        <v>1</v>
      </c>
      <c r="E3329">
        <v>85.453846153846172</v>
      </c>
      <c r="F3329">
        <f t="shared" si="52"/>
        <v>85.453846153846172</v>
      </c>
    </row>
    <row r="3330" spans="1:6" x14ac:dyDescent="0.2">
      <c r="A3330">
        <v>839</v>
      </c>
      <c r="B3330" t="s">
        <v>320</v>
      </c>
      <c r="C3330" t="s">
        <v>321</v>
      </c>
      <c r="D3330">
        <v>1</v>
      </c>
      <c r="E3330">
        <v>92.206615384615375</v>
      </c>
      <c r="F3330">
        <f t="shared" si="52"/>
        <v>92.206615384615375</v>
      </c>
    </row>
    <row r="3331" spans="1:6" x14ac:dyDescent="0.2">
      <c r="A3331">
        <v>839</v>
      </c>
      <c r="B3331" t="s">
        <v>267</v>
      </c>
      <c r="C3331" t="s">
        <v>268</v>
      </c>
      <c r="D3331">
        <v>3</v>
      </c>
      <c r="E3331">
        <v>84863.132923076919</v>
      </c>
      <c r="F3331">
        <f t="shared" si="52"/>
        <v>254589.39876923076</v>
      </c>
    </row>
    <row r="3332" spans="1:6" x14ac:dyDescent="0.2">
      <c r="A3332">
        <v>839</v>
      </c>
      <c r="B3332" t="s">
        <v>260</v>
      </c>
      <c r="C3332" t="s">
        <v>261</v>
      </c>
      <c r="D3332">
        <v>1</v>
      </c>
      <c r="E3332">
        <v>2908.2944615384613</v>
      </c>
      <c r="F3332">
        <f t="shared" si="52"/>
        <v>2908.2944615384613</v>
      </c>
    </row>
    <row r="3333" spans="1:6" x14ac:dyDescent="0.2">
      <c r="A3333">
        <v>839</v>
      </c>
      <c r="B3333" t="s">
        <v>262</v>
      </c>
      <c r="C3333" t="s">
        <v>263</v>
      </c>
      <c r="D3333">
        <v>2</v>
      </c>
      <c r="E3333">
        <v>3207.1966153846147</v>
      </c>
      <c r="F3333">
        <f t="shared" si="52"/>
        <v>6414.3932307692294</v>
      </c>
    </row>
    <row r="3334" spans="1:6" x14ac:dyDescent="0.2">
      <c r="A3334">
        <v>839</v>
      </c>
      <c r="B3334" t="s">
        <v>264</v>
      </c>
      <c r="C3334" t="s">
        <v>265</v>
      </c>
      <c r="D3334">
        <v>3</v>
      </c>
      <c r="E3334">
        <v>3466.73123076923</v>
      </c>
      <c r="F3334">
        <f t="shared" si="52"/>
        <v>10400.19369230769</v>
      </c>
    </row>
    <row r="3335" spans="1:6" x14ac:dyDescent="0.2">
      <c r="A3335">
        <v>839</v>
      </c>
      <c r="B3335" t="s">
        <v>259</v>
      </c>
      <c r="C3335" t="s">
        <v>258</v>
      </c>
      <c r="D3335">
        <v>6</v>
      </c>
      <c r="E3335">
        <v>3325.9759999999997</v>
      </c>
      <c r="F3335">
        <f t="shared" ref="F3335:F3398" si="53">D3335*E3335</f>
        <v>19955.856</v>
      </c>
    </row>
    <row r="3336" spans="1:6" x14ac:dyDescent="0.2">
      <c r="A3336">
        <v>839</v>
      </c>
      <c r="B3336" t="s">
        <v>257</v>
      </c>
      <c r="C3336" t="s">
        <v>258</v>
      </c>
      <c r="D3336">
        <v>6</v>
      </c>
      <c r="E3336">
        <v>3325.9759999999997</v>
      </c>
      <c r="F3336">
        <f t="shared" si="53"/>
        <v>19955.856</v>
      </c>
    </row>
    <row r="3337" spans="1:6" x14ac:dyDescent="0.2">
      <c r="A3337">
        <v>839</v>
      </c>
      <c r="B3337" t="s">
        <v>255</v>
      </c>
      <c r="C3337" t="s">
        <v>256</v>
      </c>
      <c r="D3337">
        <v>1</v>
      </c>
      <c r="E3337">
        <v>18546.094615384613</v>
      </c>
      <c r="F3337">
        <f t="shared" si="53"/>
        <v>18546.094615384613</v>
      </c>
    </row>
    <row r="3338" spans="1:6" x14ac:dyDescent="0.2">
      <c r="A3338">
        <v>839</v>
      </c>
      <c r="B3338" t="s">
        <v>253</v>
      </c>
      <c r="C3338" t="s">
        <v>254</v>
      </c>
      <c r="D3338">
        <v>3</v>
      </c>
      <c r="E3338">
        <v>21043.67953846154</v>
      </c>
      <c r="F3338">
        <f t="shared" si="53"/>
        <v>63131.038615384619</v>
      </c>
    </row>
    <row r="3339" spans="1:6" x14ac:dyDescent="0.2">
      <c r="A3339">
        <v>839</v>
      </c>
      <c r="B3339" t="s">
        <v>359</v>
      </c>
      <c r="C3339" t="s">
        <v>360</v>
      </c>
      <c r="D3339">
        <v>1</v>
      </c>
      <c r="E3339">
        <v>1844.9384615384615</v>
      </c>
      <c r="F3339">
        <f t="shared" si="53"/>
        <v>1844.9384615384615</v>
      </c>
    </row>
    <row r="3340" spans="1:6" x14ac:dyDescent="0.2">
      <c r="A3340">
        <v>839</v>
      </c>
      <c r="B3340" t="s">
        <v>389</v>
      </c>
      <c r="C3340" t="s">
        <v>390</v>
      </c>
      <c r="D3340">
        <v>1</v>
      </c>
      <c r="E3340">
        <v>4906</v>
      </c>
      <c r="F3340">
        <f t="shared" si="53"/>
        <v>4906</v>
      </c>
    </row>
    <row r="3341" spans="1:6" x14ac:dyDescent="0.2">
      <c r="A3341">
        <v>840</v>
      </c>
      <c r="B3341" s="3" t="s">
        <v>62</v>
      </c>
      <c r="C3341" s="3" t="s">
        <v>63</v>
      </c>
      <c r="D3341" s="3">
        <v>3</v>
      </c>
      <c r="E3341" s="3">
        <v>0.34860000000000002</v>
      </c>
      <c r="F3341">
        <f t="shared" si="53"/>
        <v>1.0458000000000001</v>
      </c>
    </row>
    <row r="3342" spans="1:6" x14ac:dyDescent="0.2">
      <c r="A3342">
        <v>840</v>
      </c>
      <c r="B3342" s="3" t="s">
        <v>64</v>
      </c>
      <c r="C3342" s="3" t="s">
        <v>65</v>
      </c>
      <c r="D3342" s="3">
        <v>2</v>
      </c>
      <c r="E3342" s="3">
        <v>803.07690000000002</v>
      </c>
      <c r="F3342">
        <f t="shared" si="53"/>
        <v>1606.1538</v>
      </c>
    </row>
    <row r="3343" spans="1:6" x14ac:dyDescent="0.2">
      <c r="A3343">
        <v>840</v>
      </c>
      <c r="B3343" s="3" t="s">
        <v>67</v>
      </c>
      <c r="C3343" s="3" t="s">
        <v>68</v>
      </c>
      <c r="D3343" s="3">
        <v>1</v>
      </c>
      <c r="E3343" s="3">
        <v>49.678570000000001</v>
      </c>
      <c r="F3343">
        <f t="shared" si="53"/>
        <v>49.678570000000001</v>
      </c>
    </row>
    <row r="3344" spans="1:6" x14ac:dyDescent="0.2">
      <c r="A3344">
        <v>840</v>
      </c>
      <c r="B3344" s="3" t="s">
        <v>70</v>
      </c>
      <c r="C3344" s="3" t="s">
        <v>71</v>
      </c>
      <c r="D3344" s="3">
        <v>5</v>
      </c>
      <c r="E3344" s="3">
        <v>407.98649999999998</v>
      </c>
      <c r="F3344">
        <f t="shared" si="53"/>
        <v>2039.9324999999999</v>
      </c>
    </row>
    <row r="3345" spans="1:6" x14ac:dyDescent="0.2">
      <c r="A3345">
        <v>840</v>
      </c>
      <c r="B3345" s="3" t="s">
        <v>73</v>
      </c>
      <c r="C3345" s="3" t="s">
        <v>74</v>
      </c>
      <c r="D3345" s="3">
        <v>1</v>
      </c>
      <c r="E3345" s="3">
        <v>0.57783899999999999</v>
      </c>
      <c r="F3345">
        <f t="shared" si="53"/>
        <v>0.57783899999999999</v>
      </c>
    </row>
    <row r="3346" spans="1:6" x14ac:dyDescent="0.2">
      <c r="A3346">
        <v>840</v>
      </c>
      <c r="B3346" s="3" t="s">
        <v>75</v>
      </c>
      <c r="C3346" s="3" t="s">
        <v>76</v>
      </c>
      <c r="D3346" s="3">
        <v>3</v>
      </c>
      <c r="E3346" s="3">
        <v>0.115385</v>
      </c>
      <c r="F3346">
        <f t="shared" si="53"/>
        <v>0.34615499999999999</v>
      </c>
    </row>
    <row r="3347" spans="1:6" x14ac:dyDescent="0.2">
      <c r="A3347">
        <v>840</v>
      </c>
      <c r="B3347" s="3" t="s">
        <v>77</v>
      </c>
      <c r="C3347" s="3" t="s">
        <v>74</v>
      </c>
      <c r="D3347" s="3">
        <v>6</v>
      </c>
      <c r="E3347" s="3">
        <v>1.3944000000000001</v>
      </c>
      <c r="F3347">
        <f t="shared" si="53"/>
        <v>8.3664000000000005</v>
      </c>
    </row>
    <row r="3348" spans="1:6" x14ac:dyDescent="0.2">
      <c r="A3348">
        <v>840</v>
      </c>
      <c r="B3348" s="3" t="s">
        <v>78</v>
      </c>
      <c r="C3348" s="3" t="s">
        <v>76</v>
      </c>
      <c r="D3348" s="3">
        <v>6</v>
      </c>
      <c r="E3348" s="3">
        <v>0.71839500000000001</v>
      </c>
      <c r="F3348">
        <f t="shared" si="53"/>
        <v>4.3103699999999998</v>
      </c>
    </row>
    <row r="3349" spans="1:6" x14ac:dyDescent="0.2">
      <c r="A3349">
        <v>840</v>
      </c>
      <c r="B3349" s="3" t="s">
        <v>79</v>
      </c>
      <c r="C3349" s="3" t="s">
        <v>74</v>
      </c>
      <c r="D3349" s="3">
        <v>1</v>
      </c>
      <c r="E3349" s="3">
        <v>1.930769</v>
      </c>
      <c r="F3349">
        <f t="shared" si="53"/>
        <v>1.930769</v>
      </c>
    </row>
    <row r="3350" spans="1:6" x14ac:dyDescent="0.2">
      <c r="A3350">
        <v>840</v>
      </c>
      <c r="B3350" s="3" t="s">
        <v>80</v>
      </c>
      <c r="C3350" s="3" t="s">
        <v>74</v>
      </c>
      <c r="D3350" s="3">
        <v>3</v>
      </c>
      <c r="E3350" s="3">
        <v>0.95450000000000002</v>
      </c>
      <c r="F3350">
        <f t="shared" si="53"/>
        <v>2.8635000000000002</v>
      </c>
    </row>
    <row r="3351" spans="1:6" x14ac:dyDescent="0.2">
      <c r="A3351">
        <v>840</v>
      </c>
      <c r="B3351" s="3" t="s">
        <v>81</v>
      </c>
      <c r="C3351" s="3" t="s">
        <v>74</v>
      </c>
      <c r="D3351" s="3">
        <v>1</v>
      </c>
      <c r="E3351" s="3">
        <v>0.76359999999999995</v>
      </c>
      <c r="F3351">
        <f t="shared" si="53"/>
        <v>0.76359999999999995</v>
      </c>
    </row>
    <row r="3352" spans="1:6" x14ac:dyDescent="0.2">
      <c r="A3352">
        <v>840</v>
      </c>
      <c r="B3352" s="3" t="s">
        <v>82</v>
      </c>
      <c r="C3352" s="3" t="s">
        <v>83</v>
      </c>
      <c r="D3352" s="3">
        <v>1</v>
      </c>
      <c r="E3352" s="3">
        <v>20.351600000000001</v>
      </c>
      <c r="F3352">
        <f t="shared" si="53"/>
        <v>20.351600000000001</v>
      </c>
    </row>
    <row r="3353" spans="1:6" x14ac:dyDescent="0.2">
      <c r="A3353">
        <v>840</v>
      </c>
      <c r="B3353" s="3" t="s">
        <v>84</v>
      </c>
      <c r="C3353" s="3" t="s">
        <v>85</v>
      </c>
      <c r="D3353" s="3">
        <v>3</v>
      </c>
      <c r="E3353" s="3">
        <v>102.3322</v>
      </c>
      <c r="F3353">
        <f t="shared" si="53"/>
        <v>306.9966</v>
      </c>
    </row>
    <row r="3354" spans="1:6" x14ac:dyDescent="0.2">
      <c r="A3354">
        <v>840</v>
      </c>
      <c r="B3354" s="3" t="s">
        <v>86</v>
      </c>
      <c r="C3354" s="3" t="s">
        <v>85</v>
      </c>
      <c r="D3354" s="3">
        <v>2</v>
      </c>
      <c r="E3354" s="3">
        <v>144.2646</v>
      </c>
      <c r="F3354">
        <f t="shared" si="53"/>
        <v>288.5292</v>
      </c>
    </row>
    <row r="3355" spans="1:6" x14ac:dyDescent="0.2">
      <c r="A3355">
        <v>840</v>
      </c>
      <c r="B3355" s="3" t="s">
        <v>87</v>
      </c>
      <c r="C3355" s="3" t="s">
        <v>88</v>
      </c>
      <c r="D3355" s="3">
        <v>1</v>
      </c>
      <c r="E3355" s="3">
        <v>162.0215</v>
      </c>
      <c r="F3355">
        <f t="shared" si="53"/>
        <v>162.0215</v>
      </c>
    </row>
    <row r="3356" spans="1:6" x14ac:dyDescent="0.2">
      <c r="A3356">
        <v>840</v>
      </c>
      <c r="B3356" s="3" t="s">
        <v>89</v>
      </c>
      <c r="C3356" s="3" t="s">
        <v>85</v>
      </c>
      <c r="D3356" s="3">
        <v>5</v>
      </c>
      <c r="E3356" s="3">
        <v>211.0129</v>
      </c>
      <c r="F3356">
        <f t="shared" si="53"/>
        <v>1055.0645</v>
      </c>
    </row>
    <row r="3357" spans="1:6" x14ac:dyDescent="0.2">
      <c r="A3357">
        <v>840</v>
      </c>
      <c r="B3357" s="3" t="s">
        <v>90</v>
      </c>
      <c r="C3357" s="3" t="s">
        <v>88</v>
      </c>
      <c r="D3357" s="3">
        <v>1</v>
      </c>
      <c r="E3357" s="3">
        <v>238.1635</v>
      </c>
      <c r="F3357">
        <f t="shared" si="53"/>
        <v>238.1635</v>
      </c>
    </row>
    <row r="3358" spans="1:6" x14ac:dyDescent="0.2">
      <c r="A3358">
        <v>840</v>
      </c>
      <c r="B3358" s="3" t="s">
        <v>92</v>
      </c>
      <c r="C3358" s="3" t="s">
        <v>93</v>
      </c>
      <c r="D3358" s="3">
        <v>1</v>
      </c>
      <c r="E3358" s="3">
        <v>19.297499999999999</v>
      </c>
      <c r="F3358">
        <f t="shared" si="53"/>
        <v>19.297499999999999</v>
      </c>
    </row>
    <row r="3359" spans="1:6" x14ac:dyDescent="0.2">
      <c r="A3359">
        <v>840</v>
      </c>
      <c r="B3359" s="3" t="s">
        <v>94</v>
      </c>
      <c r="C3359" s="3" t="s">
        <v>95</v>
      </c>
      <c r="D3359" s="3">
        <v>1</v>
      </c>
      <c r="E3359" s="3">
        <v>644.46270000000004</v>
      </c>
      <c r="F3359">
        <f t="shared" si="53"/>
        <v>644.46270000000004</v>
      </c>
    </row>
    <row r="3360" spans="1:6" x14ac:dyDescent="0.2">
      <c r="A3360">
        <v>840</v>
      </c>
      <c r="B3360" s="3" t="s">
        <v>236</v>
      </c>
      <c r="C3360" s="3" t="s">
        <v>237</v>
      </c>
      <c r="D3360" s="3">
        <v>5</v>
      </c>
      <c r="E3360" s="3">
        <v>132.80000000000001</v>
      </c>
      <c r="F3360">
        <f t="shared" si="53"/>
        <v>664</v>
      </c>
    </row>
    <row r="3361" spans="1:6" x14ac:dyDescent="0.2">
      <c r="A3361">
        <v>840</v>
      </c>
      <c r="B3361" s="3" t="s">
        <v>238</v>
      </c>
      <c r="C3361" s="3" t="s">
        <v>239</v>
      </c>
      <c r="D3361" s="3">
        <v>5</v>
      </c>
      <c r="E3361" s="3">
        <v>340.93849999999998</v>
      </c>
      <c r="F3361">
        <f t="shared" si="53"/>
        <v>1704.6924999999999</v>
      </c>
    </row>
    <row r="3362" spans="1:6" x14ac:dyDescent="0.2">
      <c r="A3362">
        <v>840</v>
      </c>
      <c r="B3362" s="3" t="s">
        <v>240</v>
      </c>
      <c r="C3362" s="3" t="s">
        <v>241</v>
      </c>
      <c r="D3362" s="3">
        <v>1</v>
      </c>
      <c r="E3362" s="3">
        <v>309.0154</v>
      </c>
      <c r="F3362">
        <f t="shared" si="53"/>
        <v>309.0154</v>
      </c>
    </row>
    <row r="3363" spans="1:6" x14ac:dyDescent="0.2">
      <c r="A3363">
        <v>840</v>
      </c>
      <c r="B3363" s="3" t="s">
        <v>242</v>
      </c>
      <c r="C3363" s="3" t="s">
        <v>243</v>
      </c>
      <c r="D3363" s="3">
        <v>1</v>
      </c>
      <c r="E3363" s="3">
        <v>427.76920000000001</v>
      </c>
      <c r="F3363">
        <f t="shared" si="53"/>
        <v>427.76920000000001</v>
      </c>
    </row>
    <row r="3364" spans="1:6" x14ac:dyDescent="0.2">
      <c r="A3364">
        <v>840</v>
      </c>
      <c r="B3364" s="3" t="s">
        <v>244</v>
      </c>
      <c r="C3364" s="3" t="s">
        <v>184</v>
      </c>
      <c r="D3364" s="3">
        <v>4</v>
      </c>
      <c r="E3364" s="3">
        <v>18.643080000000001</v>
      </c>
      <c r="F3364">
        <f t="shared" si="53"/>
        <v>74.572320000000005</v>
      </c>
    </row>
    <row r="3365" spans="1:6" x14ac:dyDescent="0.2">
      <c r="A3365">
        <v>840</v>
      </c>
      <c r="B3365" s="3" t="s">
        <v>245</v>
      </c>
      <c r="C3365" s="3" t="s">
        <v>246</v>
      </c>
      <c r="D3365" s="3">
        <v>3</v>
      </c>
      <c r="E3365" s="3">
        <v>0.44819999999999999</v>
      </c>
      <c r="F3365">
        <f t="shared" si="53"/>
        <v>1.3446</v>
      </c>
    </row>
    <row r="3366" spans="1:6" x14ac:dyDescent="0.2">
      <c r="A3366">
        <v>840</v>
      </c>
      <c r="B3366" s="3" t="s">
        <v>75</v>
      </c>
      <c r="C3366" s="3" t="s">
        <v>247</v>
      </c>
      <c r="D3366" s="3">
        <v>1</v>
      </c>
      <c r="E3366" s="3">
        <v>0.115385</v>
      </c>
      <c r="F3366">
        <f t="shared" si="53"/>
        <v>0.115385</v>
      </c>
    </row>
    <row r="3367" spans="1:6" x14ac:dyDescent="0.2">
      <c r="A3367">
        <v>840</v>
      </c>
      <c r="B3367" s="3" t="s">
        <v>197</v>
      </c>
      <c r="C3367" s="3" t="s">
        <v>117</v>
      </c>
      <c r="D3367" s="3">
        <v>3</v>
      </c>
      <c r="E3367" s="3">
        <v>7.4700000000000003E-2</v>
      </c>
      <c r="F3367">
        <f t="shared" si="53"/>
        <v>0.22410000000000002</v>
      </c>
    </row>
    <row r="3368" spans="1:6" x14ac:dyDescent="0.2">
      <c r="A3368">
        <v>840</v>
      </c>
      <c r="B3368" s="3" t="s">
        <v>248</v>
      </c>
      <c r="C3368" s="3" t="s">
        <v>249</v>
      </c>
      <c r="D3368" s="3">
        <v>2</v>
      </c>
      <c r="E3368" s="3">
        <v>31064.98</v>
      </c>
      <c r="F3368">
        <f t="shared" si="53"/>
        <v>62129.96</v>
      </c>
    </row>
    <row r="3369" spans="1:6" x14ac:dyDescent="0.2">
      <c r="A3369">
        <v>840</v>
      </c>
      <c r="B3369" s="3" t="s">
        <v>250</v>
      </c>
      <c r="C3369" s="3" t="s">
        <v>251</v>
      </c>
      <c r="D3369" s="3">
        <v>4</v>
      </c>
      <c r="E3369" s="3">
        <v>564.5412</v>
      </c>
      <c r="F3369">
        <f t="shared" si="53"/>
        <v>2258.1648</v>
      </c>
    </row>
    <row r="3370" spans="1:6" x14ac:dyDescent="0.2">
      <c r="A3370">
        <v>840</v>
      </c>
      <c r="B3370" s="3" t="s">
        <v>146</v>
      </c>
      <c r="C3370" s="3" t="s">
        <v>147</v>
      </c>
      <c r="D3370" s="3">
        <v>1</v>
      </c>
      <c r="E3370" s="3">
        <v>8021.5770000000002</v>
      </c>
      <c r="F3370">
        <f t="shared" si="53"/>
        <v>8021.5770000000002</v>
      </c>
    </row>
    <row r="3371" spans="1:6" x14ac:dyDescent="0.2">
      <c r="A3371">
        <v>840</v>
      </c>
      <c r="B3371" s="3" t="s">
        <v>215</v>
      </c>
      <c r="C3371" s="3" t="s">
        <v>208</v>
      </c>
      <c r="D3371" s="3">
        <v>118</v>
      </c>
      <c r="E3371" s="3">
        <v>1.4289810000000001</v>
      </c>
      <c r="F3371">
        <f t="shared" si="53"/>
        <v>168.61975800000002</v>
      </c>
    </row>
    <row r="3372" spans="1:6" x14ac:dyDescent="0.2">
      <c r="A3372">
        <v>840</v>
      </c>
      <c r="B3372" s="3" t="s">
        <v>200</v>
      </c>
      <c r="C3372" s="3" t="s">
        <v>199</v>
      </c>
      <c r="D3372" s="3">
        <v>1</v>
      </c>
      <c r="E3372" s="3">
        <v>0.66373400000000005</v>
      </c>
      <c r="F3372">
        <f t="shared" si="53"/>
        <v>0.66373400000000005</v>
      </c>
    </row>
    <row r="3373" spans="1:6" x14ac:dyDescent="0.2">
      <c r="A3373">
        <v>840</v>
      </c>
      <c r="B3373" s="3" t="s">
        <v>216</v>
      </c>
      <c r="C3373" s="3" t="s">
        <v>199</v>
      </c>
      <c r="D3373" s="3">
        <v>1</v>
      </c>
      <c r="E3373" s="3">
        <v>0.66400000000000003</v>
      </c>
      <c r="F3373">
        <f t="shared" si="53"/>
        <v>0.66400000000000003</v>
      </c>
    </row>
    <row r="3374" spans="1:6" x14ac:dyDescent="0.2">
      <c r="A3374">
        <v>840</v>
      </c>
      <c r="B3374" s="3" t="s">
        <v>217</v>
      </c>
      <c r="C3374" s="3" t="s">
        <v>199</v>
      </c>
      <c r="D3374" s="3">
        <v>3</v>
      </c>
      <c r="E3374" s="3">
        <v>4.2164000000000001</v>
      </c>
      <c r="F3374">
        <f t="shared" si="53"/>
        <v>12.6492</v>
      </c>
    </row>
    <row r="3375" spans="1:6" x14ac:dyDescent="0.2">
      <c r="A3375">
        <v>840</v>
      </c>
      <c r="B3375" s="3" t="s">
        <v>218</v>
      </c>
      <c r="C3375" s="3" t="s">
        <v>208</v>
      </c>
      <c r="D3375" s="3">
        <v>1</v>
      </c>
      <c r="E3375" s="3">
        <v>7.3455000000000004</v>
      </c>
      <c r="F3375">
        <f t="shared" si="53"/>
        <v>7.3455000000000004</v>
      </c>
    </row>
    <row r="3376" spans="1:6" x14ac:dyDescent="0.2">
      <c r="A3376">
        <v>840</v>
      </c>
      <c r="B3376" s="3" t="s">
        <v>219</v>
      </c>
      <c r="C3376" s="3" t="s">
        <v>199</v>
      </c>
      <c r="D3376" s="3">
        <v>2</v>
      </c>
      <c r="E3376" s="3">
        <v>1.4774</v>
      </c>
      <c r="F3376">
        <f t="shared" si="53"/>
        <v>2.9548000000000001</v>
      </c>
    </row>
    <row r="3377" spans="1:6" x14ac:dyDescent="0.2">
      <c r="A3377">
        <v>840</v>
      </c>
      <c r="B3377" s="3" t="s">
        <v>220</v>
      </c>
      <c r="C3377" s="3" t="s">
        <v>208</v>
      </c>
      <c r="D3377" s="3">
        <v>3</v>
      </c>
      <c r="E3377" s="3">
        <v>3.7267000000000001</v>
      </c>
      <c r="F3377">
        <f t="shared" si="53"/>
        <v>11.180099999999999</v>
      </c>
    </row>
    <row r="3378" spans="1:6" x14ac:dyDescent="0.2">
      <c r="A3378">
        <v>840</v>
      </c>
      <c r="B3378" s="3" t="s">
        <v>221</v>
      </c>
      <c r="C3378" s="3" t="s">
        <v>199</v>
      </c>
      <c r="D3378" s="3">
        <v>6</v>
      </c>
      <c r="E3378" s="3">
        <v>0.97940000000000005</v>
      </c>
      <c r="F3378">
        <f t="shared" si="53"/>
        <v>5.8764000000000003</v>
      </c>
    </row>
    <row r="3379" spans="1:6" x14ac:dyDescent="0.2">
      <c r="A3379">
        <v>840</v>
      </c>
      <c r="B3379" s="3" t="s">
        <v>222</v>
      </c>
      <c r="C3379" s="3" t="s">
        <v>208</v>
      </c>
      <c r="D3379" s="3">
        <v>6</v>
      </c>
      <c r="E3379" s="3">
        <v>6.0673000000000004</v>
      </c>
      <c r="F3379">
        <f t="shared" si="53"/>
        <v>36.403800000000004</v>
      </c>
    </row>
    <row r="3380" spans="1:6" x14ac:dyDescent="0.2">
      <c r="A3380">
        <v>840</v>
      </c>
      <c r="B3380" s="3" t="s">
        <v>223</v>
      </c>
      <c r="C3380" s="3" t="s">
        <v>224</v>
      </c>
      <c r="D3380" s="3">
        <v>1</v>
      </c>
      <c r="E3380" s="3">
        <v>19.4635</v>
      </c>
      <c r="F3380">
        <f t="shared" si="53"/>
        <v>19.4635</v>
      </c>
    </row>
    <row r="3381" spans="1:6" x14ac:dyDescent="0.2">
      <c r="A3381">
        <v>840</v>
      </c>
      <c r="B3381" s="3" t="s">
        <v>225</v>
      </c>
      <c r="C3381" s="3" t="s">
        <v>226</v>
      </c>
      <c r="D3381" s="3">
        <v>3</v>
      </c>
      <c r="E3381" s="3">
        <v>10.22151</v>
      </c>
      <c r="F3381">
        <f t="shared" si="53"/>
        <v>30.664529999999999</v>
      </c>
    </row>
    <row r="3382" spans="1:6" x14ac:dyDescent="0.2">
      <c r="A3382">
        <v>840</v>
      </c>
      <c r="B3382" s="3" t="s">
        <v>227</v>
      </c>
      <c r="C3382" s="3" t="s">
        <v>208</v>
      </c>
      <c r="D3382" s="3">
        <v>1</v>
      </c>
      <c r="E3382" s="3">
        <v>3.6307689999999999</v>
      </c>
      <c r="F3382">
        <f t="shared" si="53"/>
        <v>3.6307689999999999</v>
      </c>
    </row>
    <row r="3383" spans="1:6" x14ac:dyDescent="0.2">
      <c r="A3383">
        <v>840</v>
      </c>
      <c r="B3383" s="3" t="s">
        <v>228</v>
      </c>
      <c r="C3383" s="3" t="s">
        <v>229</v>
      </c>
      <c r="D3383" s="3">
        <v>1</v>
      </c>
      <c r="E3383" s="3">
        <v>306.94979999999998</v>
      </c>
      <c r="F3383">
        <f t="shared" si="53"/>
        <v>306.94979999999998</v>
      </c>
    </row>
    <row r="3384" spans="1:6" x14ac:dyDescent="0.2">
      <c r="A3384">
        <v>840</v>
      </c>
      <c r="B3384" s="3" t="s">
        <v>116</v>
      </c>
      <c r="C3384" s="3" t="s">
        <v>117</v>
      </c>
      <c r="D3384" s="3">
        <v>3</v>
      </c>
      <c r="E3384" s="3">
        <v>0.25729999999999997</v>
      </c>
      <c r="F3384">
        <f t="shared" si="53"/>
        <v>0.77189999999999992</v>
      </c>
    </row>
    <row r="3385" spans="1:6" x14ac:dyDescent="0.2">
      <c r="A3385">
        <v>840</v>
      </c>
      <c r="B3385" s="3" t="s">
        <v>78</v>
      </c>
      <c r="C3385" s="3" t="s">
        <v>76</v>
      </c>
      <c r="D3385" s="3">
        <v>2</v>
      </c>
      <c r="E3385" s="3">
        <v>0.71839500000000001</v>
      </c>
      <c r="F3385">
        <f t="shared" si="53"/>
        <v>1.43679</v>
      </c>
    </row>
    <row r="3386" spans="1:6" x14ac:dyDescent="0.2">
      <c r="A3386">
        <v>840</v>
      </c>
      <c r="B3386" s="3" t="s">
        <v>231</v>
      </c>
      <c r="C3386" s="3" t="s">
        <v>208</v>
      </c>
      <c r="D3386" s="3">
        <v>1</v>
      </c>
      <c r="E3386" s="3">
        <v>2.0832999999999999</v>
      </c>
      <c r="F3386">
        <f t="shared" si="53"/>
        <v>2.0832999999999999</v>
      </c>
    </row>
    <row r="3387" spans="1:6" x14ac:dyDescent="0.2">
      <c r="A3387">
        <v>840</v>
      </c>
      <c r="B3387" s="3" t="s">
        <v>232</v>
      </c>
      <c r="C3387" s="3" t="s">
        <v>119</v>
      </c>
      <c r="D3387" s="3">
        <v>5</v>
      </c>
      <c r="E3387" s="3">
        <v>1.5935999999999999</v>
      </c>
      <c r="F3387">
        <f t="shared" si="53"/>
        <v>7.968</v>
      </c>
    </row>
    <row r="3388" spans="1:6" x14ac:dyDescent="0.2">
      <c r="A3388">
        <v>840</v>
      </c>
      <c r="B3388" s="3" t="s">
        <v>233</v>
      </c>
      <c r="C3388" s="3" t="s">
        <v>234</v>
      </c>
      <c r="D3388" s="3">
        <v>1</v>
      </c>
      <c r="E3388" s="3">
        <v>3989.2950000000001</v>
      </c>
      <c r="F3388">
        <f t="shared" si="53"/>
        <v>3989.2950000000001</v>
      </c>
    </row>
    <row r="3389" spans="1:6" x14ac:dyDescent="0.2">
      <c r="A3389">
        <v>840</v>
      </c>
      <c r="B3389" s="3" t="s">
        <v>142</v>
      </c>
      <c r="C3389" s="3" t="s">
        <v>143</v>
      </c>
      <c r="D3389" s="3">
        <v>1</v>
      </c>
      <c r="E3389" s="3">
        <v>18141.64</v>
      </c>
      <c r="F3389">
        <f t="shared" si="53"/>
        <v>18141.64</v>
      </c>
    </row>
    <row r="3390" spans="1:6" x14ac:dyDescent="0.2">
      <c r="A3390">
        <v>840</v>
      </c>
      <c r="B3390" s="3" t="s">
        <v>144</v>
      </c>
      <c r="C3390" s="3" t="s">
        <v>145</v>
      </c>
      <c r="D3390" s="3">
        <v>1</v>
      </c>
      <c r="E3390" s="3">
        <v>7346.6769999999997</v>
      </c>
      <c r="F3390">
        <f t="shared" si="53"/>
        <v>7346.6769999999997</v>
      </c>
    </row>
    <row r="3391" spans="1:6" x14ac:dyDescent="0.2">
      <c r="A3391">
        <v>840</v>
      </c>
      <c r="B3391" s="3" t="s">
        <v>197</v>
      </c>
      <c r="C3391" s="3" t="s">
        <v>117</v>
      </c>
      <c r="D3391" s="3">
        <v>5</v>
      </c>
      <c r="E3391" s="3">
        <v>7.4700000000000003E-2</v>
      </c>
      <c r="F3391">
        <f t="shared" si="53"/>
        <v>0.3735</v>
      </c>
    </row>
    <row r="3392" spans="1:6" x14ac:dyDescent="0.2">
      <c r="A3392">
        <v>840</v>
      </c>
      <c r="B3392" s="3" t="s">
        <v>198</v>
      </c>
      <c r="C3392" s="3" t="s">
        <v>199</v>
      </c>
      <c r="D3392" s="3">
        <v>5</v>
      </c>
      <c r="E3392" s="3">
        <v>0.66373400000000005</v>
      </c>
      <c r="F3392">
        <f t="shared" si="53"/>
        <v>3.31867</v>
      </c>
    </row>
    <row r="3393" spans="1:6" x14ac:dyDescent="0.2">
      <c r="A3393">
        <v>840</v>
      </c>
      <c r="B3393" s="3" t="s">
        <v>200</v>
      </c>
      <c r="C3393" s="3" t="s">
        <v>199</v>
      </c>
      <c r="D3393" s="3">
        <v>1</v>
      </c>
      <c r="E3393" s="3">
        <v>0.66373400000000005</v>
      </c>
      <c r="F3393">
        <f t="shared" si="53"/>
        <v>0.66373400000000005</v>
      </c>
    </row>
    <row r="3394" spans="1:6" x14ac:dyDescent="0.2">
      <c r="A3394">
        <v>840</v>
      </c>
      <c r="B3394" s="3" t="s">
        <v>201</v>
      </c>
      <c r="C3394" s="3" t="s">
        <v>76</v>
      </c>
      <c r="D3394" s="3">
        <v>1</v>
      </c>
      <c r="E3394" s="3">
        <v>0.22645100000000001</v>
      </c>
      <c r="F3394">
        <f t="shared" si="53"/>
        <v>0.22645100000000001</v>
      </c>
    </row>
    <row r="3395" spans="1:6" x14ac:dyDescent="0.2">
      <c r="A3395">
        <v>840</v>
      </c>
      <c r="B3395" s="3" t="s">
        <v>202</v>
      </c>
      <c r="C3395" s="3" t="s">
        <v>203</v>
      </c>
      <c r="D3395" s="3">
        <v>4</v>
      </c>
      <c r="E3395" s="3">
        <v>12.45</v>
      </c>
      <c r="F3395">
        <f t="shared" si="53"/>
        <v>49.8</v>
      </c>
    </row>
    <row r="3396" spans="1:6" x14ac:dyDescent="0.2">
      <c r="A3396">
        <v>840</v>
      </c>
      <c r="B3396" s="3" t="s">
        <v>204</v>
      </c>
      <c r="C3396" s="3" t="s">
        <v>205</v>
      </c>
      <c r="D3396" s="3">
        <v>3</v>
      </c>
      <c r="E3396" s="3">
        <v>103.7222</v>
      </c>
      <c r="F3396">
        <f t="shared" si="53"/>
        <v>311.16660000000002</v>
      </c>
    </row>
    <row r="3397" spans="1:6" x14ac:dyDescent="0.2">
      <c r="A3397">
        <v>840</v>
      </c>
      <c r="B3397" s="3" t="s">
        <v>116</v>
      </c>
      <c r="C3397" s="3" t="s">
        <v>117</v>
      </c>
      <c r="D3397" s="3">
        <v>1</v>
      </c>
      <c r="E3397" s="3">
        <v>0.25729999999999997</v>
      </c>
      <c r="F3397">
        <f t="shared" si="53"/>
        <v>0.25729999999999997</v>
      </c>
    </row>
    <row r="3398" spans="1:6" x14ac:dyDescent="0.2">
      <c r="A3398">
        <v>840</v>
      </c>
      <c r="B3398" s="3" t="s">
        <v>78</v>
      </c>
      <c r="C3398" s="3" t="s">
        <v>76</v>
      </c>
      <c r="D3398" s="3">
        <v>3</v>
      </c>
      <c r="E3398" s="3">
        <v>0.71839500000000001</v>
      </c>
      <c r="F3398">
        <f t="shared" si="53"/>
        <v>2.1551849999999999</v>
      </c>
    </row>
    <row r="3399" spans="1:6" x14ac:dyDescent="0.2">
      <c r="A3399">
        <v>840</v>
      </c>
      <c r="B3399" s="3" t="s">
        <v>207</v>
      </c>
      <c r="C3399" s="3" t="s">
        <v>208</v>
      </c>
      <c r="D3399" s="3">
        <v>2</v>
      </c>
      <c r="E3399" s="3">
        <v>4.6314000000000002</v>
      </c>
      <c r="F3399">
        <f t="shared" ref="F3399:F3462" si="54">D3399*E3399</f>
        <v>9.2628000000000004</v>
      </c>
    </row>
    <row r="3400" spans="1:6" x14ac:dyDescent="0.2">
      <c r="A3400">
        <v>840</v>
      </c>
      <c r="B3400" s="3" t="s">
        <v>209</v>
      </c>
      <c r="C3400" s="3" t="s">
        <v>210</v>
      </c>
      <c r="D3400" s="3">
        <v>4</v>
      </c>
      <c r="E3400" s="3">
        <v>39.550759999999997</v>
      </c>
      <c r="F3400">
        <f t="shared" si="54"/>
        <v>158.20303999999999</v>
      </c>
    </row>
    <row r="3401" spans="1:6" x14ac:dyDescent="0.2">
      <c r="A3401">
        <v>840</v>
      </c>
      <c r="B3401" s="3" t="s">
        <v>211</v>
      </c>
      <c r="C3401" s="3" t="s">
        <v>203</v>
      </c>
      <c r="D3401" s="3">
        <v>1</v>
      </c>
      <c r="E3401" s="3">
        <v>25.754899999999999</v>
      </c>
      <c r="F3401">
        <f t="shared" si="54"/>
        <v>25.754899999999999</v>
      </c>
    </row>
    <row r="3402" spans="1:6" x14ac:dyDescent="0.2">
      <c r="A3402">
        <v>840</v>
      </c>
      <c r="B3402" s="3" t="s">
        <v>212</v>
      </c>
      <c r="C3402" s="3" t="s">
        <v>213</v>
      </c>
      <c r="D3402" s="3">
        <v>118</v>
      </c>
      <c r="E3402" s="3">
        <v>272.92059999999998</v>
      </c>
      <c r="F3402">
        <f t="shared" si="54"/>
        <v>32204.630799999999</v>
      </c>
    </row>
    <row r="3403" spans="1:6" x14ac:dyDescent="0.2">
      <c r="A3403">
        <v>840</v>
      </c>
      <c r="B3403" s="3" t="s">
        <v>149</v>
      </c>
      <c r="C3403" s="3" t="s">
        <v>150</v>
      </c>
      <c r="D3403" s="3">
        <v>1</v>
      </c>
      <c r="E3403" s="3">
        <v>0.70550000000000002</v>
      </c>
      <c r="F3403">
        <f t="shared" si="54"/>
        <v>0.70550000000000002</v>
      </c>
    </row>
    <row r="3404" spans="1:6" x14ac:dyDescent="0.2">
      <c r="A3404">
        <v>840</v>
      </c>
      <c r="B3404" s="3" t="s">
        <v>151</v>
      </c>
      <c r="C3404" s="3" t="s">
        <v>152</v>
      </c>
      <c r="D3404" s="3">
        <v>1</v>
      </c>
      <c r="E3404" s="3">
        <v>5.6191000000000004</v>
      </c>
      <c r="F3404">
        <f t="shared" si="54"/>
        <v>5.6191000000000004</v>
      </c>
    </row>
    <row r="3405" spans="1:6" x14ac:dyDescent="0.2">
      <c r="A3405">
        <v>840</v>
      </c>
      <c r="B3405" s="3" t="s">
        <v>153</v>
      </c>
      <c r="C3405" s="3" t="s">
        <v>119</v>
      </c>
      <c r="D3405" s="3">
        <v>3</v>
      </c>
      <c r="E3405" s="3">
        <v>1.116636</v>
      </c>
      <c r="F3405">
        <f t="shared" si="54"/>
        <v>3.3499080000000001</v>
      </c>
    </row>
    <row r="3406" spans="1:6" x14ac:dyDescent="0.2">
      <c r="A3406">
        <v>840</v>
      </c>
      <c r="B3406" s="3" t="s">
        <v>154</v>
      </c>
      <c r="C3406" s="3" t="s">
        <v>117</v>
      </c>
      <c r="D3406" s="3">
        <v>1</v>
      </c>
      <c r="E3406" s="3">
        <v>4.3658000000000001</v>
      </c>
      <c r="F3406">
        <f t="shared" si="54"/>
        <v>4.3658000000000001</v>
      </c>
    </row>
    <row r="3407" spans="1:6" x14ac:dyDescent="0.2">
      <c r="A3407">
        <v>840</v>
      </c>
      <c r="B3407" s="3" t="s">
        <v>155</v>
      </c>
      <c r="C3407" s="3" t="s">
        <v>156</v>
      </c>
      <c r="D3407" s="3">
        <v>2</v>
      </c>
      <c r="E3407" s="3">
        <v>28.552</v>
      </c>
      <c r="F3407">
        <f t="shared" si="54"/>
        <v>57.103999999999999</v>
      </c>
    </row>
    <row r="3408" spans="1:6" x14ac:dyDescent="0.2">
      <c r="A3408">
        <v>840</v>
      </c>
      <c r="B3408" s="3" t="s">
        <v>157</v>
      </c>
      <c r="C3408" s="3" t="s">
        <v>158</v>
      </c>
      <c r="D3408" s="3">
        <v>3</v>
      </c>
      <c r="E3408" s="3">
        <v>29.456700000000001</v>
      </c>
      <c r="F3408">
        <f t="shared" si="54"/>
        <v>88.370100000000008</v>
      </c>
    </row>
    <row r="3409" spans="1:6" x14ac:dyDescent="0.2">
      <c r="A3409">
        <v>840</v>
      </c>
      <c r="B3409" s="3" t="s">
        <v>159</v>
      </c>
      <c r="C3409" s="3" t="s">
        <v>117</v>
      </c>
      <c r="D3409" s="3">
        <v>6</v>
      </c>
      <c r="E3409" s="3">
        <v>11.976900000000001</v>
      </c>
      <c r="F3409">
        <f t="shared" si="54"/>
        <v>71.861400000000003</v>
      </c>
    </row>
    <row r="3410" spans="1:6" x14ac:dyDescent="0.2">
      <c r="A3410">
        <v>840</v>
      </c>
      <c r="B3410" s="3" t="s">
        <v>116</v>
      </c>
      <c r="C3410" s="3" t="s">
        <v>117</v>
      </c>
      <c r="D3410" s="3">
        <v>6</v>
      </c>
      <c r="E3410" s="3">
        <v>0.25729999999999997</v>
      </c>
      <c r="F3410">
        <f t="shared" si="54"/>
        <v>1.5437999999999998</v>
      </c>
    </row>
    <row r="3411" spans="1:6" x14ac:dyDescent="0.2">
      <c r="A3411">
        <v>840</v>
      </c>
      <c r="B3411" s="3" t="s">
        <v>160</v>
      </c>
      <c r="C3411" s="3" t="s">
        <v>161</v>
      </c>
      <c r="D3411" s="3">
        <v>1</v>
      </c>
      <c r="E3411" s="3">
        <v>15.9194</v>
      </c>
      <c r="F3411">
        <f t="shared" si="54"/>
        <v>15.9194</v>
      </c>
    </row>
    <row r="3412" spans="1:6" x14ac:dyDescent="0.2">
      <c r="A3412">
        <v>840</v>
      </c>
      <c r="B3412" s="3" t="s">
        <v>162</v>
      </c>
      <c r="C3412" s="3" t="s">
        <v>163</v>
      </c>
      <c r="D3412" s="3">
        <v>3</v>
      </c>
      <c r="E3412" s="3">
        <v>62.822699999999998</v>
      </c>
      <c r="F3412">
        <f t="shared" si="54"/>
        <v>188.46809999999999</v>
      </c>
    </row>
    <row r="3413" spans="1:6" x14ac:dyDescent="0.2">
      <c r="A3413">
        <v>840</v>
      </c>
      <c r="B3413" s="3" t="s">
        <v>164</v>
      </c>
      <c r="C3413" s="3" t="s">
        <v>165</v>
      </c>
      <c r="D3413" s="3">
        <v>1</v>
      </c>
      <c r="E3413" s="3">
        <v>29.382000000000001</v>
      </c>
      <c r="F3413">
        <f t="shared" si="54"/>
        <v>29.382000000000001</v>
      </c>
    </row>
    <row r="3414" spans="1:6" x14ac:dyDescent="0.2">
      <c r="A3414">
        <v>840</v>
      </c>
      <c r="B3414" s="3" t="s">
        <v>166</v>
      </c>
      <c r="C3414" s="3" t="s">
        <v>76</v>
      </c>
      <c r="D3414" s="3">
        <v>1</v>
      </c>
      <c r="E3414" s="3">
        <v>0.97109999999999996</v>
      </c>
      <c r="F3414">
        <f t="shared" si="54"/>
        <v>0.97109999999999996</v>
      </c>
    </row>
    <row r="3415" spans="1:6" x14ac:dyDescent="0.2">
      <c r="A3415">
        <v>840</v>
      </c>
      <c r="B3415" s="3" t="s">
        <v>167</v>
      </c>
      <c r="C3415" s="3" t="s">
        <v>168</v>
      </c>
      <c r="D3415" s="3">
        <v>3</v>
      </c>
      <c r="E3415" s="3">
        <v>68.201099999999997</v>
      </c>
      <c r="F3415">
        <f t="shared" si="54"/>
        <v>204.60329999999999</v>
      </c>
    </row>
    <row r="3416" spans="1:6" x14ac:dyDescent="0.2">
      <c r="A3416">
        <v>840</v>
      </c>
      <c r="B3416" s="3" t="s">
        <v>169</v>
      </c>
      <c r="C3416" s="3" t="s">
        <v>119</v>
      </c>
      <c r="D3416" s="3">
        <v>2</v>
      </c>
      <c r="E3416" s="3">
        <v>26.078600000000002</v>
      </c>
      <c r="F3416">
        <f t="shared" si="54"/>
        <v>52.157200000000003</v>
      </c>
    </row>
    <row r="3417" spans="1:6" x14ac:dyDescent="0.2">
      <c r="A3417">
        <v>840</v>
      </c>
      <c r="B3417" s="3" t="s">
        <v>170</v>
      </c>
      <c r="C3417" s="3" t="s">
        <v>171</v>
      </c>
      <c r="D3417" s="3">
        <v>1</v>
      </c>
      <c r="E3417" s="3">
        <v>15.438000000000001</v>
      </c>
      <c r="F3417">
        <f t="shared" si="54"/>
        <v>15.438000000000001</v>
      </c>
    </row>
    <row r="3418" spans="1:6" x14ac:dyDescent="0.2">
      <c r="A3418">
        <v>840</v>
      </c>
      <c r="B3418" s="3" t="s">
        <v>172</v>
      </c>
      <c r="C3418" s="3" t="s">
        <v>173</v>
      </c>
      <c r="D3418" s="3">
        <v>5</v>
      </c>
      <c r="E3418" s="3">
        <v>158.41380000000001</v>
      </c>
      <c r="F3418">
        <f t="shared" si="54"/>
        <v>792.06900000000007</v>
      </c>
    </row>
    <row r="3419" spans="1:6" x14ac:dyDescent="0.2">
      <c r="A3419">
        <v>840</v>
      </c>
      <c r="B3419" s="3" t="s">
        <v>174</v>
      </c>
      <c r="C3419" s="3" t="s">
        <v>119</v>
      </c>
      <c r="D3419" s="3">
        <v>1</v>
      </c>
      <c r="E3419" s="3">
        <v>1.2616000000000001</v>
      </c>
      <c r="F3419">
        <f t="shared" si="54"/>
        <v>1.2616000000000001</v>
      </c>
    </row>
    <row r="3420" spans="1:6" x14ac:dyDescent="0.2">
      <c r="A3420">
        <v>840</v>
      </c>
      <c r="B3420" s="3" t="s">
        <v>175</v>
      </c>
      <c r="C3420" s="3" t="s">
        <v>176</v>
      </c>
      <c r="D3420" s="3">
        <v>1</v>
      </c>
      <c r="E3420" s="3">
        <v>194.7595</v>
      </c>
      <c r="F3420">
        <f t="shared" si="54"/>
        <v>194.7595</v>
      </c>
    </row>
    <row r="3421" spans="1:6" x14ac:dyDescent="0.2">
      <c r="A3421">
        <v>840</v>
      </c>
      <c r="B3421" s="3" t="s">
        <v>177</v>
      </c>
      <c r="C3421" s="3" t="s">
        <v>178</v>
      </c>
      <c r="D3421" s="3">
        <v>1</v>
      </c>
      <c r="E3421" s="3">
        <v>1660.624</v>
      </c>
      <c r="F3421">
        <f t="shared" si="54"/>
        <v>1660.624</v>
      </c>
    </row>
    <row r="3422" spans="1:6" x14ac:dyDescent="0.2">
      <c r="A3422">
        <v>840</v>
      </c>
      <c r="B3422" s="3" t="s">
        <v>179</v>
      </c>
      <c r="C3422" s="3" t="s">
        <v>119</v>
      </c>
      <c r="D3422" s="3">
        <v>5</v>
      </c>
      <c r="E3422" s="3">
        <v>32.444699999999997</v>
      </c>
      <c r="F3422">
        <f t="shared" si="54"/>
        <v>162.2235</v>
      </c>
    </row>
    <row r="3423" spans="1:6" x14ac:dyDescent="0.2">
      <c r="A3423">
        <v>840</v>
      </c>
      <c r="B3423" s="3" t="s">
        <v>180</v>
      </c>
      <c r="C3423" s="3" t="s">
        <v>181</v>
      </c>
      <c r="D3423" s="3">
        <v>5</v>
      </c>
      <c r="E3423" s="3">
        <v>64.117500000000007</v>
      </c>
      <c r="F3423">
        <f t="shared" si="54"/>
        <v>320.58750000000003</v>
      </c>
    </row>
    <row r="3424" spans="1:6" x14ac:dyDescent="0.2">
      <c r="A3424">
        <v>840</v>
      </c>
      <c r="B3424" s="3" t="s">
        <v>182</v>
      </c>
      <c r="C3424" s="3" t="s">
        <v>158</v>
      </c>
      <c r="D3424" s="3">
        <v>1</v>
      </c>
      <c r="E3424" s="3">
        <v>80.78819</v>
      </c>
      <c r="F3424">
        <f t="shared" si="54"/>
        <v>80.78819</v>
      </c>
    </row>
    <row r="3425" spans="1:6" x14ac:dyDescent="0.2">
      <c r="A3425">
        <v>840</v>
      </c>
      <c r="B3425" s="3" t="s">
        <v>183</v>
      </c>
      <c r="C3425" s="3" t="s">
        <v>184</v>
      </c>
      <c r="D3425" s="3">
        <v>1</v>
      </c>
      <c r="E3425" s="3">
        <v>548.61540000000002</v>
      </c>
      <c r="F3425">
        <f t="shared" si="54"/>
        <v>548.61540000000002</v>
      </c>
    </row>
    <row r="3426" spans="1:6" x14ac:dyDescent="0.2">
      <c r="A3426">
        <v>840</v>
      </c>
      <c r="B3426" s="3" t="s">
        <v>185</v>
      </c>
      <c r="C3426" s="3" t="s">
        <v>186</v>
      </c>
      <c r="D3426" s="3">
        <v>4</v>
      </c>
      <c r="E3426" s="3">
        <v>278.05</v>
      </c>
      <c r="F3426">
        <f t="shared" si="54"/>
        <v>1112.2</v>
      </c>
    </row>
    <row r="3427" spans="1:6" x14ac:dyDescent="0.2">
      <c r="A3427">
        <v>840</v>
      </c>
      <c r="B3427" s="3" t="s">
        <v>187</v>
      </c>
      <c r="C3427" s="3" t="s">
        <v>188</v>
      </c>
      <c r="D3427" s="3">
        <v>3</v>
      </c>
      <c r="E3427" s="3">
        <v>105.0365</v>
      </c>
      <c r="F3427">
        <f t="shared" si="54"/>
        <v>315.10950000000003</v>
      </c>
    </row>
    <row r="3428" spans="1:6" x14ac:dyDescent="0.2">
      <c r="A3428">
        <v>840</v>
      </c>
      <c r="B3428" s="3" t="s">
        <v>189</v>
      </c>
      <c r="C3428" s="3" t="s">
        <v>163</v>
      </c>
      <c r="D3428" s="3">
        <v>1</v>
      </c>
      <c r="E3428" s="3">
        <v>154.25970000000001</v>
      </c>
      <c r="F3428">
        <f t="shared" si="54"/>
        <v>154.25970000000001</v>
      </c>
    </row>
    <row r="3429" spans="1:6" x14ac:dyDescent="0.2">
      <c r="A3429">
        <v>840</v>
      </c>
      <c r="B3429" s="3" t="s">
        <v>190</v>
      </c>
      <c r="C3429" s="3" t="s">
        <v>191</v>
      </c>
      <c r="D3429" s="3">
        <v>3</v>
      </c>
      <c r="E3429" s="3">
        <v>1397.886</v>
      </c>
      <c r="F3429">
        <f t="shared" si="54"/>
        <v>4193.6579999999994</v>
      </c>
    </row>
    <row r="3430" spans="1:6" x14ac:dyDescent="0.2">
      <c r="A3430">
        <v>840</v>
      </c>
      <c r="B3430" s="3" t="s">
        <v>192</v>
      </c>
      <c r="C3430" s="3" t="s">
        <v>193</v>
      </c>
      <c r="D3430" s="3">
        <v>2</v>
      </c>
      <c r="E3430" s="3">
        <v>843.03639999999996</v>
      </c>
      <c r="F3430">
        <f t="shared" si="54"/>
        <v>1686.0727999999999</v>
      </c>
    </row>
    <row r="3431" spans="1:6" x14ac:dyDescent="0.2">
      <c r="A3431">
        <v>840</v>
      </c>
      <c r="B3431" s="3" t="s">
        <v>194</v>
      </c>
      <c r="C3431" s="3" t="s">
        <v>193</v>
      </c>
      <c r="D3431" s="3">
        <v>4</v>
      </c>
      <c r="E3431" s="3">
        <v>868.20489999999995</v>
      </c>
      <c r="F3431">
        <f t="shared" si="54"/>
        <v>3472.8195999999998</v>
      </c>
    </row>
    <row r="3432" spans="1:6" x14ac:dyDescent="0.2">
      <c r="A3432">
        <v>840</v>
      </c>
      <c r="B3432" s="3" t="s">
        <v>195</v>
      </c>
      <c r="C3432" s="3" t="s">
        <v>117</v>
      </c>
      <c r="D3432" s="3">
        <v>1</v>
      </c>
      <c r="E3432" s="3">
        <v>1.0375000000000001</v>
      </c>
      <c r="F3432">
        <f t="shared" si="54"/>
        <v>1.0375000000000001</v>
      </c>
    </row>
    <row r="3433" spans="1:6" x14ac:dyDescent="0.2">
      <c r="A3433">
        <v>840</v>
      </c>
      <c r="B3433" s="3" t="s">
        <v>135</v>
      </c>
      <c r="C3433" s="3" t="s">
        <v>136</v>
      </c>
      <c r="D3433" s="3">
        <v>118</v>
      </c>
      <c r="E3433" s="3">
        <v>395.04689999999999</v>
      </c>
      <c r="F3433">
        <f t="shared" si="54"/>
        <v>46615.534200000002</v>
      </c>
    </row>
    <row r="3434" spans="1:6" x14ac:dyDescent="0.2">
      <c r="A3434">
        <v>840</v>
      </c>
      <c r="B3434" s="3" t="s">
        <v>137</v>
      </c>
      <c r="C3434" s="3" t="s">
        <v>138</v>
      </c>
      <c r="D3434" s="3">
        <v>1</v>
      </c>
      <c r="E3434" s="3">
        <v>252.98429999999999</v>
      </c>
      <c r="F3434">
        <f t="shared" si="54"/>
        <v>252.98429999999999</v>
      </c>
    </row>
    <row r="3435" spans="1:6" x14ac:dyDescent="0.2">
      <c r="A3435">
        <v>840</v>
      </c>
      <c r="B3435" s="3" t="s">
        <v>139</v>
      </c>
      <c r="C3435" s="3" t="s">
        <v>140</v>
      </c>
      <c r="D3435" s="3">
        <v>1</v>
      </c>
      <c r="E3435" s="3">
        <v>2054.4580000000001</v>
      </c>
      <c r="F3435">
        <f t="shared" si="54"/>
        <v>2054.4580000000001</v>
      </c>
    </row>
    <row r="3436" spans="1:6" x14ac:dyDescent="0.2">
      <c r="A3436">
        <v>840</v>
      </c>
      <c r="B3436" s="3" t="s">
        <v>116</v>
      </c>
      <c r="C3436" s="3" t="s">
        <v>117</v>
      </c>
      <c r="D3436" s="3">
        <v>3</v>
      </c>
      <c r="E3436" s="3">
        <v>0.25729999999999997</v>
      </c>
      <c r="F3436">
        <f t="shared" si="54"/>
        <v>0.77189999999999992</v>
      </c>
    </row>
    <row r="3437" spans="1:6" x14ac:dyDescent="0.2">
      <c r="A3437">
        <v>840</v>
      </c>
      <c r="B3437" s="3" t="s">
        <v>118</v>
      </c>
      <c r="C3437" s="3" t="s">
        <v>119</v>
      </c>
      <c r="D3437" s="3">
        <v>1</v>
      </c>
      <c r="E3437" s="3">
        <v>0.83</v>
      </c>
      <c r="F3437">
        <f t="shared" si="54"/>
        <v>0.83</v>
      </c>
    </row>
    <row r="3438" spans="1:6" x14ac:dyDescent="0.2">
      <c r="A3438">
        <v>840</v>
      </c>
      <c r="B3438" s="3" t="s">
        <v>120</v>
      </c>
      <c r="C3438" s="3" t="s">
        <v>117</v>
      </c>
      <c r="D3438" s="3">
        <v>2</v>
      </c>
      <c r="E3438" s="3">
        <v>1.5604</v>
      </c>
      <c r="F3438">
        <f t="shared" si="54"/>
        <v>3.1208</v>
      </c>
    </row>
    <row r="3439" spans="1:6" x14ac:dyDescent="0.2">
      <c r="A3439">
        <v>840</v>
      </c>
      <c r="B3439" s="3" t="s">
        <v>121</v>
      </c>
      <c r="C3439" s="3" t="s">
        <v>117</v>
      </c>
      <c r="D3439" s="3">
        <v>3</v>
      </c>
      <c r="E3439" s="3">
        <v>270.83730000000003</v>
      </c>
      <c r="F3439">
        <f t="shared" si="54"/>
        <v>812.51190000000008</v>
      </c>
    </row>
    <row r="3440" spans="1:6" x14ac:dyDescent="0.2">
      <c r="A3440">
        <v>840</v>
      </c>
      <c r="B3440" s="3" t="s">
        <v>122</v>
      </c>
      <c r="C3440" s="3" t="s">
        <v>76</v>
      </c>
      <c r="D3440" s="3">
        <v>6</v>
      </c>
      <c r="E3440" s="3">
        <v>14.915100000000001</v>
      </c>
      <c r="F3440">
        <f t="shared" si="54"/>
        <v>89.490600000000001</v>
      </c>
    </row>
    <row r="3441" spans="1:6" x14ac:dyDescent="0.2">
      <c r="A3441">
        <v>840</v>
      </c>
      <c r="B3441" s="3" t="s">
        <v>123</v>
      </c>
      <c r="C3441" s="3" t="s">
        <v>119</v>
      </c>
      <c r="D3441" s="3">
        <v>6</v>
      </c>
      <c r="E3441" s="3">
        <v>122.52460000000001</v>
      </c>
      <c r="F3441">
        <f t="shared" si="54"/>
        <v>735.14760000000001</v>
      </c>
    </row>
    <row r="3442" spans="1:6" x14ac:dyDescent="0.2">
      <c r="A3442">
        <v>840</v>
      </c>
      <c r="B3442" s="3" t="s">
        <v>124</v>
      </c>
      <c r="C3442" s="3" t="s">
        <v>119</v>
      </c>
      <c r="D3442" s="3">
        <v>1</v>
      </c>
      <c r="E3442" s="3">
        <v>65.877099999999999</v>
      </c>
      <c r="F3442">
        <f t="shared" si="54"/>
        <v>65.877099999999999</v>
      </c>
    </row>
    <row r="3443" spans="1:6" x14ac:dyDescent="0.2">
      <c r="A3443">
        <v>840</v>
      </c>
      <c r="B3443" s="3" t="s">
        <v>125</v>
      </c>
      <c r="C3443" s="3" t="s">
        <v>117</v>
      </c>
      <c r="D3443" s="3">
        <v>3</v>
      </c>
      <c r="E3443" s="3">
        <v>45.957099999999997</v>
      </c>
      <c r="F3443">
        <f t="shared" si="54"/>
        <v>137.87129999999999</v>
      </c>
    </row>
    <row r="3444" spans="1:6" x14ac:dyDescent="0.2">
      <c r="A3444">
        <v>840</v>
      </c>
      <c r="B3444" s="3" t="s">
        <v>126</v>
      </c>
      <c r="C3444" s="3" t="s">
        <v>127</v>
      </c>
      <c r="D3444" s="3">
        <v>1</v>
      </c>
      <c r="E3444" s="3">
        <v>411.49740000000003</v>
      </c>
      <c r="F3444">
        <f t="shared" si="54"/>
        <v>411.49740000000003</v>
      </c>
    </row>
    <row r="3445" spans="1:6" x14ac:dyDescent="0.2">
      <c r="A3445">
        <v>840</v>
      </c>
      <c r="B3445" s="3" t="s">
        <v>129</v>
      </c>
      <c r="C3445" s="3" t="s">
        <v>130</v>
      </c>
      <c r="D3445" s="3">
        <v>1</v>
      </c>
      <c r="E3445" s="3">
        <v>6724.2780000000002</v>
      </c>
      <c r="F3445">
        <f t="shared" si="54"/>
        <v>6724.2780000000002</v>
      </c>
    </row>
    <row r="3446" spans="1:6" x14ac:dyDescent="0.2">
      <c r="A3446">
        <v>840</v>
      </c>
      <c r="B3446" s="3">
        <v>4656354</v>
      </c>
      <c r="C3446" s="3" t="s">
        <v>133</v>
      </c>
      <c r="D3446" s="3">
        <v>3</v>
      </c>
      <c r="E3446" s="3">
        <v>1168.0260000000001</v>
      </c>
      <c r="F3446">
        <f t="shared" si="54"/>
        <v>3504.0780000000004</v>
      </c>
    </row>
    <row r="3447" spans="1:6" x14ac:dyDescent="0.2">
      <c r="A3447">
        <v>840</v>
      </c>
      <c r="B3447" s="3" t="s">
        <v>110</v>
      </c>
      <c r="C3447" s="3" t="s">
        <v>111</v>
      </c>
      <c r="D3447" s="3">
        <v>2</v>
      </c>
      <c r="E3447" s="3">
        <v>119.83540000000001</v>
      </c>
      <c r="F3447">
        <f t="shared" si="54"/>
        <v>239.67080000000001</v>
      </c>
    </row>
    <row r="3448" spans="1:6" x14ac:dyDescent="0.2">
      <c r="A3448">
        <v>840</v>
      </c>
      <c r="B3448" s="3" t="s">
        <v>112</v>
      </c>
      <c r="C3448" s="3" t="s">
        <v>113</v>
      </c>
      <c r="D3448" s="3">
        <v>1</v>
      </c>
      <c r="E3448" s="3">
        <v>97.646150000000006</v>
      </c>
      <c r="F3448">
        <f t="shared" si="54"/>
        <v>97.646150000000006</v>
      </c>
    </row>
    <row r="3449" spans="1:6" x14ac:dyDescent="0.2">
      <c r="A3449">
        <v>840</v>
      </c>
      <c r="B3449" s="3" t="s">
        <v>110</v>
      </c>
      <c r="C3449" s="3" t="s">
        <v>111</v>
      </c>
      <c r="D3449" s="3">
        <v>5</v>
      </c>
      <c r="E3449" s="3">
        <v>119.83540000000001</v>
      </c>
      <c r="F3449">
        <f t="shared" si="54"/>
        <v>599.17700000000002</v>
      </c>
    </row>
    <row r="3450" spans="1:6" x14ac:dyDescent="0.2">
      <c r="A3450">
        <v>840</v>
      </c>
      <c r="B3450" s="3" t="s">
        <v>112</v>
      </c>
      <c r="C3450" s="3" t="s">
        <v>113</v>
      </c>
      <c r="D3450" s="3">
        <v>1</v>
      </c>
      <c r="E3450" s="3">
        <v>97.646150000000006</v>
      </c>
      <c r="F3450">
        <f t="shared" si="54"/>
        <v>97.646150000000006</v>
      </c>
    </row>
    <row r="3451" spans="1:6" x14ac:dyDescent="0.2">
      <c r="A3451">
        <v>840</v>
      </c>
      <c r="B3451" s="3" t="s">
        <v>97</v>
      </c>
      <c r="C3451" s="3" t="s">
        <v>98</v>
      </c>
      <c r="D3451" s="3">
        <v>1</v>
      </c>
      <c r="E3451" s="3">
        <v>189.87909999999999</v>
      </c>
      <c r="F3451">
        <f t="shared" si="54"/>
        <v>189.87909999999999</v>
      </c>
    </row>
    <row r="3452" spans="1:6" x14ac:dyDescent="0.2">
      <c r="A3452">
        <v>840</v>
      </c>
      <c r="B3452" s="3" t="s">
        <v>99</v>
      </c>
      <c r="C3452" s="3" t="s">
        <v>100</v>
      </c>
      <c r="D3452" s="3">
        <v>1</v>
      </c>
      <c r="E3452" s="3">
        <v>1287.1379999999999</v>
      </c>
      <c r="F3452">
        <f t="shared" si="54"/>
        <v>1287.1379999999999</v>
      </c>
    </row>
    <row r="3453" spans="1:6" x14ac:dyDescent="0.2">
      <c r="A3453">
        <v>840</v>
      </c>
      <c r="B3453" s="3" t="s">
        <v>101</v>
      </c>
      <c r="C3453" s="3" t="s">
        <v>102</v>
      </c>
      <c r="D3453" s="3">
        <v>5</v>
      </c>
      <c r="E3453" s="3">
        <v>1363.037</v>
      </c>
      <c r="F3453">
        <f t="shared" si="54"/>
        <v>6815.1850000000004</v>
      </c>
    </row>
    <row r="3454" spans="1:6" x14ac:dyDescent="0.2">
      <c r="A3454">
        <v>840</v>
      </c>
      <c r="B3454" s="3" t="s">
        <v>103</v>
      </c>
      <c r="C3454" s="3" t="s">
        <v>104</v>
      </c>
      <c r="D3454" s="3">
        <v>5</v>
      </c>
      <c r="E3454" s="3">
        <v>423.5822</v>
      </c>
      <c r="F3454">
        <f t="shared" si="54"/>
        <v>2117.9110000000001</v>
      </c>
    </row>
    <row r="3455" spans="1:6" x14ac:dyDescent="0.2">
      <c r="A3455">
        <v>840</v>
      </c>
      <c r="B3455" s="3" t="s">
        <v>105</v>
      </c>
      <c r="C3455" s="3" t="s">
        <v>106</v>
      </c>
      <c r="D3455" s="3">
        <v>1</v>
      </c>
      <c r="E3455" s="3">
        <v>36.470199999999998</v>
      </c>
      <c r="F3455">
        <f t="shared" si="54"/>
        <v>36.470199999999998</v>
      </c>
    </row>
    <row r="3456" spans="1:6" x14ac:dyDescent="0.2">
      <c r="A3456">
        <v>840</v>
      </c>
      <c r="B3456" s="3" t="s">
        <v>107</v>
      </c>
      <c r="C3456" s="3" t="s">
        <v>108</v>
      </c>
      <c r="D3456" s="3">
        <v>1</v>
      </c>
      <c r="E3456" s="3">
        <v>61.492310000000003</v>
      </c>
      <c r="F3456">
        <f t="shared" si="54"/>
        <v>61.492310000000003</v>
      </c>
    </row>
    <row r="3457" spans="1:6" x14ac:dyDescent="0.2">
      <c r="A3457">
        <v>840</v>
      </c>
      <c r="B3457" s="3" t="s">
        <v>62</v>
      </c>
      <c r="C3457" s="3" t="s">
        <v>323</v>
      </c>
      <c r="D3457" s="3">
        <v>4</v>
      </c>
      <c r="E3457" s="3">
        <v>0.34860000000000002</v>
      </c>
      <c r="F3457">
        <f t="shared" si="54"/>
        <v>1.3944000000000001</v>
      </c>
    </row>
    <row r="3458" spans="1:6" x14ac:dyDescent="0.2">
      <c r="A3458">
        <v>840</v>
      </c>
      <c r="B3458" s="3" t="s">
        <v>324</v>
      </c>
      <c r="C3458" s="3" t="s">
        <v>273</v>
      </c>
      <c r="D3458" s="3">
        <v>3</v>
      </c>
      <c r="E3458" s="3">
        <v>0.95450000000000002</v>
      </c>
      <c r="F3458">
        <f t="shared" si="54"/>
        <v>2.8635000000000002</v>
      </c>
    </row>
    <row r="3459" spans="1:6" x14ac:dyDescent="0.2">
      <c r="A3459">
        <v>840</v>
      </c>
      <c r="B3459" s="3" t="s">
        <v>325</v>
      </c>
      <c r="C3459" s="3" t="s">
        <v>273</v>
      </c>
      <c r="D3459" s="3">
        <v>1</v>
      </c>
      <c r="E3459" s="3">
        <v>3.3692310000000001</v>
      </c>
      <c r="F3459">
        <f t="shared" si="54"/>
        <v>3.3692310000000001</v>
      </c>
    </row>
    <row r="3460" spans="1:6" x14ac:dyDescent="0.2">
      <c r="A3460">
        <v>840</v>
      </c>
      <c r="B3460" s="3" t="s">
        <v>154</v>
      </c>
      <c r="C3460" s="3" t="s">
        <v>278</v>
      </c>
      <c r="D3460" s="3">
        <v>3</v>
      </c>
      <c r="E3460" s="3">
        <v>4.3658000000000001</v>
      </c>
      <c r="F3460">
        <f t="shared" si="54"/>
        <v>13.0974</v>
      </c>
    </row>
    <row r="3461" spans="1:6" x14ac:dyDescent="0.2">
      <c r="A3461">
        <v>840</v>
      </c>
      <c r="B3461" s="3" t="s">
        <v>290</v>
      </c>
      <c r="C3461" s="3" t="s">
        <v>278</v>
      </c>
      <c r="D3461" s="3">
        <v>2</v>
      </c>
      <c r="E3461" s="3">
        <v>43.751809999999999</v>
      </c>
      <c r="F3461">
        <f t="shared" si="54"/>
        <v>87.503619999999998</v>
      </c>
    </row>
    <row r="3462" spans="1:6" x14ac:dyDescent="0.2">
      <c r="A3462">
        <v>840</v>
      </c>
      <c r="B3462" s="3" t="s">
        <v>288</v>
      </c>
      <c r="C3462" s="3" t="s">
        <v>289</v>
      </c>
      <c r="D3462" s="3">
        <v>4</v>
      </c>
      <c r="E3462" s="3">
        <v>7.340122</v>
      </c>
      <c r="F3462">
        <f t="shared" si="54"/>
        <v>29.360488</v>
      </c>
    </row>
    <row r="3463" spans="1:6" x14ac:dyDescent="0.2">
      <c r="A3463">
        <v>840</v>
      </c>
      <c r="B3463" s="3" t="s">
        <v>287</v>
      </c>
      <c r="C3463" s="3" t="s">
        <v>273</v>
      </c>
      <c r="D3463" s="3">
        <v>1</v>
      </c>
      <c r="E3463" s="3">
        <v>100.669</v>
      </c>
      <c r="F3463">
        <f t="shared" ref="F3463:F3526" si="55">D3463*E3463</f>
        <v>100.669</v>
      </c>
    </row>
    <row r="3464" spans="1:6" x14ac:dyDescent="0.2">
      <c r="A3464">
        <v>840</v>
      </c>
      <c r="B3464" s="3" t="s">
        <v>285</v>
      </c>
      <c r="C3464" s="3" t="s">
        <v>286</v>
      </c>
      <c r="D3464" s="3">
        <v>118</v>
      </c>
      <c r="E3464" s="3">
        <v>58.189990000000002</v>
      </c>
      <c r="F3464">
        <f t="shared" si="55"/>
        <v>6866.4188199999999</v>
      </c>
    </row>
    <row r="3465" spans="1:6" x14ac:dyDescent="0.2">
      <c r="A3465">
        <v>840</v>
      </c>
      <c r="B3465" s="3" t="s">
        <v>291</v>
      </c>
      <c r="C3465" s="3" t="s">
        <v>278</v>
      </c>
      <c r="D3465" s="3">
        <v>1</v>
      </c>
      <c r="E3465" s="3">
        <v>24.136399999999998</v>
      </c>
      <c r="F3465">
        <f t="shared" si="55"/>
        <v>24.136399999999998</v>
      </c>
    </row>
    <row r="3466" spans="1:6" x14ac:dyDescent="0.2">
      <c r="A3466">
        <v>840</v>
      </c>
      <c r="B3466" s="3" t="s">
        <v>277</v>
      </c>
      <c r="C3466" s="3" t="s">
        <v>278</v>
      </c>
      <c r="D3466" s="3">
        <v>1</v>
      </c>
      <c r="E3466" s="3">
        <v>41.026589999999999</v>
      </c>
      <c r="F3466">
        <f t="shared" si="55"/>
        <v>41.026589999999999</v>
      </c>
    </row>
    <row r="3467" spans="1:6" x14ac:dyDescent="0.2">
      <c r="A3467">
        <v>840</v>
      </c>
      <c r="B3467" s="3" t="s">
        <v>326</v>
      </c>
      <c r="C3467" s="3" t="s">
        <v>278</v>
      </c>
      <c r="D3467" s="3">
        <v>3</v>
      </c>
      <c r="E3467" s="3">
        <v>3.9745979999999999</v>
      </c>
      <c r="F3467">
        <f t="shared" si="55"/>
        <v>11.923793999999999</v>
      </c>
    </row>
    <row r="3468" spans="1:6" x14ac:dyDescent="0.2">
      <c r="A3468">
        <v>840</v>
      </c>
      <c r="B3468" s="3" t="s">
        <v>274</v>
      </c>
      <c r="C3468" s="3" t="s">
        <v>273</v>
      </c>
      <c r="D3468" s="3">
        <v>1</v>
      </c>
      <c r="E3468" s="3">
        <v>149.23089999999999</v>
      </c>
      <c r="F3468">
        <f t="shared" si="55"/>
        <v>149.23089999999999</v>
      </c>
    </row>
    <row r="3469" spans="1:6" x14ac:dyDescent="0.2">
      <c r="A3469">
        <v>840</v>
      </c>
      <c r="B3469" s="3" t="s">
        <v>327</v>
      </c>
      <c r="C3469" s="3" t="s">
        <v>309</v>
      </c>
      <c r="D3469" s="3">
        <v>2</v>
      </c>
      <c r="E3469" s="3">
        <v>1532.5239999999999</v>
      </c>
      <c r="F3469">
        <f t="shared" si="55"/>
        <v>3065.0479999999998</v>
      </c>
    </row>
    <row r="3470" spans="1:6" x14ac:dyDescent="0.2">
      <c r="A3470">
        <v>840</v>
      </c>
      <c r="B3470" s="3" t="s">
        <v>328</v>
      </c>
      <c r="C3470" s="3" t="s">
        <v>329</v>
      </c>
      <c r="D3470" s="3">
        <v>3</v>
      </c>
      <c r="E3470" s="3">
        <v>155.62309999999999</v>
      </c>
      <c r="F3470">
        <f t="shared" si="55"/>
        <v>466.86929999999995</v>
      </c>
    </row>
    <row r="3471" spans="1:6" x14ac:dyDescent="0.2">
      <c r="A3471">
        <v>840</v>
      </c>
      <c r="B3471" s="3" t="s">
        <v>330</v>
      </c>
      <c r="C3471" s="3" t="s">
        <v>331</v>
      </c>
      <c r="D3471" s="3">
        <v>6</v>
      </c>
      <c r="E3471" s="3">
        <v>710.44619999999998</v>
      </c>
      <c r="F3471">
        <f t="shared" si="55"/>
        <v>4262.6772000000001</v>
      </c>
    </row>
    <row r="3472" spans="1:6" x14ac:dyDescent="0.2">
      <c r="A3472">
        <v>840</v>
      </c>
      <c r="B3472" s="3" t="s">
        <v>332</v>
      </c>
      <c r="C3472" s="3" t="s">
        <v>333</v>
      </c>
      <c r="D3472" s="3">
        <v>6</v>
      </c>
      <c r="E3472" s="3">
        <v>167.5538</v>
      </c>
      <c r="F3472">
        <f t="shared" si="55"/>
        <v>1005.3227999999999</v>
      </c>
    </row>
    <row r="3473" spans="1:6" x14ac:dyDescent="0.2">
      <c r="A3473">
        <v>840</v>
      </c>
      <c r="B3473" s="3" t="s">
        <v>272</v>
      </c>
      <c r="C3473" s="3" t="s">
        <v>273</v>
      </c>
      <c r="D3473" s="3">
        <v>1</v>
      </c>
      <c r="E3473" s="3">
        <v>170.1112</v>
      </c>
      <c r="F3473">
        <f t="shared" si="55"/>
        <v>170.1112</v>
      </c>
    </row>
    <row r="3474" spans="1:6" x14ac:dyDescent="0.2">
      <c r="A3474">
        <v>840</v>
      </c>
      <c r="B3474" s="3" t="s">
        <v>275</v>
      </c>
      <c r="C3474" s="3" t="s">
        <v>276</v>
      </c>
      <c r="D3474" s="3">
        <v>3</v>
      </c>
      <c r="E3474" s="3">
        <v>9.081448</v>
      </c>
      <c r="F3474">
        <f t="shared" si="55"/>
        <v>27.244343999999998</v>
      </c>
    </row>
    <row r="3475" spans="1:6" x14ac:dyDescent="0.2">
      <c r="A3475">
        <v>840</v>
      </c>
      <c r="B3475" s="3" t="s">
        <v>334</v>
      </c>
      <c r="C3475" s="3" t="s">
        <v>329</v>
      </c>
      <c r="D3475" s="3">
        <v>1</v>
      </c>
      <c r="E3475" s="3">
        <v>149.0308</v>
      </c>
      <c r="F3475">
        <f t="shared" si="55"/>
        <v>149.0308</v>
      </c>
    </row>
    <row r="3476" spans="1:6" x14ac:dyDescent="0.2">
      <c r="A3476">
        <v>840</v>
      </c>
      <c r="B3476" s="3" t="s">
        <v>335</v>
      </c>
      <c r="C3476" s="3" t="s">
        <v>331</v>
      </c>
      <c r="D3476" s="3">
        <v>1</v>
      </c>
      <c r="E3476" s="3">
        <v>703.1</v>
      </c>
      <c r="F3476">
        <f t="shared" si="55"/>
        <v>703.1</v>
      </c>
    </row>
    <row r="3477" spans="1:6" x14ac:dyDescent="0.2">
      <c r="A3477">
        <v>840</v>
      </c>
      <c r="B3477" s="3" t="s">
        <v>336</v>
      </c>
      <c r="C3477" s="3" t="s">
        <v>333</v>
      </c>
      <c r="D3477" s="3">
        <v>3</v>
      </c>
      <c r="E3477" s="3">
        <v>288.42309999999998</v>
      </c>
      <c r="F3477">
        <f t="shared" si="55"/>
        <v>865.26929999999993</v>
      </c>
    </row>
    <row r="3478" spans="1:6" x14ac:dyDescent="0.2">
      <c r="A3478">
        <v>840</v>
      </c>
      <c r="B3478" s="3" t="s">
        <v>337</v>
      </c>
      <c r="C3478" s="3" t="s">
        <v>297</v>
      </c>
      <c r="D3478" s="3">
        <v>2</v>
      </c>
      <c r="E3478" s="3">
        <v>11.761100000000001</v>
      </c>
      <c r="F3478">
        <f t="shared" si="55"/>
        <v>23.522200000000002</v>
      </c>
    </row>
    <row r="3479" spans="1:6" x14ac:dyDescent="0.2">
      <c r="A3479">
        <v>840</v>
      </c>
      <c r="B3479" s="3" t="s">
        <v>338</v>
      </c>
      <c r="C3479" s="3" t="s">
        <v>297</v>
      </c>
      <c r="D3479" s="3">
        <v>1</v>
      </c>
      <c r="E3479" s="3">
        <v>11.712960000000001</v>
      </c>
      <c r="F3479">
        <f t="shared" si="55"/>
        <v>11.712960000000001</v>
      </c>
    </row>
    <row r="3480" spans="1:6" x14ac:dyDescent="0.2">
      <c r="A3480">
        <v>840</v>
      </c>
      <c r="B3480" s="3" t="s">
        <v>339</v>
      </c>
      <c r="C3480" s="3" t="s">
        <v>297</v>
      </c>
      <c r="D3480" s="3">
        <v>5</v>
      </c>
      <c r="E3480" s="3">
        <v>20.279039999999998</v>
      </c>
      <c r="F3480">
        <f t="shared" si="55"/>
        <v>101.39519999999999</v>
      </c>
    </row>
    <row r="3481" spans="1:6" x14ac:dyDescent="0.2">
      <c r="A3481">
        <v>840</v>
      </c>
      <c r="B3481" s="3" t="s">
        <v>340</v>
      </c>
      <c r="C3481" s="3" t="s">
        <v>309</v>
      </c>
      <c r="D3481" s="3">
        <v>1</v>
      </c>
      <c r="E3481" s="3">
        <v>1536.3340000000001</v>
      </c>
      <c r="F3481">
        <f t="shared" si="55"/>
        <v>1536.3340000000001</v>
      </c>
    </row>
    <row r="3482" spans="1:6" x14ac:dyDescent="0.2">
      <c r="A3482">
        <v>840</v>
      </c>
      <c r="B3482" s="3" t="s">
        <v>341</v>
      </c>
      <c r="C3482" s="3" t="s">
        <v>342</v>
      </c>
      <c r="D3482" s="3">
        <v>1</v>
      </c>
      <c r="E3482" s="3">
        <v>307.22449999999998</v>
      </c>
      <c r="F3482">
        <f t="shared" si="55"/>
        <v>307.22449999999998</v>
      </c>
    </row>
    <row r="3483" spans="1:6" x14ac:dyDescent="0.2">
      <c r="A3483">
        <v>840</v>
      </c>
      <c r="B3483" s="3" t="s">
        <v>284</v>
      </c>
      <c r="C3483" s="3" t="s">
        <v>273</v>
      </c>
      <c r="D3483" s="3">
        <v>1</v>
      </c>
      <c r="E3483" s="3">
        <v>15.547000000000001</v>
      </c>
      <c r="F3483">
        <f t="shared" si="55"/>
        <v>15.547000000000001</v>
      </c>
    </row>
    <row r="3484" spans="1:6" x14ac:dyDescent="0.2">
      <c r="A3484">
        <v>840</v>
      </c>
      <c r="B3484" s="3" t="s">
        <v>283</v>
      </c>
      <c r="C3484" s="3" t="s">
        <v>278</v>
      </c>
      <c r="D3484" s="3">
        <v>5</v>
      </c>
      <c r="E3484" s="3">
        <v>101.76220000000001</v>
      </c>
      <c r="F3484">
        <f t="shared" si="55"/>
        <v>508.81100000000004</v>
      </c>
    </row>
    <row r="3485" spans="1:6" x14ac:dyDescent="0.2">
      <c r="A3485">
        <v>840</v>
      </c>
      <c r="B3485" s="3" t="s">
        <v>281</v>
      </c>
      <c r="C3485" s="3" t="s">
        <v>282</v>
      </c>
      <c r="D3485" s="3">
        <v>5</v>
      </c>
      <c r="E3485" s="3">
        <v>43.369190000000003</v>
      </c>
      <c r="F3485">
        <f t="shared" si="55"/>
        <v>216.84595000000002</v>
      </c>
    </row>
    <row r="3486" spans="1:6" x14ac:dyDescent="0.2">
      <c r="A3486">
        <v>840</v>
      </c>
      <c r="B3486" s="3" t="s">
        <v>279</v>
      </c>
      <c r="C3486" s="3" t="s">
        <v>280</v>
      </c>
      <c r="D3486" s="3">
        <v>1</v>
      </c>
      <c r="E3486" s="3">
        <v>36.786499999999997</v>
      </c>
      <c r="F3486">
        <f t="shared" si="55"/>
        <v>36.786499999999997</v>
      </c>
    </row>
    <row r="3487" spans="1:6" x14ac:dyDescent="0.2">
      <c r="A3487">
        <v>840</v>
      </c>
      <c r="B3487" s="3" t="s">
        <v>343</v>
      </c>
      <c r="C3487" s="3" t="s">
        <v>282</v>
      </c>
      <c r="D3487" s="3">
        <v>1</v>
      </c>
      <c r="E3487" s="3">
        <v>16.807500000000001</v>
      </c>
      <c r="F3487">
        <f t="shared" si="55"/>
        <v>16.807500000000001</v>
      </c>
    </row>
    <row r="3488" spans="1:6" x14ac:dyDescent="0.2">
      <c r="A3488">
        <v>840</v>
      </c>
      <c r="B3488" s="3" t="s">
        <v>344</v>
      </c>
      <c r="C3488" s="3" t="s">
        <v>282</v>
      </c>
      <c r="D3488" s="3">
        <v>4</v>
      </c>
      <c r="E3488" s="3">
        <v>12.76713</v>
      </c>
      <c r="F3488">
        <f t="shared" si="55"/>
        <v>51.068519999999999</v>
      </c>
    </row>
    <row r="3489" spans="1:6" x14ac:dyDescent="0.2">
      <c r="A3489">
        <v>840</v>
      </c>
      <c r="B3489" s="3" t="s">
        <v>270</v>
      </c>
      <c r="C3489" s="3" t="s">
        <v>271</v>
      </c>
      <c r="D3489" s="3">
        <v>3</v>
      </c>
      <c r="E3489" s="3">
        <v>3027.0970000000002</v>
      </c>
      <c r="F3489">
        <f t="shared" si="55"/>
        <v>9081.2910000000011</v>
      </c>
    </row>
    <row r="3490" spans="1:6" x14ac:dyDescent="0.2">
      <c r="A3490">
        <v>840</v>
      </c>
      <c r="B3490" s="3" t="s">
        <v>272</v>
      </c>
      <c r="C3490" s="3" t="s">
        <v>273</v>
      </c>
      <c r="D3490" s="3">
        <v>1</v>
      </c>
      <c r="E3490" s="3">
        <v>170.1112</v>
      </c>
      <c r="F3490">
        <f t="shared" si="55"/>
        <v>170.1112</v>
      </c>
    </row>
    <row r="3491" spans="1:6" x14ac:dyDescent="0.2">
      <c r="A3491">
        <v>840</v>
      </c>
      <c r="B3491" s="3" t="s">
        <v>274</v>
      </c>
      <c r="C3491" s="3" t="s">
        <v>273</v>
      </c>
      <c r="D3491" s="3">
        <v>3</v>
      </c>
      <c r="E3491" s="3">
        <v>149.23089999999999</v>
      </c>
      <c r="F3491">
        <f t="shared" si="55"/>
        <v>447.69269999999995</v>
      </c>
    </row>
    <row r="3492" spans="1:6" x14ac:dyDescent="0.2">
      <c r="A3492">
        <v>840</v>
      </c>
      <c r="B3492" s="3" t="s">
        <v>275</v>
      </c>
      <c r="C3492" s="3" t="s">
        <v>276</v>
      </c>
      <c r="D3492" s="3">
        <v>2</v>
      </c>
      <c r="E3492" s="3">
        <v>9.081448</v>
      </c>
      <c r="F3492">
        <f t="shared" si="55"/>
        <v>18.162896</v>
      </c>
    </row>
    <row r="3493" spans="1:6" x14ac:dyDescent="0.2">
      <c r="A3493">
        <v>840</v>
      </c>
      <c r="B3493" s="3" t="s">
        <v>277</v>
      </c>
      <c r="C3493" s="3" t="s">
        <v>278</v>
      </c>
      <c r="D3493" s="3">
        <v>4</v>
      </c>
      <c r="E3493" s="3">
        <v>41.026589999999999</v>
      </c>
      <c r="F3493">
        <f t="shared" si="55"/>
        <v>164.10636</v>
      </c>
    </row>
    <row r="3494" spans="1:6" x14ac:dyDescent="0.2">
      <c r="A3494">
        <v>840</v>
      </c>
      <c r="B3494" s="3" t="s">
        <v>279</v>
      </c>
      <c r="C3494" s="3" t="s">
        <v>280</v>
      </c>
      <c r="D3494" s="3">
        <v>1</v>
      </c>
      <c r="E3494" s="3">
        <v>36.786499999999997</v>
      </c>
      <c r="F3494">
        <f t="shared" si="55"/>
        <v>36.786499999999997</v>
      </c>
    </row>
    <row r="3495" spans="1:6" x14ac:dyDescent="0.2">
      <c r="A3495">
        <v>840</v>
      </c>
      <c r="B3495" s="3" t="s">
        <v>281</v>
      </c>
      <c r="C3495" s="3" t="s">
        <v>282</v>
      </c>
      <c r="D3495" s="3">
        <v>118</v>
      </c>
      <c r="E3495" s="3">
        <v>43.369190000000003</v>
      </c>
      <c r="F3495">
        <f t="shared" si="55"/>
        <v>5117.5644200000006</v>
      </c>
    </row>
    <row r="3496" spans="1:6" x14ac:dyDescent="0.2">
      <c r="A3496">
        <v>840</v>
      </c>
      <c r="B3496" s="3" t="s">
        <v>283</v>
      </c>
      <c r="C3496" s="3" t="s">
        <v>278</v>
      </c>
      <c r="D3496" s="3">
        <v>1</v>
      </c>
      <c r="E3496" s="3">
        <v>101.76220000000001</v>
      </c>
      <c r="F3496">
        <f t="shared" si="55"/>
        <v>101.76220000000001</v>
      </c>
    </row>
    <row r="3497" spans="1:6" x14ac:dyDescent="0.2">
      <c r="A3497">
        <v>840</v>
      </c>
      <c r="B3497" s="3" t="s">
        <v>284</v>
      </c>
      <c r="C3497" s="3" t="s">
        <v>273</v>
      </c>
      <c r="D3497" s="3">
        <v>1</v>
      </c>
      <c r="E3497" s="3">
        <v>15.547000000000001</v>
      </c>
      <c r="F3497">
        <f t="shared" si="55"/>
        <v>15.547000000000001</v>
      </c>
    </row>
    <row r="3498" spans="1:6" x14ac:dyDescent="0.2">
      <c r="A3498">
        <v>840</v>
      </c>
      <c r="B3498" s="3" t="s">
        <v>285</v>
      </c>
      <c r="C3498" s="3" t="s">
        <v>286</v>
      </c>
      <c r="D3498" s="3">
        <v>3</v>
      </c>
      <c r="E3498" s="3">
        <v>58.189990000000002</v>
      </c>
      <c r="F3498">
        <f t="shared" si="55"/>
        <v>174.56997000000001</v>
      </c>
    </row>
    <row r="3499" spans="1:6" x14ac:dyDescent="0.2">
      <c r="A3499">
        <v>840</v>
      </c>
      <c r="B3499" s="3" t="s">
        <v>287</v>
      </c>
      <c r="C3499" s="3" t="s">
        <v>273</v>
      </c>
      <c r="D3499" s="3">
        <v>1</v>
      </c>
      <c r="E3499" s="3">
        <v>100.669</v>
      </c>
      <c r="F3499">
        <f t="shared" si="55"/>
        <v>100.669</v>
      </c>
    </row>
    <row r="3500" spans="1:6" x14ac:dyDescent="0.2">
      <c r="A3500">
        <v>840</v>
      </c>
      <c r="B3500" s="3" t="s">
        <v>288</v>
      </c>
      <c r="C3500" s="3" t="s">
        <v>289</v>
      </c>
      <c r="D3500" s="3">
        <v>2</v>
      </c>
      <c r="E3500" s="3">
        <v>7.340122</v>
      </c>
      <c r="F3500">
        <f t="shared" si="55"/>
        <v>14.680244</v>
      </c>
    </row>
    <row r="3501" spans="1:6" x14ac:dyDescent="0.2">
      <c r="A3501">
        <v>840</v>
      </c>
      <c r="B3501" s="3" t="s">
        <v>290</v>
      </c>
      <c r="C3501" s="3" t="s">
        <v>278</v>
      </c>
      <c r="D3501" s="3">
        <v>3</v>
      </c>
      <c r="E3501" s="3">
        <v>43.751809999999999</v>
      </c>
      <c r="F3501">
        <f t="shared" si="55"/>
        <v>131.25542999999999</v>
      </c>
    </row>
    <row r="3502" spans="1:6" x14ac:dyDescent="0.2">
      <c r="A3502">
        <v>840</v>
      </c>
      <c r="B3502" s="3" t="s">
        <v>277</v>
      </c>
      <c r="C3502" s="3" t="s">
        <v>278</v>
      </c>
      <c r="D3502" s="3">
        <v>6</v>
      </c>
      <c r="E3502" s="3">
        <v>41.026589999999999</v>
      </c>
      <c r="F3502">
        <f t="shared" si="55"/>
        <v>246.15953999999999</v>
      </c>
    </row>
    <row r="3503" spans="1:6" x14ac:dyDescent="0.2">
      <c r="A3503">
        <v>840</v>
      </c>
      <c r="B3503" s="3" t="s">
        <v>291</v>
      </c>
      <c r="C3503" s="3" t="s">
        <v>278</v>
      </c>
      <c r="D3503" s="3">
        <v>6</v>
      </c>
      <c r="E3503" s="3">
        <v>24.136399999999998</v>
      </c>
      <c r="F3503">
        <f t="shared" si="55"/>
        <v>144.8184</v>
      </c>
    </row>
    <row r="3504" spans="1:6" x14ac:dyDescent="0.2">
      <c r="A3504">
        <v>840</v>
      </c>
      <c r="B3504" s="3" t="s">
        <v>292</v>
      </c>
      <c r="C3504" s="3" t="s">
        <v>293</v>
      </c>
      <c r="D3504" s="3">
        <v>1</v>
      </c>
      <c r="E3504" s="3">
        <v>96.852699999999999</v>
      </c>
      <c r="F3504">
        <f t="shared" si="55"/>
        <v>96.852699999999999</v>
      </c>
    </row>
    <row r="3505" spans="1:6" x14ac:dyDescent="0.2">
      <c r="A3505">
        <v>840</v>
      </c>
      <c r="B3505" s="3" t="s">
        <v>294</v>
      </c>
      <c r="C3505" s="3" t="s">
        <v>278</v>
      </c>
      <c r="D3505" s="3">
        <v>3</v>
      </c>
      <c r="E3505" s="3">
        <v>26.221409999999999</v>
      </c>
      <c r="F3505">
        <f t="shared" si="55"/>
        <v>78.664230000000003</v>
      </c>
    </row>
    <row r="3506" spans="1:6" x14ac:dyDescent="0.2">
      <c r="A3506">
        <v>840</v>
      </c>
      <c r="B3506" s="3" t="s">
        <v>295</v>
      </c>
      <c r="C3506" s="3" t="s">
        <v>273</v>
      </c>
      <c r="D3506" s="3">
        <v>1</v>
      </c>
      <c r="E3506" s="3">
        <v>54.88693</v>
      </c>
      <c r="F3506">
        <f t="shared" si="55"/>
        <v>54.88693</v>
      </c>
    </row>
    <row r="3507" spans="1:6" x14ac:dyDescent="0.2">
      <c r="A3507">
        <v>840</v>
      </c>
      <c r="B3507" s="3" t="s">
        <v>296</v>
      </c>
      <c r="C3507" s="3" t="s">
        <v>297</v>
      </c>
      <c r="D3507" s="3">
        <v>1</v>
      </c>
      <c r="E3507" s="3">
        <v>5.5029000000000003</v>
      </c>
      <c r="F3507">
        <f t="shared" si="55"/>
        <v>5.5029000000000003</v>
      </c>
    </row>
    <row r="3508" spans="1:6" x14ac:dyDescent="0.2">
      <c r="A3508">
        <v>840</v>
      </c>
      <c r="B3508" s="3" t="s">
        <v>298</v>
      </c>
      <c r="C3508" s="3" t="s">
        <v>297</v>
      </c>
      <c r="D3508" s="3">
        <v>3</v>
      </c>
      <c r="E3508" s="3">
        <v>5.9344999999999999</v>
      </c>
      <c r="F3508">
        <f t="shared" si="55"/>
        <v>17.8035</v>
      </c>
    </row>
    <row r="3509" spans="1:6" x14ac:dyDescent="0.2">
      <c r="A3509">
        <v>840</v>
      </c>
      <c r="B3509" s="3" t="s">
        <v>299</v>
      </c>
      <c r="C3509" s="3" t="s">
        <v>297</v>
      </c>
      <c r="D3509" s="3">
        <v>2</v>
      </c>
      <c r="E3509" s="3">
        <v>4.3574999999999999</v>
      </c>
      <c r="F3509">
        <f t="shared" si="55"/>
        <v>8.7149999999999999</v>
      </c>
    </row>
    <row r="3510" spans="1:6" x14ac:dyDescent="0.2">
      <c r="A3510">
        <v>840</v>
      </c>
      <c r="B3510" s="3" t="s">
        <v>122</v>
      </c>
      <c r="C3510" s="3" t="s">
        <v>276</v>
      </c>
      <c r="D3510" s="3">
        <v>1</v>
      </c>
      <c r="E3510" s="3">
        <v>14.915100000000001</v>
      </c>
      <c r="F3510">
        <f t="shared" si="55"/>
        <v>14.915100000000001</v>
      </c>
    </row>
    <row r="3511" spans="1:6" x14ac:dyDescent="0.2">
      <c r="A3511">
        <v>840</v>
      </c>
      <c r="B3511" s="3" t="s">
        <v>120</v>
      </c>
      <c r="C3511" s="3" t="s">
        <v>278</v>
      </c>
      <c r="D3511" s="3">
        <v>5</v>
      </c>
      <c r="E3511" s="3">
        <v>1.5604</v>
      </c>
      <c r="F3511">
        <f t="shared" si="55"/>
        <v>7.8019999999999996</v>
      </c>
    </row>
    <row r="3512" spans="1:6" x14ac:dyDescent="0.2">
      <c r="A3512">
        <v>840</v>
      </c>
      <c r="B3512" s="3" t="s">
        <v>300</v>
      </c>
      <c r="C3512" s="3" t="s">
        <v>273</v>
      </c>
      <c r="D3512" s="3">
        <v>1</v>
      </c>
      <c r="E3512" s="3">
        <v>60.59</v>
      </c>
      <c r="F3512">
        <f t="shared" si="55"/>
        <v>60.59</v>
      </c>
    </row>
    <row r="3513" spans="1:6" x14ac:dyDescent="0.2">
      <c r="A3513">
        <v>840</v>
      </c>
      <c r="B3513" s="3" t="s">
        <v>301</v>
      </c>
      <c r="C3513" s="3" t="s">
        <v>302</v>
      </c>
      <c r="D3513" s="3">
        <v>3</v>
      </c>
      <c r="E3513" s="3">
        <v>104.8857</v>
      </c>
      <c r="F3513">
        <f t="shared" si="55"/>
        <v>314.65710000000001</v>
      </c>
    </row>
    <row r="3514" spans="1:6" x14ac:dyDescent="0.2">
      <c r="A3514">
        <v>840</v>
      </c>
      <c r="B3514" s="3" t="s">
        <v>303</v>
      </c>
      <c r="C3514" s="3" t="s">
        <v>304</v>
      </c>
      <c r="D3514" s="3">
        <v>6</v>
      </c>
      <c r="E3514" s="3">
        <v>683.94489999999996</v>
      </c>
      <c r="F3514">
        <f t="shared" si="55"/>
        <v>4103.6693999999998</v>
      </c>
    </row>
    <row r="3515" spans="1:6" x14ac:dyDescent="0.2">
      <c r="A3515">
        <v>840</v>
      </c>
      <c r="B3515" s="3" t="s">
        <v>305</v>
      </c>
      <c r="C3515" s="3" t="s">
        <v>273</v>
      </c>
      <c r="D3515" s="3">
        <v>6</v>
      </c>
      <c r="E3515" s="3">
        <v>71.189099999999996</v>
      </c>
      <c r="F3515">
        <f t="shared" si="55"/>
        <v>427.13459999999998</v>
      </c>
    </row>
    <row r="3516" spans="1:6" x14ac:dyDescent="0.2">
      <c r="A3516">
        <v>840</v>
      </c>
      <c r="B3516" s="3" t="s">
        <v>294</v>
      </c>
      <c r="C3516" s="3" t="s">
        <v>278</v>
      </c>
      <c r="D3516" s="3">
        <v>1</v>
      </c>
      <c r="E3516" s="3">
        <v>26.221409999999999</v>
      </c>
      <c r="F3516">
        <f t="shared" si="55"/>
        <v>26.221409999999999</v>
      </c>
    </row>
    <row r="3517" spans="1:6" x14ac:dyDescent="0.2">
      <c r="A3517">
        <v>840</v>
      </c>
      <c r="B3517" s="3" t="s">
        <v>306</v>
      </c>
      <c r="C3517" s="3" t="s">
        <v>273</v>
      </c>
      <c r="D3517" s="3">
        <v>3</v>
      </c>
      <c r="E3517" s="3">
        <v>99.575779999999995</v>
      </c>
      <c r="F3517">
        <f t="shared" si="55"/>
        <v>298.72733999999997</v>
      </c>
    </row>
    <row r="3518" spans="1:6" x14ac:dyDescent="0.2">
      <c r="A3518">
        <v>840</v>
      </c>
      <c r="B3518" s="3" t="s">
        <v>294</v>
      </c>
      <c r="C3518" s="3" t="s">
        <v>278</v>
      </c>
      <c r="D3518" s="3">
        <v>1</v>
      </c>
      <c r="E3518" s="3">
        <v>26.221409999999999</v>
      </c>
      <c r="F3518">
        <f t="shared" si="55"/>
        <v>26.221409999999999</v>
      </c>
    </row>
    <row r="3519" spans="1:6" x14ac:dyDescent="0.2">
      <c r="A3519">
        <v>840</v>
      </c>
      <c r="B3519" s="3" t="s">
        <v>306</v>
      </c>
      <c r="C3519" s="3" t="s">
        <v>273</v>
      </c>
      <c r="D3519" s="3">
        <v>1</v>
      </c>
      <c r="E3519" s="3">
        <v>99.575779999999995</v>
      </c>
      <c r="F3519">
        <f t="shared" si="55"/>
        <v>99.575779999999995</v>
      </c>
    </row>
    <row r="3520" spans="1:6" x14ac:dyDescent="0.2">
      <c r="A3520">
        <v>840</v>
      </c>
      <c r="B3520" s="3" t="s">
        <v>308</v>
      </c>
      <c r="C3520" s="3" t="s">
        <v>309</v>
      </c>
      <c r="D3520" s="3">
        <v>3</v>
      </c>
      <c r="E3520" s="3">
        <v>167.62309999999999</v>
      </c>
      <c r="F3520">
        <f t="shared" si="55"/>
        <v>502.86929999999995</v>
      </c>
    </row>
    <row r="3521" spans="1:6" x14ac:dyDescent="0.2">
      <c r="A3521">
        <v>840</v>
      </c>
      <c r="B3521" s="3" t="s">
        <v>310</v>
      </c>
      <c r="C3521" s="3" t="s">
        <v>273</v>
      </c>
      <c r="D3521" s="3">
        <v>2</v>
      </c>
      <c r="E3521" s="3">
        <v>0.33200000000000002</v>
      </c>
      <c r="F3521">
        <f t="shared" si="55"/>
        <v>0.66400000000000003</v>
      </c>
    </row>
    <row r="3522" spans="1:6" x14ac:dyDescent="0.2">
      <c r="A3522">
        <v>840</v>
      </c>
      <c r="B3522" s="3" t="s">
        <v>197</v>
      </c>
      <c r="C3522" s="3" t="s">
        <v>278</v>
      </c>
      <c r="D3522" s="3">
        <v>1</v>
      </c>
      <c r="E3522" s="3">
        <v>7.4700000000000003E-2</v>
      </c>
      <c r="F3522">
        <f t="shared" si="55"/>
        <v>7.4700000000000003E-2</v>
      </c>
    </row>
    <row r="3523" spans="1:6" x14ac:dyDescent="0.2">
      <c r="A3523">
        <v>840</v>
      </c>
      <c r="B3523" s="3" t="s">
        <v>311</v>
      </c>
      <c r="C3523" s="3" t="s">
        <v>273</v>
      </c>
      <c r="D3523" s="3">
        <v>5</v>
      </c>
      <c r="E3523" s="3">
        <v>1.5935999999999999</v>
      </c>
      <c r="F3523">
        <f t="shared" si="55"/>
        <v>7.968</v>
      </c>
    </row>
    <row r="3524" spans="1:6" x14ac:dyDescent="0.2">
      <c r="A3524">
        <v>840</v>
      </c>
      <c r="B3524" s="3" t="s">
        <v>312</v>
      </c>
      <c r="C3524" s="3" t="s">
        <v>278</v>
      </c>
      <c r="D3524" s="3">
        <v>1</v>
      </c>
      <c r="E3524" s="3">
        <v>21.040500000000002</v>
      </c>
      <c r="F3524">
        <f t="shared" si="55"/>
        <v>21.040500000000002</v>
      </c>
    </row>
    <row r="3525" spans="1:6" x14ac:dyDescent="0.2">
      <c r="A3525">
        <v>840</v>
      </c>
      <c r="B3525" s="3" t="s">
        <v>75</v>
      </c>
      <c r="C3525" s="3" t="s">
        <v>313</v>
      </c>
      <c r="D3525" s="3">
        <v>1</v>
      </c>
      <c r="E3525" s="3">
        <v>0.115385</v>
      </c>
      <c r="F3525">
        <f t="shared" si="55"/>
        <v>0.115385</v>
      </c>
    </row>
    <row r="3526" spans="1:6" x14ac:dyDescent="0.2">
      <c r="A3526">
        <v>840</v>
      </c>
      <c r="B3526" s="3" t="s">
        <v>314</v>
      </c>
      <c r="C3526" s="3" t="s">
        <v>273</v>
      </c>
      <c r="D3526" s="3">
        <v>1</v>
      </c>
      <c r="E3526" s="3">
        <v>0.45650000000000002</v>
      </c>
      <c r="F3526">
        <f t="shared" si="55"/>
        <v>0.45650000000000002</v>
      </c>
    </row>
    <row r="3527" spans="1:6" x14ac:dyDescent="0.2">
      <c r="A3527">
        <v>840</v>
      </c>
      <c r="B3527" s="3" t="s">
        <v>314</v>
      </c>
      <c r="C3527" s="3" t="s">
        <v>315</v>
      </c>
      <c r="D3527" s="3">
        <v>5</v>
      </c>
      <c r="E3527" s="3">
        <v>0.45650000000000002</v>
      </c>
      <c r="F3527">
        <f t="shared" ref="F3527:F3590" si="56">D3527*E3527</f>
        <v>2.2825000000000002</v>
      </c>
    </row>
    <row r="3528" spans="1:6" x14ac:dyDescent="0.2">
      <c r="A3528">
        <v>840</v>
      </c>
      <c r="B3528" s="3" t="s">
        <v>316</v>
      </c>
      <c r="C3528" s="3" t="s">
        <v>317</v>
      </c>
      <c r="D3528" s="3">
        <v>5</v>
      </c>
      <c r="E3528" s="3">
        <v>92.206620000000001</v>
      </c>
      <c r="F3528">
        <f t="shared" si="56"/>
        <v>461.03309999999999</v>
      </c>
    </row>
    <row r="3529" spans="1:6" x14ac:dyDescent="0.2">
      <c r="A3529">
        <v>840</v>
      </c>
      <c r="B3529" s="3" t="s">
        <v>318</v>
      </c>
      <c r="C3529" s="3" t="s">
        <v>319</v>
      </c>
      <c r="D3529" s="3">
        <v>1</v>
      </c>
      <c r="E3529" s="3">
        <v>85.453850000000003</v>
      </c>
      <c r="F3529">
        <f t="shared" si="56"/>
        <v>85.453850000000003</v>
      </c>
    </row>
    <row r="3530" spans="1:6" x14ac:dyDescent="0.2">
      <c r="A3530">
        <v>840</v>
      </c>
      <c r="B3530" s="3" t="s">
        <v>320</v>
      </c>
      <c r="C3530" s="3" t="s">
        <v>321</v>
      </c>
      <c r="D3530" s="3">
        <v>1</v>
      </c>
      <c r="E3530" s="3">
        <v>92.206620000000001</v>
      </c>
      <c r="F3530">
        <f t="shared" si="56"/>
        <v>92.206620000000001</v>
      </c>
    </row>
    <row r="3531" spans="1:6" x14ac:dyDescent="0.2">
      <c r="A3531">
        <v>840</v>
      </c>
      <c r="B3531" s="3" t="s">
        <v>267</v>
      </c>
      <c r="C3531" s="3" t="s">
        <v>268</v>
      </c>
      <c r="D3531" s="3">
        <v>4</v>
      </c>
      <c r="E3531" s="3">
        <v>84863.13</v>
      </c>
      <c r="F3531">
        <f t="shared" si="56"/>
        <v>339452.52</v>
      </c>
    </row>
    <row r="3532" spans="1:6" x14ac:dyDescent="0.2">
      <c r="A3532">
        <v>840</v>
      </c>
      <c r="B3532" s="3" t="s">
        <v>260</v>
      </c>
      <c r="C3532" s="3" t="s">
        <v>261</v>
      </c>
      <c r="D3532" s="3">
        <v>3</v>
      </c>
      <c r="E3532" s="3">
        <v>2908.2939999999999</v>
      </c>
      <c r="F3532">
        <f t="shared" si="56"/>
        <v>8724.8819999999996</v>
      </c>
    </row>
    <row r="3533" spans="1:6" x14ac:dyDescent="0.2">
      <c r="A3533">
        <v>840</v>
      </c>
      <c r="B3533" s="3" t="s">
        <v>262</v>
      </c>
      <c r="C3533" s="3" t="s">
        <v>263</v>
      </c>
      <c r="D3533" s="3">
        <v>1</v>
      </c>
      <c r="E3533" s="3">
        <v>3207.1970000000001</v>
      </c>
      <c r="F3533">
        <f t="shared" si="56"/>
        <v>3207.1970000000001</v>
      </c>
    </row>
    <row r="3534" spans="1:6" x14ac:dyDescent="0.2">
      <c r="A3534">
        <v>840</v>
      </c>
      <c r="B3534" s="3" t="s">
        <v>264</v>
      </c>
      <c r="C3534" s="3" t="s">
        <v>265</v>
      </c>
      <c r="D3534" s="3">
        <v>3</v>
      </c>
      <c r="E3534" s="3">
        <v>3466.7310000000002</v>
      </c>
      <c r="F3534">
        <f t="shared" si="56"/>
        <v>10400.193000000001</v>
      </c>
    </row>
    <row r="3535" spans="1:6" x14ac:dyDescent="0.2">
      <c r="A3535">
        <v>840</v>
      </c>
      <c r="B3535" s="3" t="s">
        <v>259</v>
      </c>
      <c r="C3535" s="3" t="s">
        <v>258</v>
      </c>
      <c r="D3535" s="3">
        <v>2</v>
      </c>
      <c r="E3535" s="3">
        <v>3325.9760000000001</v>
      </c>
      <c r="F3535">
        <f t="shared" si="56"/>
        <v>6651.9520000000002</v>
      </c>
    </row>
    <row r="3536" spans="1:6" x14ac:dyDescent="0.2">
      <c r="A3536">
        <v>840</v>
      </c>
      <c r="B3536" s="3" t="s">
        <v>257</v>
      </c>
      <c r="C3536" s="3" t="s">
        <v>258</v>
      </c>
      <c r="D3536" s="3">
        <v>4</v>
      </c>
      <c r="E3536" s="3">
        <v>3325.9760000000001</v>
      </c>
      <c r="F3536">
        <f t="shared" si="56"/>
        <v>13303.904</v>
      </c>
    </row>
    <row r="3537" spans="1:6" x14ac:dyDescent="0.2">
      <c r="A3537">
        <v>840</v>
      </c>
      <c r="B3537" s="3" t="s">
        <v>255</v>
      </c>
      <c r="C3537" s="3" t="s">
        <v>256</v>
      </c>
      <c r="D3537" s="3">
        <v>1</v>
      </c>
      <c r="E3537" s="3">
        <v>18546.09</v>
      </c>
      <c r="F3537">
        <f t="shared" si="56"/>
        <v>18546.09</v>
      </c>
    </row>
    <row r="3538" spans="1:6" x14ac:dyDescent="0.2">
      <c r="A3538">
        <v>840</v>
      </c>
      <c r="B3538" s="3" t="s">
        <v>253</v>
      </c>
      <c r="C3538" s="3" t="s">
        <v>254</v>
      </c>
      <c r="D3538" s="3">
        <v>118</v>
      </c>
      <c r="E3538" s="3">
        <v>21043.68</v>
      </c>
      <c r="F3538">
        <f t="shared" si="56"/>
        <v>2483154.2400000002</v>
      </c>
    </row>
    <row r="3539" spans="1:6" x14ac:dyDescent="0.2">
      <c r="A3539">
        <v>840</v>
      </c>
      <c r="B3539" s="3" t="s">
        <v>359</v>
      </c>
      <c r="C3539" s="3" t="s">
        <v>360</v>
      </c>
      <c r="D3539" s="3">
        <v>1</v>
      </c>
      <c r="E3539" s="3">
        <v>1844.9380000000001</v>
      </c>
      <c r="F3539">
        <f t="shared" si="56"/>
        <v>1844.9380000000001</v>
      </c>
    </row>
    <row r="3540" spans="1:6" x14ac:dyDescent="0.2">
      <c r="A3540">
        <v>840</v>
      </c>
      <c r="B3540" s="3" t="s">
        <v>389</v>
      </c>
      <c r="C3540" s="3" t="s">
        <v>390</v>
      </c>
      <c r="D3540">
        <v>1</v>
      </c>
      <c r="E3540" s="3">
        <v>4906</v>
      </c>
      <c r="F3540">
        <f t="shared" si="56"/>
        <v>4906</v>
      </c>
    </row>
    <row r="3541" spans="1:6" x14ac:dyDescent="0.2">
      <c r="A3541">
        <v>841</v>
      </c>
      <c r="B3541" s="3" t="s">
        <v>62</v>
      </c>
      <c r="C3541" s="3" t="s">
        <v>63</v>
      </c>
      <c r="D3541" s="3">
        <v>3</v>
      </c>
      <c r="E3541" s="3">
        <v>0.34860000000000002</v>
      </c>
      <c r="F3541">
        <f t="shared" si="56"/>
        <v>1.0458000000000001</v>
      </c>
    </row>
    <row r="3542" spans="1:6" x14ac:dyDescent="0.2">
      <c r="A3542">
        <v>841</v>
      </c>
      <c r="B3542" s="3" t="s">
        <v>64</v>
      </c>
      <c r="C3542" s="3" t="s">
        <v>65</v>
      </c>
      <c r="D3542" s="3">
        <v>1</v>
      </c>
      <c r="E3542" s="3">
        <v>803.07690000000002</v>
      </c>
      <c r="F3542">
        <f t="shared" si="56"/>
        <v>803.07690000000002</v>
      </c>
    </row>
    <row r="3543" spans="1:6" x14ac:dyDescent="0.2">
      <c r="A3543">
        <v>841</v>
      </c>
      <c r="B3543" s="3" t="s">
        <v>67</v>
      </c>
      <c r="C3543" s="3" t="s">
        <v>68</v>
      </c>
      <c r="D3543" s="3">
        <v>2</v>
      </c>
      <c r="E3543" s="3">
        <v>49.678570000000001</v>
      </c>
      <c r="F3543">
        <f t="shared" si="56"/>
        <v>99.357140000000001</v>
      </c>
    </row>
    <row r="3544" spans="1:6" x14ac:dyDescent="0.2">
      <c r="A3544">
        <v>841</v>
      </c>
      <c r="B3544" s="3" t="s">
        <v>70</v>
      </c>
      <c r="C3544" s="3" t="s">
        <v>71</v>
      </c>
      <c r="D3544" s="3">
        <v>3</v>
      </c>
      <c r="E3544" s="3">
        <v>407.98649999999998</v>
      </c>
      <c r="F3544">
        <f t="shared" si="56"/>
        <v>1223.9594999999999</v>
      </c>
    </row>
    <row r="3545" spans="1:6" x14ac:dyDescent="0.2">
      <c r="A3545">
        <v>841</v>
      </c>
      <c r="B3545" s="3" t="s">
        <v>73</v>
      </c>
      <c r="C3545" s="3" t="s">
        <v>74</v>
      </c>
      <c r="D3545" s="3">
        <v>6</v>
      </c>
      <c r="E3545" s="3">
        <v>0.57783899999999999</v>
      </c>
      <c r="F3545">
        <f t="shared" si="56"/>
        <v>3.4670339999999999</v>
      </c>
    </row>
    <row r="3546" spans="1:6" x14ac:dyDescent="0.2">
      <c r="A3546">
        <v>841</v>
      </c>
      <c r="B3546" s="3" t="s">
        <v>75</v>
      </c>
      <c r="C3546" s="3" t="s">
        <v>76</v>
      </c>
      <c r="D3546" s="3">
        <v>6</v>
      </c>
      <c r="E3546" s="3">
        <v>0.115385</v>
      </c>
      <c r="F3546">
        <f t="shared" si="56"/>
        <v>0.69230999999999998</v>
      </c>
    </row>
    <row r="3547" spans="1:6" x14ac:dyDescent="0.2">
      <c r="A3547">
        <v>841</v>
      </c>
      <c r="B3547" s="3" t="s">
        <v>77</v>
      </c>
      <c r="C3547" s="3" t="s">
        <v>74</v>
      </c>
      <c r="D3547" s="3">
        <v>1</v>
      </c>
      <c r="E3547" s="3">
        <v>1.3944000000000001</v>
      </c>
      <c r="F3547">
        <f t="shared" si="56"/>
        <v>1.3944000000000001</v>
      </c>
    </row>
    <row r="3548" spans="1:6" x14ac:dyDescent="0.2">
      <c r="A3548">
        <v>841</v>
      </c>
      <c r="B3548" s="3" t="s">
        <v>78</v>
      </c>
      <c r="C3548" s="3" t="s">
        <v>76</v>
      </c>
      <c r="D3548" s="3">
        <v>3</v>
      </c>
      <c r="E3548" s="3">
        <v>0.71839500000000001</v>
      </c>
      <c r="F3548">
        <f t="shared" si="56"/>
        <v>2.1551849999999999</v>
      </c>
    </row>
    <row r="3549" spans="1:6" x14ac:dyDescent="0.2">
      <c r="A3549">
        <v>841</v>
      </c>
      <c r="B3549" s="3" t="s">
        <v>79</v>
      </c>
      <c r="C3549" s="3" t="s">
        <v>74</v>
      </c>
      <c r="D3549" s="3">
        <v>1</v>
      </c>
      <c r="E3549" s="3">
        <v>1.930769</v>
      </c>
      <c r="F3549">
        <f t="shared" si="56"/>
        <v>1.930769</v>
      </c>
    </row>
    <row r="3550" spans="1:6" x14ac:dyDescent="0.2">
      <c r="A3550">
        <v>841</v>
      </c>
      <c r="B3550" s="3" t="s">
        <v>80</v>
      </c>
      <c r="C3550" s="3" t="s">
        <v>74</v>
      </c>
      <c r="D3550" s="3">
        <v>1</v>
      </c>
      <c r="E3550" s="3">
        <v>0.95450000000000002</v>
      </c>
      <c r="F3550">
        <f t="shared" si="56"/>
        <v>0.95450000000000002</v>
      </c>
    </row>
    <row r="3551" spans="1:6" x14ac:dyDescent="0.2">
      <c r="A3551">
        <v>841</v>
      </c>
      <c r="B3551" s="3" t="s">
        <v>81</v>
      </c>
      <c r="C3551" s="3" t="s">
        <v>74</v>
      </c>
      <c r="D3551" s="3">
        <v>3</v>
      </c>
      <c r="E3551" s="3">
        <v>0.76359999999999995</v>
      </c>
      <c r="F3551">
        <f t="shared" si="56"/>
        <v>2.2907999999999999</v>
      </c>
    </row>
    <row r="3552" spans="1:6" x14ac:dyDescent="0.2">
      <c r="A3552">
        <v>841</v>
      </c>
      <c r="B3552" s="3" t="s">
        <v>82</v>
      </c>
      <c r="C3552" s="3" t="s">
        <v>83</v>
      </c>
      <c r="D3552" s="3">
        <v>2</v>
      </c>
      <c r="E3552" s="3">
        <v>20.351600000000001</v>
      </c>
      <c r="F3552">
        <f t="shared" si="56"/>
        <v>40.703200000000002</v>
      </c>
    </row>
    <row r="3553" spans="1:6" x14ac:dyDescent="0.2">
      <c r="A3553">
        <v>841</v>
      </c>
      <c r="B3553" s="3" t="s">
        <v>84</v>
      </c>
      <c r="C3553" s="3" t="s">
        <v>85</v>
      </c>
      <c r="D3553" s="3">
        <v>1</v>
      </c>
      <c r="E3553" s="3">
        <v>102.3322</v>
      </c>
      <c r="F3553">
        <f t="shared" si="56"/>
        <v>102.3322</v>
      </c>
    </row>
    <row r="3554" spans="1:6" x14ac:dyDescent="0.2">
      <c r="A3554">
        <v>841</v>
      </c>
      <c r="B3554" s="3" t="s">
        <v>86</v>
      </c>
      <c r="C3554" s="3" t="s">
        <v>85</v>
      </c>
      <c r="D3554" s="3">
        <v>5</v>
      </c>
      <c r="E3554" s="3">
        <v>144.2646</v>
      </c>
      <c r="F3554">
        <f t="shared" si="56"/>
        <v>721.32299999999998</v>
      </c>
    </row>
    <row r="3555" spans="1:6" x14ac:dyDescent="0.2">
      <c r="A3555">
        <v>841</v>
      </c>
      <c r="B3555" s="3" t="s">
        <v>87</v>
      </c>
      <c r="C3555" s="3" t="s">
        <v>88</v>
      </c>
      <c r="D3555" s="3">
        <v>1</v>
      </c>
      <c r="E3555" s="3">
        <v>162.0215</v>
      </c>
      <c r="F3555">
        <f t="shared" si="56"/>
        <v>162.0215</v>
      </c>
    </row>
    <row r="3556" spans="1:6" x14ac:dyDescent="0.2">
      <c r="A3556">
        <v>841</v>
      </c>
      <c r="B3556" s="3" t="s">
        <v>89</v>
      </c>
      <c r="C3556" s="3" t="s">
        <v>85</v>
      </c>
      <c r="D3556" s="3">
        <v>1</v>
      </c>
      <c r="E3556" s="3">
        <v>211.0129</v>
      </c>
      <c r="F3556">
        <f t="shared" si="56"/>
        <v>211.0129</v>
      </c>
    </row>
    <row r="3557" spans="1:6" x14ac:dyDescent="0.2">
      <c r="A3557">
        <v>841</v>
      </c>
      <c r="B3557" s="3" t="s">
        <v>90</v>
      </c>
      <c r="C3557" s="3" t="s">
        <v>88</v>
      </c>
      <c r="D3557" s="3">
        <v>1</v>
      </c>
      <c r="E3557" s="3">
        <v>238.1635</v>
      </c>
      <c r="F3557">
        <f t="shared" si="56"/>
        <v>238.1635</v>
      </c>
    </row>
    <row r="3558" spans="1:6" x14ac:dyDescent="0.2">
      <c r="A3558">
        <v>841</v>
      </c>
      <c r="B3558" s="3" t="s">
        <v>92</v>
      </c>
      <c r="C3558" s="3" t="s">
        <v>93</v>
      </c>
      <c r="D3558" s="3">
        <v>5</v>
      </c>
      <c r="E3558" s="3">
        <v>19.297499999999999</v>
      </c>
      <c r="F3558">
        <f t="shared" si="56"/>
        <v>96.487499999999997</v>
      </c>
    </row>
    <row r="3559" spans="1:6" x14ac:dyDescent="0.2">
      <c r="A3559">
        <v>841</v>
      </c>
      <c r="B3559" s="3" t="s">
        <v>94</v>
      </c>
      <c r="C3559" s="3" t="s">
        <v>95</v>
      </c>
      <c r="D3559" s="3">
        <v>5</v>
      </c>
      <c r="E3559" s="3">
        <v>644.46270000000004</v>
      </c>
      <c r="F3559">
        <f t="shared" si="56"/>
        <v>3222.3135000000002</v>
      </c>
    </row>
    <row r="3560" spans="1:6" x14ac:dyDescent="0.2">
      <c r="A3560">
        <v>841</v>
      </c>
      <c r="B3560" s="3" t="s">
        <v>236</v>
      </c>
      <c r="C3560" s="3" t="s">
        <v>237</v>
      </c>
      <c r="D3560" s="3">
        <v>1</v>
      </c>
      <c r="E3560" s="3">
        <v>132.80000000000001</v>
      </c>
      <c r="F3560">
        <f t="shared" si="56"/>
        <v>132.80000000000001</v>
      </c>
    </row>
    <row r="3561" spans="1:6" x14ac:dyDescent="0.2">
      <c r="A3561">
        <v>841</v>
      </c>
      <c r="B3561" s="3" t="s">
        <v>238</v>
      </c>
      <c r="C3561" s="3" t="s">
        <v>239</v>
      </c>
      <c r="D3561" s="3">
        <v>1</v>
      </c>
      <c r="E3561" s="3">
        <v>340.93849999999998</v>
      </c>
      <c r="F3561">
        <f t="shared" si="56"/>
        <v>340.93849999999998</v>
      </c>
    </row>
    <row r="3562" spans="1:6" x14ac:dyDescent="0.2">
      <c r="A3562">
        <v>841</v>
      </c>
      <c r="B3562" s="3" t="s">
        <v>240</v>
      </c>
      <c r="C3562" s="3" t="s">
        <v>241</v>
      </c>
      <c r="D3562" s="3">
        <v>4</v>
      </c>
      <c r="E3562" s="3">
        <v>309.0154</v>
      </c>
      <c r="F3562">
        <f t="shared" si="56"/>
        <v>1236.0616</v>
      </c>
    </row>
    <row r="3563" spans="1:6" x14ac:dyDescent="0.2">
      <c r="A3563">
        <v>841</v>
      </c>
      <c r="B3563" s="3" t="s">
        <v>242</v>
      </c>
      <c r="C3563" s="3" t="s">
        <v>243</v>
      </c>
      <c r="D3563" s="3">
        <v>3</v>
      </c>
      <c r="E3563" s="3">
        <v>427.76920000000001</v>
      </c>
      <c r="F3563">
        <f t="shared" si="56"/>
        <v>1283.3076000000001</v>
      </c>
    </row>
    <row r="3564" spans="1:6" x14ac:dyDescent="0.2">
      <c r="A3564">
        <v>841</v>
      </c>
      <c r="B3564" s="3" t="s">
        <v>244</v>
      </c>
      <c r="C3564" s="3" t="s">
        <v>184</v>
      </c>
      <c r="D3564" s="3">
        <v>1</v>
      </c>
      <c r="E3564" s="3">
        <v>18.643080000000001</v>
      </c>
      <c r="F3564">
        <f t="shared" si="56"/>
        <v>18.643080000000001</v>
      </c>
    </row>
    <row r="3565" spans="1:6" x14ac:dyDescent="0.2">
      <c r="A3565">
        <v>841</v>
      </c>
      <c r="B3565" s="3" t="s">
        <v>245</v>
      </c>
      <c r="C3565" s="3" t="s">
        <v>246</v>
      </c>
      <c r="D3565" s="3">
        <v>3</v>
      </c>
      <c r="E3565" s="3">
        <v>0.44819999999999999</v>
      </c>
      <c r="F3565">
        <f t="shared" si="56"/>
        <v>1.3446</v>
      </c>
    </row>
    <row r="3566" spans="1:6" x14ac:dyDescent="0.2">
      <c r="A3566">
        <v>841</v>
      </c>
      <c r="B3566" s="3" t="s">
        <v>75</v>
      </c>
      <c r="C3566" s="3" t="s">
        <v>247</v>
      </c>
      <c r="D3566" s="3">
        <v>2</v>
      </c>
      <c r="E3566" s="3">
        <v>0.115385</v>
      </c>
      <c r="F3566">
        <f t="shared" si="56"/>
        <v>0.23077</v>
      </c>
    </row>
    <row r="3567" spans="1:6" x14ac:dyDescent="0.2">
      <c r="A3567">
        <v>841</v>
      </c>
      <c r="B3567" s="3" t="s">
        <v>197</v>
      </c>
      <c r="C3567" s="3" t="s">
        <v>117</v>
      </c>
      <c r="D3567" s="3">
        <v>4</v>
      </c>
      <c r="E3567" s="3">
        <v>7.4700000000000003E-2</v>
      </c>
      <c r="F3567">
        <f t="shared" si="56"/>
        <v>0.29880000000000001</v>
      </c>
    </row>
    <row r="3568" spans="1:6" x14ac:dyDescent="0.2">
      <c r="A3568">
        <v>841</v>
      </c>
      <c r="B3568" s="3" t="s">
        <v>248</v>
      </c>
      <c r="C3568" s="3" t="s">
        <v>249</v>
      </c>
      <c r="D3568" s="3">
        <v>1</v>
      </c>
      <c r="E3568" s="3">
        <v>31064.98</v>
      </c>
      <c r="F3568">
        <f t="shared" si="56"/>
        <v>31064.98</v>
      </c>
    </row>
    <row r="3569" spans="1:6" x14ac:dyDescent="0.2">
      <c r="A3569">
        <v>841</v>
      </c>
      <c r="B3569" s="3" t="s">
        <v>250</v>
      </c>
      <c r="C3569" s="3" t="s">
        <v>251</v>
      </c>
      <c r="D3569" s="3">
        <v>118</v>
      </c>
      <c r="E3569" s="3">
        <v>564.5412</v>
      </c>
      <c r="F3569">
        <f t="shared" si="56"/>
        <v>66615.861600000004</v>
      </c>
    </row>
    <row r="3570" spans="1:6" x14ac:dyDescent="0.2">
      <c r="A3570">
        <v>841</v>
      </c>
      <c r="B3570" s="3" t="s">
        <v>146</v>
      </c>
      <c r="C3570" s="3" t="s">
        <v>147</v>
      </c>
      <c r="D3570" s="3">
        <v>1</v>
      </c>
      <c r="E3570" s="3">
        <v>8021.5770000000002</v>
      </c>
      <c r="F3570">
        <f t="shared" si="56"/>
        <v>8021.5770000000002</v>
      </c>
    </row>
    <row r="3571" spans="1:6" x14ac:dyDescent="0.2">
      <c r="A3571">
        <v>841</v>
      </c>
      <c r="B3571" s="3" t="s">
        <v>215</v>
      </c>
      <c r="C3571" s="3" t="s">
        <v>208</v>
      </c>
      <c r="D3571" s="3">
        <v>1</v>
      </c>
      <c r="E3571" s="3">
        <v>1.4289810000000001</v>
      </c>
      <c r="F3571">
        <f t="shared" si="56"/>
        <v>1.4289810000000001</v>
      </c>
    </row>
    <row r="3572" spans="1:6" x14ac:dyDescent="0.2">
      <c r="A3572">
        <v>841</v>
      </c>
      <c r="B3572" s="3" t="s">
        <v>200</v>
      </c>
      <c r="C3572" s="3" t="s">
        <v>199</v>
      </c>
      <c r="D3572" s="3">
        <v>3</v>
      </c>
      <c r="E3572" s="3">
        <v>0.66373400000000005</v>
      </c>
      <c r="F3572">
        <f t="shared" si="56"/>
        <v>1.9912020000000001</v>
      </c>
    </row>
    <row r="3573" spans="1:6" x14ac:dyDescent="0.2">
      <c r="A3573">
        <v>841</v>
      </c>
      <c r="B3573" s="3" t="s">
        <v>216</v>
      </c>
      <c r="C3573" s="3" t="s">
        <v>199</v>
      </c>
      <c r="D3573" s="3">
        <v>1</v>
      </c>
      <c r="E3573" s="3">
        <v>0.66400000000000003</v>
      </c>
      <c r="F3573">
        <f t="shared" si="56"/>
        <v>0.66400000000000003</v>
      </c>
    </row>
    <row r="3574" spans="1:6" x14ac:dyDescent="0.2">
      <c r="A3574">
        <v>841</v>
      </c>
      <c r="B3574" s="3" t="s">
        <v>217</v>
      </c>
      <c r="C3574" s="3" t="s">
        <v>199</v>
      </c>
      <c r="D3574" s="3">
        <v>2</v>
      </c>
      <c r="E3574" s="3">
        <v>4.2164000000000001</v>
      </c>
      <c r="F3574">
        <f t="shared" si="56"/>
        <v>8.4328000000000003</v>
      </c>
    </row>
    <row r="3575" spans="1:6" x14ac:dyDescent="0.2">
      <c r="A3575">
        <v>841</v>
      </c>
      <c r="B3575" s="3" t="s">
        <v>218</v>
      </c>
      <c r="C3575" s="3" t="s">
        <v>208</v>
      </c>
      <c r="D3575" s="3">
        <v>3</v>
      </c>
      <c r="E3575" s="3">
        <v>7.3455000000000004</v>
      </c>
      <c r="F3575">
        <f t="shared" si="56"/>
        <v>22.0365</v>
      </c>
    </row>
    <row r="3576" spans="1:6" x14ac:dyDescent="0.2">
      <c r="A3576">
        <v>841</v>
      </c>
      <c r="B3576" s="3" t="s">
        <v>219</v>
      </c>
      <c r="C3576" s="3" t="s">
        <v>199</v>
      </c>
      <c r="D3576" s="3">
        <v>6</v>
      </c>
      <c r="E3576" s="3">
        <v>1.4774</v>
      </c>
      <c r="F3576">
        <f t="shared" si="56"/>
        <v>8.8643999999999998</v>
      </c>
    </row>
    <row r="3577" spans="1:6" x14ac:dyDescent="0.2">
      <c r="A3577">
        <v>841</v>
      </c>
      <c r="B3577" s="3" t="s">
        <v>220</v>
      </c>
      <c r="C3577" s="3" t="s">
        <v>208</v>
      </c>
      <c r="D3577" s="3">
        <v>6</v>
      </c>
      <c r="E3577" s="3">
        <v>3.7267000000000001</v>
      </c>
      <c r="F3577">
        <f t="shared" si="56"/>
        <v>22.360199999999999</v>
      </c>
    </row>
    <row r="3578" spans="1:6" x14ac:dyDescent="0.2">
      <c r="A3578">
        <v>841</v>
      </c>
      <c r="B3578" s="3" t="s">
        <v>221</v>
      </c>
      <c r="C3578" s="3" t="s">
        <v>199</v>
      </c>
      <c r="D3578" s="3">
        <v>6</v>
      </c>
      <c r="E3578" s="3">
        <v>0.97940000000000005</v>
      </c>
      <c r="F3578">
        <f t="shared" si="56"/>
        <v>5.8764000000000003</v>
      </c>
    </row>
    <row r="3579" spans="1:6" x14ac:dyDescent="0.2">
      <c r="A3579">
        <v>841</v>
      </c>
      <c r="B3579" s="3" t="s">
        <v>222</v>
      </c>
      <c r="C3579" s="3" t="s">
        <v>208</v>
      </c>
      <c r="D3579" s="3">
        <v>2</v>
      </c>
      <c r="E3579" s="3">
        <v>6.0673000000000004</v>
      </c>
      <c r="F3579">
        <f t="shared" si="56"/>
        <v>12.134600000000001</v>
      </c>
    </row>
    <row r="3580" spans="1:6" x14ac:dyDescent="0.2">
      <c r="A3580">
        <v>841</v>
      </c>
      <c r="B3580" s="3" t="s">
        <v>223</v>
      </c>
      <c r="C3580" s="3" t="s">
        <v>224</v>
      </c>
      <c r="D3580" s="3">
        <v>1</v>
      </c>
      <c r="E3580" s="3">
        <v>19.4635</v>
      </c>
      <c r="F3580">
        <f t="shared" si="56"/>
        <v>19.4635</v>
      </c>
    </row>
    <row r="3581" spans="1:6" x14ac:dyDescent="0.2">
      <c r="A3581">
        <v>841</v>
      </c>
      <c r="B3581" s="3" t="s">
        <v>225</v>
      </c>
      <c r="C3581" s="3" t="s">
        <v>226</v>
      </c>
      <c r="D3581" s="3">
        <v>5</v>
      </c>
      <c r="E3581" s="3">
        <v>10.22151</v>
      </c>
      <c r="F3581">
        <f t="shared" si="56"/>
        <v>51.107550000000003</v>
      </c>
    </row>
    <row r="3582" spans="1:6" x14ac:dyDescent="0.2">
      <c r="A3582">
        <v>841</v>
      </c>
      <c r="B3582" s="3" t="s">
        <v>227</v>
      </c>
      <c r="C3582" s="3" t="s">
        <v>208</v>
      </c>
      <c r="D3582" s="3">
        <v>1</v>
      </c>
      <c r="E3582" s="3">
        <v>3.6307689999999999</v>
      </c>
      <c r="F3582">
        <f t="shared" si="56"/>
        <v>3.6307689999999999</v>
      </c>
    </row>
    <row r="3583" spans="1:6" x14ac:dyDescent="0.2">
      <c r="A3583">
        <v>841</v>
      </c>
      <c r="B3583" s="3" t="s">
        <v>228</v>
      </c>
      <c r="C3583" s="3" t="s">
        <v>229</v>
      </c>
      <c r="D3583" s="3">
        <v>3</v>
      </c>
      <c r="E3583" s="3">
        <v>306.94979999999998</v>
      </c>
      <c r="F3583">
        <f t="shared" si="56"/>
        <v>920.84939999999995</v>
      </c>
    </row>
    <row r="3584" spans="1:6" x14ac:dyDescent="0.2">
      <c r="A3584">
        <v>841</v>
      </c>
      <c r="B3584" s="3" t="s">
        <v>116</v>
      </c>
      <c r="C3584" s="3" t="s">
        <v>117</v>
      </c>
      <c r="D3584" s="3">
        <v>6</v>
      </c>
      <c r="E3584" s="3">
        <v>0.25729999999999997</v>
      </c>
      <c r="F3584">
        <f t="shared" si="56"/>
        <v>1.5437999999999998</v>
      </c>
    </row>
    <row r="3585" spans="1:6" x14ac:dyDescent="0.2">
      <c r="A3585">
        <v>841</v>
      </c>
      <c r="B3585" s="3" t="s">
        <v>78</v>
      </c>
      <c r="C3585" s="3" t="s">
        <v>76</v>
      </c>
      <c r="D3585" s="3">
        <v>6</v>
      </c>
      <c r="E3585" s="3">
        <v>0.71839500000000001</v>
      </c>
      <c r="F3585">
        <f t="shared" si="56"/>
        <v>4.3103699999999998</v>
      </c>
    </row>
    <row r="3586" spans="1:6" x14ac:dyDescent="0.2">
      <c r="A3586">
        <v>841</v>
      </c>
      <c r="B3586" s="3" t="s">
        <v>231</v>
      </c>
      <c r="C3586" s="3" t="s">
        <v>208</v>
      </c>
      <c r="D3586" s="3">
        <v>1</v>
      </c>
      <c r="E3586" s="3">
        <v>2.0832999999999999</v>
      </c>
      <c r="F3586">
        <f t="shared" si="56"/>
        <v>2.0832999999999999</v>
      </c>
    </row>
    <row r="3587" spans="1:6" x14ac:dyDescent="0.2">
      <c r="A3587">
        <v>841</v>
      </c>
      <c r="B3587" s="3" t="s">
        <v>232</v>
      </c>
      <c r="C3587" s="3" t="s">
        <v>119</v>
      </c>
      <c r="D3587" s="3">
        <v>3</v>
      </c>
      <c r="E3587" s="3">
        <v>1.5935999999999999</v>
      </c>
      <c r="F3587">
        <f t="shared" si="56"/>
        <v>4.7807999999999993</v>
      </c>
    </row>
    <row r="3588" spans="1:6" x14ac:dyDescent="0.2">
      <c r="A3588">
        <v>841</v>
      </c>
      <c r="B3588" s="3" t="s">
        <v>233</v>
      </c>
      <c r="C3588" s="3" t="s">
        <v>234</v>
      </c>
      <c r="D3588" s="3">
        <v>1</v>
      </c>
      <c r="E3588" s="3">
        <v>3989.2950000000001</v>
      </c>
      <c r="F3588">
        <f t="shared" si="56"/>
        <v>3989.2950000000001</v>
      </c>
    </row>
    <row r="3589" spans="1:6" x14ac:dyDescent="0.2">
      <c r="A3589">
        <v>841</v>
      </c>
      <c r="B3589" s="3" t="s">
        <v>142</v>
      </c>
      <c r="C3589" s="3" t="s">
        <v>143</v>
      </c>
      <c r="D3589" s="3">
        <v>1</v>
      </c>
      <c r="E3589" s="3">
        <v>18141.64</v>
      </c>
      <c r="F3589">
        <f t="shared" si="56"/>
        <v>18141.64</v>
      </c>
    </row>
    <row r="3590" spans="1:6" x14ac:dyDescent="0.2">
      <c r="A3590">
        <v>841</v>
      </c>
      <c r="B3590" s="3" t="s">
        <v>144</v>
      </c>
      <c r="C3590" s="3" t="s">
        <v>145</v>
      </c>
      <c r="D3590" s="3">
        <v>3</v>
      </c>
      <c r="E3590" s="3">
        <v>7346.6769999999997</v>
      </c>
      <c r="F3590">
        <f t="shared" si="56"/>
        <v>22040.030999999999</v>
      </c>
    </row>
    <row r="3591" spans="1:6" x14ac:dyDescent="0.2">
      <c r="A3591">
        <v>841</v>
      </c>
      <c r="B3591" s="3" t="s">
        <v>197</v>
      </c>
      <c r="C3591" s="3" t="s">
        <v>117</v>
      </c>
      <c r="D3591" s="3">
        <v>2</v>
      </c>
      <c r="E3591" s="3">
        <v>7.4700000000000003E-2</v>
      </c>
      <c r="F3591">
        <f t="shared" ref="F3591:F3624" si="57">D3591*E3591</f>
        <v>0.14940000000000001</v>
      </c>
    </row>
    <row r="3592" spans="1:6" x14ac:dyDescent="0.2">
      <c r="A3592">
        <v>841</v>
      </c>
      <c r="B3592" s="3" t="s">
        <v>198</v>
      </c>
      <c r="C3592" s="3" t="s">
        <v>199</v>
      </c>
      <c r="D3592" s="3">
        <v>1</v>
      </c>
      <c r="E3592" s="3">
        <v>0.66373400000000005</v>
      </c>
      <c r="F3592">
        <f t="shared" si="57"/>
        <v>0.66373400000000005</v>
      </c>
    </row>
    <row r="3593" spans="1:6" x14ac:dyDescent="0.2">
      <c r="A3593">
        <v>841</v>
      </c>
      <c r="B3593" s="3" t="s">
        <v>200</v>
      </c>
      <c r="C3593" s="3" t="s">
        <v>199</v>
      </c>
      <c r="D3593" s="3">
        <v>5</v>
      </c>
      <c r="E3593" s="3">
        <v>0.66373400000000005</v>
      </c>
      <c r="F3593">
        <f t="shared" si="57"/>
        <v>3.31867</v>
      </c>
    </row>
    <row r="3594" spans="1:6" x14ac:dyDescent="0.2">
      <c r="A3594">
        <v>841</v>
      </c>
      <c r="B3594" s="3" t="s">
        <v>201</v>
      </c>
      <c r="C3594" s="3" t="s">
        <v>76</v>
      </c>
      <c r="D3594" s="3">
        <v>1</v>
      </c>
      <c r="E3594" s="3">
        <v>0.22645100000000001</v>
      </c>
      <c r="F3594">
        <f t="shared" si="57"/>
        <v>0.22645100000000001</v>
      </c>
    </row>
    <row r="3595" spans="1:6" x14ac:dyDescent="0.2">
      <c r="A3595">
        <v>841</v>
      </c>
      <c r="B3595" s="3" t="s">
        <v>202</v>
      </c>
      <c r="C3595" s="3" t="s">
        <v>203</v>
      </c>
      <c r="D3595" s="3">
        <v>1</v>
      </c>
      <c r="E3595" s="3">
        <v>12.45</v>
      </c>
      <c r="F3595">
        <f t="shared" si="57"/>
        <v>12.45</v>
      </c>
    </row>
    <row r="3596" spans="1:6" x14ac:dyDescent="0.2">
      <c r="A3596">
        <v>841</v>
      </c>
      <c r="B3596" s="3" t="s">
        <v>204</v>
      </c>
      <c r="C3596" s="3" t="s">
        <v>205</v>
      </c>
      <c r="D3596" s="3">
        <v>1</v>
      </c>
      <c r="E3596" s="3">
        <v>103.7222</v>
      </c>
      <c r="F3596">
        <f t="shared" si="57"/>
        <v>103.7222</v>
      </c>
    </row>
    <row r="3597" spans="1:6" x14ac:dyDescent="0.2">
      <c r="A3597">
        <v>841</v>
      </c>
      <c r="B3597" s="3" t="s">
        <v>116</v>
      </c>
      <c r="C3597" s="3" t="s">
        <v>117</v>
      </c>
      <c r="D3597" s="3">
        <v>5</v>
      </c>
      <c r="E3597" s="3">
        <v>0.25729999999999997</v>
      </c>
      <c r="F3597">
        <f t="shared" si="57"/>
        <v>1.2864999999999998</v>
      </c>
    </row>
    <row r="3598" spans="1:6" x14ac:dyDescent="0.2">
      <c r="A3598">
        <v>841</v>
      </c>
      <c r="B3598" s="3" t="s">
        <v>78</v>
      </c>
      <c r="C3598" s="3" t="s">
        <v>76</v>
      </c>
      <c r="D3598" s="3">
        <v>5</v>
      </c>
      <c r="E3598" s="3">
        <v>0.71839500000000001</v>
      </c>
      <c r="F3598">
        <f t="shared" si="57"/>
        <v>3.5919750000000001</v>
      </c>
    </row>
    <row r="3599" spans="1:6" x14ac:dyDescent="0.2">
      <c r="A3599">
        <v>841</v>
      </c>
      <c r="B3599" s="3" t="s">
        <v>207</v>
      </c>
      <c r="C3599" s="3" t="s">
        <v>208</v>
      </c>
      <c r="D3599" s="3">
        <v>1</v>
      </c>
      <c r="E3599" s="3">
        <v>4.6314000000000002</v>
      </c>
      <c r="F3599">
        <f t="shared" si="57"/>
        <v>4.6314000000000002</v>
      </c>
    </row>
    <row r="3600" spans="1:6" x14ac:dyDescent="0.2">
      <c r="A3600">
        <v>841</v>
      </c>
      <c r="B3600" s="3" t="s">
        <v>209</v>
      </c>
      <c r="C3600" s="3" t="s">
        <v>210</v>
      </c>
      <c r="D3600" s="3">
        <v>1</v>
      </c>
      <c r="E3600" s="3">
        <v>39.550759999999997</v>
      </c>
      <c r="F3600">
        <f t="shared" si="57"/>
        <v>39.550759999999997</v>
      </c>
    </row>
    <row r="3601" spans="1:6" x14ac:dyDescent="0.2">
      <c r="A3601">
        <v>841</v>
      </c>
      <c r="B3601" s="3" t="s">
        <v>211</v>
      </c>
      <c r="C3601" s="3" t="s">
        <v>203</v>
      </c>
      <c r="D3601" s="3">
        <v>4</v>
      </c>
      <c r="E3601" s="3">
        <v>25.754899999999999</v>
      </c>
      <c r="F3601">
        <f t="shared" si="57"/>
        <v>103.0196</v>
      </c>
    </row>
    <row r="3602" spans="1:6" x14ac:dyDescent="0.2">
      <c r="A3602">
        <v>841</v>
      </c>
      <c r="B3602" s="3" t="s">
        <v>212</v>
      </c>
      <c r="C3602" s="3" t="s">
        <v>213</v>
      </c>
      <c r="D3602" s="3">
        <v>3</v>
      </c>
      <c r="E3602" s="3">
        <v>272.92059999999998</v>
      </c>
      <c r="F3602">
        <f t="shared" si="57"/>
        <v>818.76179999999999</v>
      </c>
    </row>
    <row r="3603" spans="1:6" x14ac:dyDescent="0.2">
      <c r="A3603">
        <v>841</v>
      </c>
      <c r="B3603" s="3" t="s">
        <v>135</v>
      </c>
      <c r="C3603" s="3" t="s">
        <v>136</v>
      </c>
      <c r="D3603" s="3">
        <v>1</v>
      </c>
      <c r="E3603" s="3">
        <v>395.04689999999999</v>
      </c>
      <c r="F3603">
        <f t="shared" si="57"/>
        <v>395.04689999999999</v>
      </c>
    </row>
    <row r="3604" spans="1:6" x14ac:dyDescent="0.2">
      <c r="A3604">
        <v>841</v>
      </c>
      <c r="B3604" s="3" t="s">
        <v>137</v>
      </c>
      <c r="C3604" s="3" t="s">
        <v>138</v>
      </c>
      <c r="D3604" s="3">
        <v>3</v>
      </c>
      <c r="E3604" s="3">
        <v>252.98429999999999</v>
      </c>
      <c r="F3604">
        <f t="shared" si="57"/>
        <v>758.9529</v>
      </c>
    </row>
    <row r="3605" spans="1:6" x14ac:dyDescent="0.2">
      <c r="A3605">
        <v>841</v>
      </c>
      <c r="B3605" s="3" t="s">
        <v>139</v>
      </c>
      <c r="C3605" s="3" t="s">
        <v>140</v>
      </c>
      <c r="D3605" s="3">
        <v>2</v>
      </c>
      <c r="E3605" s="3">
        <v>2054.4580000000001</v>
      </c>
      <c r="F3605">
        <f t="shared" si="57"/>
        <v>4108.9160000000002</v>
      </c>
    </row>
    <row r="3606" spans="1:6" x14ac:dyDescent="0.2">
      <c r="A3606">
        <v>841</v>
      </c>
      <c r="B3606" s="3" t="s">
        <v>116</v>
      </c>
      <c r="C3606" s="3" t="s">
        <v>117</v>
      </c>
      <c r="D3606" s="3">
        <v>4</v>
      </c>
      <c r="E3606" s="3">
        <v>0.25729999999999997</v>
      </c>
      <c r="F3606">
        <f t="shared" si="57"/>
        <v>1.0291999999999999</v>
      </c>
    </row>
    <row r="3607" spans="1:6" x14ac:dyDescent="0.2">
      <c r="A3607">
        <v>841</v>
      </c>
      <c r="B3607" s="3" t="s">
        <v>118</v>
      </c>
      <c r="C3607" s="3" t="s">
        <v>119</v>
      </c>
      <c r="D3607" s="3">
        <v>1</v>
      </c>
      <c r="E3607" s="3">
        <v>0.83</v>
      </c>
      <c r="F3607">
        <f t="shared" si="57"/>
        <v>0.83</v>
      </c>
    </row>
    <row r="3608" spans="1:6" x14ac:dyDescent="0.2">
      <c r="A3608">
        <v>841</v>
      </c>
      <c r="B3608" s="3" t="s">
        <v>120</v>
      </c>
      <c r="C3608" s="3" t="s">
        <v>117</v>
      </c>
      <c r="D3608" s="3">
        <v>118</v>
      </c>
      <c r="E3608" s="3">
        <v>1.5604</v>
      </c>
      <c r="F3608">
        <f t="shared" si="57"/>
        <v>184.12719999999999</v>
      </c>
    </row>
    <row r="3609" spans="1:6" x14ac:dyDescent="0.2">
      <c r="A3609">
        <v>841</v>
      </c>
      <c r="B3609" s="3" t="s">
        <v>121</v>
      </c>
      <c r="C3609" s="3" t="s">
        <v>117</v>
      </c>
      <c r="D3609" s="3">
        <v>1</v>
      </c>
      <c r="E3609" s="3">
        <v>270.83730000000003</v>
      </c>
      <c r="F3609">
        <f t="shared" si="57"/>
        <v>270.83730000000003</v>
      </c>
    </row>
    <row r="3610" spans="1:6" x14ac:dyDescent="0.2">
      <c r="A3610">
        <v>841</v>
      </c>
      <c r="B3610" s="3" t="s">
        <v>122</v>
      </c>
      <c r="C3610" s="3" t="s">
        <v>76</v>
      </c>
      <c r="D3610" s="3">
        <v>1</v>
      </c>
      <c r="E3610" s="3">
        <v>14.915100000000001</v>
      </c>
      <c r="F3610">
        <f t="shared" si="57"/>
        <v>14.915100000000001</v>
      </c>
    </row>
    <row r="3611" spans="1:6" x14ac:dyDescent="0.2">
      <c r="A3611">
        <v>841</v>
      </c>
      <c r="B3611" s="3" t="s">
        <v>123</v>
      </c>
      <c r="C3611" s="3" t="s">
        <v>119</v>
      </c>
      <c r="D3611" s="3">
        <v>3</v>
      </c>
      <c r="E3611" s="3">
        <v>122.52460000000001</v>
      </c>
      <c r="F3611">
        <f t="shared" si="57"/>
        <v>367.57380000000001</v>
      </c>
    </row>
    <row r="3612" spans="1:6" x14ac:dyDescent="0.2">
      <c r="A3612">
        <v>841</v>
      </c>
      <c r="B3612" s="3" t="s">
        <v>124</v>
      </c>
      <c r="C3612" s="3" t="s">
        <v>119</v>
      </c>
      <c r="D3612" s="3">
        <v>1</v>
      </c>
      <c r="E3612" s="3">
        <v>65.877099999999999</v>
      </c>
      <c r="F3612">
        <f t="shared" si="57"/>
        <v>65.877099999999999</v>
      </c>
    </row>
    <row r="3613" spans="1:6" x14ac:dyDescent="0.2">
      <c r="A3613">
        <v>841</v>
      </c>
      <c r="B3613" s="3" t="s">
        <v>125</v>
      </c>
      <c r="C3613" s="3" t="s">
        <v>117</v>
      </c>
      <c r="D3613" s="3">
        <v>2</v>
      </c>
      <c r="E3613" s="3">
        <v>45.957099999999997</v>
      </c>
      <c r="F3613">
        <f t="shared" si="57"/>
        <v>91.914199999999994</v>
      </c>
    </row>
    <row r="3614" spans="1:6" x14ac:dyDescent="0.2">
      <c r="A3614">
        <v>841</v>
      </c>
      <c r="B3614" s="3" t="s">
        <v>126</v>
      </c>
      <c r="C3614" s="3" t="s">
        <v>127</v>
      </c>
      <c r="D3614" s="3">
        <v>3</v>
      </c>
      <c r="E3614" s="3">
        <v>411.49740000000003</v>
      </c>
      <c r="F3614">
        <f t="shared" si="57"/>
        <v>1234.4922000000001</v>
      </c>
    </row>
    <row r="3615" spans="1:6" x14ac:dyDescent="0.2">
      <c r="A3615">
        <v>841</v>
      </c>
      <c r="B3615" s="3" t="s">
        <v>129</v>
      </c>
      <c r="C3615" s="3" t="s">
        <v>130</v>
      </c>
      <c r="D3615" s="3">
        <v>6</v>
      </c>
      <c r="E3615" s="3">
        <v>6724.2780000000002</v>
      </c>
      <c r="F3615">
        <f t="shared" si="57"/>
        <v>40345.668000000005</v>
      </c>
    </row>
    <row r="3616" spans="1:6" x14ac:dyDescent="0.2">
      <c r="A3616">
        <v>841</v>
      </c>
      <c r="B3616" s="3">
        <v>4656354</v>
      </c>
      <c r="C3616" s="3" t="s">
        <v>133</v>
      </c>
      <c r="D3616" s="3">
        <v>6</v>
      </c>
      <c r="E3616" s="3">
        <v>1168.0260000000001</v>
      </c>
      <c r="F3616">
        <f t="shared" si="57"/>
        <v>7008.1560000000009</v>
      </c>
    </row>
    <row r="3617" spans="1:6" x14ac:dyDescent="0.2">
      <c r="A3617">
        <v>841</v>
      </c>
      <c r="B3617" s="3" t="s">
        <v>110</v>
      </c>
      <c r="C3617" s="3" t="s">
        <v>111</v>
      </c>
      <c r="D3617" s="3">
        <v>1</v>
      </c>
      <c r="E3617" s="3">
        <v>119.83540000000001</v>
      </c>
      <c r="F3617">
        <f t="shared" si="57"/>
        <v>119.83540000000001</v>
      </c>
    </row>
    <row r="3618" spans="1:6" x14ac:dyDescent="0.2">
      <c r="A3618">
        <v>841</v>
      </c>
      <c r="B3618" s="3" t="s">
        <v>112</v>
      </c>
      <c r="C3618" s="3" t="s">
        <v>113</v>
      </c>
      <c r="D3618" s="3">
        <v>3</v>
      </c>
      <c r="E3618" s="3">
        <v>97.646150000000006</v>
      </c>
      <c r="F3618">
        <f t="shared" si="57"/>
        <v>292.93844999999999</v>
      </c>
    </row>
    <row r="3619" spans="1:6" x14ac:dyDescent="0.2">
      <c r="A3619">
        <v>841</v>
      </c>
      <c r="B3619" s="3" t="s">
        <v>110</v>
      </c>
      <c r="C3619" s="3" t="s">
        <v>111</v>
      </c>
      <c r="D3619" s="3">
        <v>1</v>
      </c>
      <c r="E3619" s="3">
        <v>119.83540000000001</v>
      </c>
      <c r="F3619">
        <f t="shared" si="57"/>
        <v>119.83540000000001</v>
      </c>
    </row>
    <row r="3620" spans="1:6" x14ac:dyDescent="0.2">
      <c r="A3620">
        <v>841</v>
      </c>
      <c r="B3620" s="3" t="s">
        <v>112</v>
      </c>
      <c r="C3620" s="3" t="s">
        <v>113</v>
      </c>
      <c r="D3620" s="3">
        <v>1</v>
      </c>
      <c r="E3620" s="3">
        <v>97.646150000000006</v>
      </c>
      <c r="F3620">
        <f t="shared" si="57"/>
        <v>97.646150000000006</v>
      </c>
    </row>
    <row r="3621" spans="1:6" x14ac:dyDescent="0.2">
      <c r="A3621">
        <v>841</v>
      </c>
      <c r="B3621" s="3" t="s">
        <v>97</v>
      </c>
      <c r="C3621" s="3" t="s">
        <v>98</v>
      </c>
      <c r="D3621" s="3">
        <v>3</v>
      </c>
      <c r="E3621" s="3">
        <v>189.87909999999999</v>
      </c>
      <c r="F3621">
        <f t="shared" si="57"/>
        <v>569.63729999999998</v>
      </c>
    </row>
    <row r="3622" spans="1:6" x14ac:dyDescent="0.2">
      <c r="A3622">
        <v>841</v>
      </c>
      <c r="B3622" s="3" t="s">
        <v>99</v>
      </c>
      <c r="C3622" s="3" t="s">
        <v>100</v>
      </c>
      <c r="D3622" s="3">
        <v>2</v>
      </c>
      <c r="E3622" s="3">
        <v>1287.1379999999999</v>
      </c>
      <c r="F3622">
        <f t="shared" si="57"/>
        <v>2574.2759999999998</v>
      </c>
    </row>
    <row r="3623" spans="1:6" x14ac:dyDescent="0.2">
      <c r="A3623">
        <v>841</v>
      </c>
      <c r="B3623" s="3" t="s">
        <v>101</v>
      </c>
      <c r="C3623" s="3" t="s">
        <v>102</v>
      </c>
      <c r="D3623" s="3">
        <v>1</v>
      </c>
      <c r="E3623" s="3">
        <v>1363.037</v>
      </c>
      <c r="F3623">
        <f t="shared" si="57"/>
        <v>1363.037</v>
      </c>
    </row>
    <row r="3624" spans="1:6" x14ac:dyDescent="0.2">
      <c r="A3624">
        <v>841</v>
      </c>
      <c r="B3624" s="3" t="s">
        <v>103</v>
      </c>
      <c r="C3624" s="3" t="s">
        <v>104</v>
      </c>
      <c r="D3624" s="3">
        <v>5</v>
      </c>
      <c r="E3624" s="3">
        <v>423.5822</v>
      </c>
      <c r="F3624">
        <f t="shared" si="57"/>
        <v>2117.9110000000001</v>
      </c>
    </row>
    <row r="3625" spans="1:6" x14ac:dyDescent="0.2">
      <c r="A3625">
        <v>841</v>
      </c>
      <c r="B3625" s="3" t="s">
        <v>105</v>
      </c>
      <c r="C3625" s="3" t="s">
        <v>106</v>
      </c>
      <c r="D3625" s="3">
        <v>1</v>
      </c>
      <c r="E3625" s="3">
        <v>36.470199999999998</v>
      </c>
      <c r="F3625">
        <f t="shared" ref="F3625:F3688" si="58">D3625*E3625</f>
        <v>36.470199999999998</v>
      </c>
    </row>
    <row r="3626" spans="1:6" x14ac:dyDescent="0.2">
      <c r="A3626">
        <v>841</v>
      </c>
      <c r="B3626" s="3" t="s">
        <v>107</v>
      </c>
      <c r="C3626" s="3" t="s">
        <v>108</v>
      </c>
      <c r="D3626" s="3">
        <v>1</v>
      </c>
      <c r="E3626" s="3">
        <v>61.492310000000003</v>
      </c>
      <c r="F3626">
        <f t="shared" si="58"/>
        <v>61.492310000000003</v>
      </c>
    </row>
    <row r="3627" spans="1:6" x14ac:dyDescent="0.2">
      <c r="A3627">
        <v>841</v>
      </c>
      <c r="B3627" s="3" t="s">
        <v>62</v>
      </c>
      <c r="C3627" s="3" t="s">
        <v>323</v>
      </c>
      <c r="D3627" s="3">
        <v>1</v>
      </c>
      <c r="E3627" s="3">
        <v>0.34860000000000002</v>
      </c>
      <c r="F3627">
        <f t="shared" si="58"/>
        <v>0.34860000000000002</v>
      </c>
    </row>
    <row r="3628" spans="1:6" x14ac:dyDescent="0.2">
      <c r="A3628">
        <v>841</v>
      </c>
      <c r="B3628" s="3" t="s">
        <v>324</v>
      </c>
      <c r="C3628" s="3" t="s">
        <v>273</v>
      </c>
      <c r="D3628" s="3">
        <v>5</v>
      </c>
      <c r="E3628" s="3">
        <v>0.95450000000000002</v>
      </c>
      <c r="F3628">
        <f t="shared" si="58"/>
        <v>4.7725</v>
      </c>
    </row>
    <row r="3629" spans="1:6" x14ac:dyDescent="0.2">
      <c r="A3629">
        <v>841</v>
      </c>
      <c r="B3629" s="3" t="s">
        <v>325</v>
      </c>
      <c r="C3629" s="3" t="s">
        <v>273</v>
      </c>
      <c r="D3629" s="3">
        <v>5</v>
      </c>
      <c r="E3629" s="3">
        <v>3.3692310000000001</v>
      </c>
      <c r="F3629">
        <f t="shared" si="58"/>
        <v>16.846155</v>
      </c>
    </row>
    <row r="3630" spans="1:6" x14ac:dyDescent="0.2">
      <c r="A3630">
        <v>841</v>
      </c>
      <c r="B3630" s="3" t="s">
        <v>154</v>
      </c>
      <c r="C3630" s="3" t="s">
        <v>278</v>
      </c>
      <c r="D3630" s="3">
        <v>1</v>
      </c>
      <c r="E3630" s="3">
        <v>4.3658000000000001</v>
      </c>
      <c r="F3630">
        <f t="shared" si="58"/>
        <v>4.3658000000000001</v>
      </c>
    </row>
    <row r="3631" spans="1:6" x14ac:dyDescent="0.2">
      <c r="A3631">
        <v>841</v>
      </c>
      <c r="B3631" s="3" t="s">
        <v>290</v>
      </c>
      <c r="C3631" s="3" t="s">
        <v>278</v>
      </c>
      <c r="D3631" s="3">
        <v>1</v>
      </c>
      <c r="E3631" s="3">
        <v>43.751809999999999</v>
      </c>
      <c r="F3631">
        <f t="shared" si="58"/>
        <v>43.751809999999999</v>
      </c>
    </row>
    <row r="3632" spans="1:6" x14ac:dyDescent="0.2">
      <c r="A3632">
        <v>841</v>
      </c>
      <c r="B3632" s="3" t="s">
        <v>288</v>
      </c>
      <c r="C3632" s="3" t="s">
        <v>289</v>
      </c>
      <c r="D3632" s="3">
        <v>4</v>
      </c>
      <c r="E3632" s="3">
        <v>7.340122</v>
      </c>
      <c r="F3632">
        <f t="shared" si="58"/>
        <v>29.360488</v>
      </c>
    </row>
    <row r="3633" spans="1:6" x14ac:dyDescent="0.2">
      <c r="A3633">
        <v>841</v>
      </c>
      <c r="B3633" s="3" t="s">
        <v>287</v>
      </c>
      <c r="C3633" s="3" t="s">
        <v>273</v>
      </c>
      <c r="D3633" s="3">
        <v>3</v>
      </c>
      <c r="E3633" s="3">
        <v>100.669</v>
      </c>
      <c r="F3633">
        <f t="shared" si="58"/>
        <v>302.00700000000001</v>
      </c>
    </row>
    <row r="3634" spans="1:6" x14ac:dyDescent="0.2">
      <c r="A3634">
        <v>841</v>
      </c>
      <c r="B3634" s="3" t="s">
        <v>285</v>
      </c>
      <c r="C3634" s="3" t="s">
        <v>286</v>
      </c>
      <c r="D3634" s="3">
        <v>1</v>
      </c>
      <c r="E3634" s="3">
        <v>58.189990000000002</v>
      </c>
      <c r="F3634">
        <f t="shared" si="58"/>
        <v>58.189990000000002</v>
      </c>
    </row>
    <row r="3635" spans="1:6" x14ac:dyDescent="0.2">
      <c r="A3635">
        <v>841</v>
      </c>
      <c r="B3635" s="3" t="s">
        <v>291</v>
      </c>
      <c r="C3635" s="3" t="s">
        <v>278</v>
      </c>
      <c r="D3635" s="3">
        <v>3</v>
      </c>
      <c r="E3635" s="3">
        <v>24.136399999999998</v>
      </c>
      <c r="F3635">
        <f t="shared" si="58"/>
        <v>72.409199999999998</v>
      </c>
    </row>
    <row r="3636" spans="1:6" x14ac:dyDescent="0.2">
      <c r="A3636">
        <v>841</v>
      </c>
      <c r="B3636" s="3" t="s">
        <v>277</v>
      </c>
      <c r="C3636" s="3" t="s">
        <v>278</v>
      </c>
      <c r="D3636" s="3">
        <v>2</v>
      </c>
      <c r="E3636" s="3">
        <v>41.026589999999999</v>
      </c>
      <c r="F3636">
        <f t="shared" si="58"/>
        <v>82.053179999999998</v>
      </c>
    </row>
    <row r="3637" spans="1:6" x14ac:dyDescent="0.2">
      <c r="A3637">
        <v>841</v>
      </c>
      <c r="B3637" s="3" t="s">
        <v>326</v>
      </c>
      <c r="C3637" s="3" t="s">
        <v>278</v>
      </c>
      <c r="D3637" s="3">
        <v>4</v>
      </c>
      <c r="E3637" s="3">
        <v>3.9745979999999999</v>
      </c>
      <c r="F3637">
        <f t="shared" si="58"/>
        <v>15.898391999999999</v>
      </c>
    </row>
    <row r="3638" spans="1:6" x14ac:dyDescent="0.2">
      <c r="A3638">
        <v>841</v>
      </c>
      <c r="B3638" s="3" t="s">
        <v>274</v>
      </c>
      <c r="C3638" s="3" t="s">
        <v>273</v>
      </c>
      <c r="D3638" s="3">
        <v>1</v>
      </c>
      <c r="E3638" s="3">
        <v>149.23089999999999</v>
      </c>
      <c r="F3638">
        <f t="shared" si="58"/>
        <v>149.23089999999999</v>
      </c>
    </row>
    <row r="3639" spans="1:6" x14ac:dyDescent="0.2">
      <c r="A3639">
        <v>841</v>
      </c>
      <c r="B3639" s="3" t="s">
        <v>327</v>
      </c>
      <c r="C3639" s="3" t="s">
        <v>309</v>
      </c>
      <c r="D3639" s="3">
        <v>118</v>
      </c>
      <c r="E3639" s="3">
        <v>1532.5239999999999</v>
      </c>
      <c r="F3639">
        <f t="shared" si="58"/>
        <v>180837.83199999999</v>
      </c>
    </row>
    <row r="3640" spans="1:6" x14ac:dyDescent="0.2">
      <c r="A3640">
        <v>841</v>
      </c>
      <c r="B3640" s="3" t="s">
        <v>328</v>
      </c>
      <c r="C3640" s="3" t="s">
        <v>329</v>
      </c>
      <c r="D3640" s="3">
        <v>1</v>
      </c>
      <c r="E3640" s="3">
        <v>155.62309999999999</v>
      </c>
      <c r="F3640">
        <f t="shared" si="58"/>
        <v>155.62309999999999</v>
      </c>
    </row>
    <row r="3641" spans="1:6" x14ac:dyDescent="0.2">
      <c r="A3641">
        <v>841</v>
      </c>
      <c r="B3641" s="3" t="s">
        <v>330</v>
      </c>
      <c r="C3641" s="3" t="s">
        <v>331</v>
      </c>
      <c r="D3641" s="3">
        <v>1</v>
      </c>
      <c r="E3641" s="3">
        <v>710.44619999999998</v>
      </c>
      <c r="F3641">
        <f t="shared" si="58"/>
        <v>710.44619999999998</v>
      </c>
    </row>
    <row r="3642" spans="1:6" x14ac:dyDescent="0.2">
      <c r="A3642">
        <v>841</v>
      </c>
      <c r="B3642" s="3" t="s">
        <v>332</v>
      </c>
      <c r="C3642" s="3" t="s">
        <v>333</v>
      </c>
      <c r="D3642" s="3">
        <v>3</v>
      </c>
      <c r="E3642" s="3">
        <v>167.5538</v>
      </c>
      <c r="F3642">
        <f t="shared" si="58"/>
        <v>502.66139999999996</v>
      </c>
    </row>
    <row r="3643" spans="1:6" x14ac:dyDescent="0.2">
      <c r="A3643">
        <v>841</v>
      </c>
      <c r="B3643" s="3" t="s">
        <v>272</v>
      </c>
      <c r="C3643" s="3" t="s">
        <v>273</v>
      </c>
      <c r="D3643" s="3">
        <v>1</v>
      </c>
      <c r="E3643" s="3">
        <v>170.1112</v>
      </c>
      <c r="F3643">
        <f t="shared" si="58"/>
        <v>170.1112</v>
      </c>
    </row>
    <row r="3644" spans="1:6" x14ac:dyDescent="0.2">
      <c r="A3644">
        <v>841</v>
      </c>
      <c r="B3644" s="3" t="s">
        <v>275</v>
      </c>
      <c r="C3644" s="3" t="s">
        <v>276</v>
      </c>
      <c r="D3644" s="3">
        <v>2</v>
      </c>
      <c r="E3644" s="3">
        <v>9.081448</v>
      </c>
      <c r="F3644">
        <f t="shared" si="58"/>
        <v>18.162896</v>
      </c>
    </row>
    <row r="3645" spans="1:6" x14ac:dyDescent="0.2">
      <c r="A3645">
        <v>841</v>
      </c>
      <c r="B3645" s="3" t="s">
        <v>334</v>
      </c>
      <c r="C3645" s="3" t="s">
        <v>329</v>
      </c>
      <c r="D3645" s="3">
        <v>3</v>
      </c>
      <c r="E3645" s="3">
        <v>149.0308</v>
      </c>
      <c r="F3645">
        <f t="shared" si="58"/>
        <v>447.0924</v>
      </c>
    </row>
    <row r="3646" spans="1:6" x14ac:dyDescent="0.2">
      <c r="A3646">
        <v>841</v>
      </c>
      <c r="B3646" s="3" t="s">
        <v>335</v>
      </c>
      <c r="C3646" s="3" t="s">
        <v>331</v>
      </c>
      <c r="D3646" s="3">
        <v>6</v>
      </c>
      <c r="E3646" s="3">
        <v>703.1</v>
      </c>
      <c r="F3646">
        <f t="shared" si="58"/>
        <v>4218.6000000000004</v>
      </c>
    </row>
    <row r="3647" spans="1:6" x14ac:dyDescent="0.2">
      <c r="A3647">
        <v>841</v>
      </c>
      <c r="B3647" s="3" t="s">
        <v>336</v>
      </c>
      <c r="C3647" s="3" t="s">
        <v>333</v>
      </c>
      <c r="D3647" s="3">
        <v>6</v>
      </c>
      <c r="E3647" s="3">
        <v>288.42309999999998</v>
      </c>
      <c r="F3647">
        <f t="shared" si="58"/>
        <v>1730.5385999999999</v>
      </c>
    </row>
    <row r="3648" spans="1:6" x14ac:dyDescent="0.2">
      <c r="A3648">
        <v>841</v>
      </c>
      <c r="B3648" s="3" t="s">
        <v>337</v>
      </c>
      <c r="C3648" s="3" t="s">
        <v>297</v>
      </c>
      <c r="D3648" s="3">
        <v>1</v>
      </c>
      <c r="E3648" s="3">
        <v>11.761100000000001</v>
      </c>
      <c r="F3648">
        <f t="shared" si="58"/>
        <v>11.761100000000001</v>
      </c>
    </row>
    <row r="3649" spans="1:6" x14ac:dyDescent="0.2">
      <c r="A3649">
        <v>841</v>
      </c>
      <c r="B3649" s="3" t="s">
        <v>338</v>
      </c>
      <c r="C3649" s="3" t="s">
        <v>297</v>
      </c>
      <c r="D3649" s="3">
        <v>3</v>
      </c>
      <c r="E3649" s="3">
        <v>11.712960000000001</v>
      </c>
      <c r="F3649">
        <f t="shared" si="58"/>
        <v>35.13888</v>
      </c>
    </row>
    <row r="3650" spans="1:6" x14ac:dyDescent="0.2">
      <c r="A3650">
        <v>841</v>
      </c>
      <c r="B3650" s="3" t="s">
        <v>339</v>
      </c>
      <c r="C3650" s="3" t="s">
        <v>297</v>
      </c>
      <c r="D3650" s="3">
        <v>1</v>
      </c>
      <c r="E3650" s="3">
        <v>20.279039999999998</v>
      </c>
      <c r="F3650">
        <f t="shared" si="58"/>
        <v>20.279039999999998</v>
      </c>
    </row>
    <row r="3651" spans="1:6" x14ac:dyDescent="0.2">
      <c r="A3651">
        <v>841</v>
      </c>
      <c r="B3651" s="3" t="s">
        <v>340</v>
      </c>
      <c r="C3651" s="3" t="s">
        <v>309</v>
      </c>
      <c r="D3651" s="3">
        <v>1</v>
      </c>
      <c r="E3651" s="3">
        <v>1536.3340000000001</v>
      </c>
      <c r="F3651">
        <f t="shared" si="58"/>
        <v>1536.3340000000001</v>
      </c>
    </row>
    <row r="3652" spans="1:6" x14ac:dyDescent="0.2">
      <c r="A3652">
        <v>841</v>
      </c>
      <c r="B3652" s="3" t="s">
        <v>341</v>
      </c>
      <c r="C3652" s="3" t="s">
        <v>342</v>
      </c>
      <c r="D3652" s="3">
        <v>3</v>
      </c>
      <c r="E3652" s="3">
        <v>307.22449999999998</v>
      </c>
      <c r="F3652">
        <f t="shared" si="58"/>
        <v>921.67349999999988</v>
      </c>
    </row>
    <row r="3653" spans="1:6" x14ac:dyDescent="0.2">
      <c r="A3653">
        <v>841</v>
      </c>
      <c r="B3653" s="3" t="s">
        <v>284</v>
      </c>
      <c r="C3653" s="3" t="s">
        <v>273</v>
      </c>
      <c r="D3653" s="3">
        <v>2</v>
      </c>
      <c r="E3653" s="3">
        <v>15.547000000000001</v>
      </c>
      <c r="F3653">
        <f t="shared" si="58"/>
        <v>31.094000000000001</v>
      </c>
    </row>
    <row r="3654" spans="1:6" x14ac:dyDescent="0.2">
      <c r="A3654">
        <v>841</v>
      </c>
      <c r="B3654" s="3" t="s">
        <v>283</v>
      </c>
      <c r="C3654" s="3" t="s">
        <v>278</v>
      </c>
      <c r="D3654" s="3">
        <v>1</v>
      </c>
      <c r="E3654" s="3">
        <v>101.76220000000001</v>
      </c>
      <c r="F3654">
        <f t="shared" si="58"/>
        <v>101.76220000000001</v>
      </c>
    </row>
    <row r="3655" spans="1:6" x14ac:dyDescent="0.2">
      <c r="A3655">
        <v>841</v>
      </c>
      <c r="B3655" s="3" t="s">
        <v>281</v>
      </c>
      <c r="C3655" s="3" t="s">
        <v>282</v>
      </c>
      <c r="D3655" s="3">
        <v>5</v>
      </c>
      <c r="E3655" s="3">
        <v>43.369190000000003</v>
      </c>
      <c r="F3655">
        <f t="shared" si="58"/>
        <v>216.84595000000002</v>
      </c>
    </row>
    <row r="3656" spans="1:6" x14ac:dyDescent="0.2">
      <c r="A3656">
        <v>841</v>
      </c>
      <c r="B3656" s="3" t="s">
        <v>279</v>
      </c>
      <c r="C3656" s="3" t="s">
        <v>280</v>
      </c>
      <c r="D3656" s="3">
        <v>1</v>
      </c>
      <c r="E3656" s="3">
        <v>36.786499999999997</v>
      </c>
      <c r="F3656">
        <f t="shared" si="58"/>
        <v>36.786499999999997</v>
      </c>
    </row>
    <row r="3657" spans="1:6" x14ac:dyDescent="0.2">
      <c r="A3657">
        <v>841</v>
      </c>
      <c r="B3657" s="3" t="s">
        <v>343</v>
      </c>
      <c r="C3657" s="3" t="s">
        <v>282</v>
      </c>
      <c r="D3657" s="3">
        <v>3</v>
      </c>
      <c r="E3657" s="3">
        <v>16.807500000000001</v>
      </c>
      <c r="F3657">
        <f t="shared" si="58"/>
        <v>50.422499999999999</v>
      </c>
    </row>
    <row r="3658" spans="1:6" x14ac:dyDescent="0.2">
      <c r="A3658">
        <v>841</v>
      </c>
      <c r="B3658" s="3" t="s">
        <v>344</v>
      </c>
      <c r="C3658" s="3" t="s">
        <v>282</v>
      </c>
      <c r="D3658" s="3">
        <v>6</v>
      </c>
      <c r="E3658" s="3">
        <v>12.76713</v>
      </c>
      <c r="F3658">
        <f t="shared" si="58"/>
        <v>76.602779999999996</v>
      </c>
    </row>
    <row r="3659" spans="1:6" x14ac:dyDescent="0.2">
      <c r="A3659">
        <v>841</v>
      </c>
      <c r="B3659" s="3" t="s">
        <v>270</v>
      </c>
      <c r="C3659" s="3" t="s">
        <v>271</v>
      </c>
      <c r="D3659" s="3">
        <v>6</v>
      </c>
      <c r="E3659" s="3">
        <v>3027.0970000000002</v>
      </c>
      <c r="F3659">
        <f t="shared" si="58"/>
        <v>18162.582000000002</v>
      </c>
    </row>
    <row r="3660" spans="1:6" x14ac:dyDescent="0.2">
      <c r="A3660">
        <v>841</v>
      </c>
      <c r="B3660" s="3" t="s">
        <v>272</v>
      </c>
      <c r="C3660" s="3" t="s">
        <v>273</v>
      </c>
      <c r="D3660" s="3">
        <v>1</v>
      </c>
      <c r="E3660" s="3">
        <v>170.1112</v>
      </c>
      <c r="F3660">
        <f t="shared" si="58"/>
        <v>170.1112</v>
      </c>
    </row>
    <row r="3661" spans="1:6" x14ac:dyDescent="0.2">
      <c r="A3661">
        <v>841</v>
      </c>
      <c r="B3661" s="3" t="s">
        <v>274</v>
      </c>
      <c r="C3661" s="3" t="s">
        <v>273</v>
      </c>
      <c r="D3661" s="3">
        <v>3</v>
      </c>
      <c r="E3661" s="3">
        <v>149.23089999999999</v>
      </c>
      <c r="F3661">
        <f t="shared" si="58"/>
        <v>447.69269999999995</v>
      </c>
    </row>
    <row r="3662" spans="1:6" x14ac:dyDescent="0.2">
      <c r="A3662">
        <v>841</v>
      </c>
      <c r="B3662" s="3" t="s">
        <v>275</v>
      </c>
      <c r="C3662" s="3" t="s">
        <v>276</v>
      </c>
      <c r="D3662" s="3">
        <v>1</v>
      </c>
      <c r="E3662" s="3">
        <v>9.081448</v>
      </c>
      <c r="F3662">
        <f t="shared" si="58"/>
        <v>9.081448</v>
      </c>
    </row>
    <row r="3663" spans="1:6" x14ac:dyDescent="0.2">
      <c r="A3663">
        <v>841</v>
      </c>
      <c r="B3663" s="3" t="s">
        <v>277</v>
      </c>
      <c r="C3663" s="3" t="s">
        <v>278</v>
      </c>
      <c r="D3663" s="3">
        <v>1</v>
      </c>
      <c r="E3663" s="3">
        <v>41.026589999999999</v>
      </c>
      <c r="F3663">
        <f t="shared" si="58"/>
        <v>41.026589999999999</v>
      </c>
    </row>
    <row r="3664" spans="1:6" x14ac:dyDescent="0.2">
      <c r="A3664">
        <v>841</v>
      </c>
      <c r="B3664" s="3" t="s">
        <v>279</v>
      </c>
      <c r="C3664" s="3" t="s">
        <v>280</v>
      </c>
      <c r="D3664" s="3">
        <v>3</v>
      </c>
      <c r="E3664" s="3">
        <v>36.786499999999997</v>
      </c>
      <c r="F3664">
        <f t="shared" si="58"/>
        <v>110.3595</v>
      </c>
    </row>
    <row r="3665" spans="1:6" x14ac:dyDescent="0.2">
      <c r="A3665">
        <v>841</v>
      </c>
      <c r="B3665" s="3" t="s">
        <v>281</v>
      </c>
      <c r="C3665" s="3" t="s">
        <v>282</v>
      </c>
      <c r="D3665" s="3">
        <v>2</v>
      </c>
      <c r="E3665" s="3">
        <v>43.369190000000003</v>
      </c>
      <c r="F3665">
        <f t="shared" si="58"/>
        <v>86.738380000000006</v>
      </c>
    </row>
    <row r="3666" spans="1:6" x14ac:dyDescent="0.2">
      <c r="A3666">
        <v>841</v>
      </c>
      <c r="B3666" s="3" t="s">
        <v>283</v>
      </c>
      <c r="C3666" s="3" t="s">
        <v>278</v>
      </c>
      <c r="D3666" s="3">
        <v>1</v>
      </c>
      <c r="E3666" s="3">
        <v>101.76220000000001</v>
      </c>
      <c r="F3666">
        <f t="shared" si="58"/>
        <v>101.76220000000001</v>
      </c>
    </row>
    <row r="3667" spans="1:6" x14ac:dyDescent="0.2">
      <c r="A3667">
        <v>841</v>
      </c>
      <c r="B3667" s="3" t="s">
        <v>284</v>
      </c>
      <c r="C3667" s="3" t="s">
        <v>273</v>
      </c>
      <c r="D3667" s="3">
        <v>5</v>
      </c>
      <c r="E3667" s="3">
        <v>15.547000000000001</v>
      </c>
      <c r="F3667">
        <f t="shared" si="58"/>
        <v>77.734999999999999</v>
      </c>
    </row>
    <row r="3668" spans="1:6" x14ac:dyDescent="0.2">
      <c r="A3668">
        <v>841</v>
      </c>
      <c r="B3668" s="3" t="s">
        <v>285</v>
      </c>
      <c r="C3668" s="3" t="s">
        <v>286</v>
      </c>
      <c r="D3668" s="3">
        <v>1</v>
      </c>
      <c r="E3668" s="3">
        <v>58.189990000000002</v>
      </c>
      <c r="F3668">
        <f t="shared" si="58"/>
        <v>58.189990000000002</v>
      </c>
    </row>
    <row r="3669" spans="1:6" x14ac:dyDescent="0.2">
      <c r="A3669">
        <v>841</v>
      </c>
      <c r="B3669" s="3" t="s">
        <v>287</v>
      </c>
      <c r="C3669" s="3" t="s">
        <v>273</v>
      </c>
      <c r="D3669" s="3">
        <v>1</v>
      </c>
      <c r="E3669" s="3">
        <v>100.669</v>
      </c>
      <c r="F3669">
        <f t="shared" si="58"/>
        <v>100.669</v>
      </c>
    </row>
    <row r="3670" spans="1:6" x14ac:dyDescent="0.2">
      <c r="A3670">
        <v>841</v>
      </c>
      <c r="B3670" s="3" t="s">
        <v>288</v>
      </c>
      <c r="C3670" s="3" t="s">
        <v>289</v>
      </c>
      <c r="D3670" s="3">
        <v>1</v>
      </c>
      <c r="E3670" s="3">
        <v>7.340122</v>
      </c>
      <c r="F3670">
        <f t="shared" si="58"/>
        <v>7.340122</v>
      </c>
    </row>
    <row r="3671" spans="1:6" x14ac:dyDescent="0.2">
      <c r="A3671">
        <v>841</v>
      </c>
      <c r="B3671" s="3" t="s">
        <v>290</v>
      </c>
      <c r="C3671" s="3" t="s">
        <v>278</v>
      </c>
      <c r="D3671" s="3">
        <v>5</v>
      </c>
      <c r="E3671" s="3">
        <v>43.751809999999999</v>
      </c>
      <c r="F3671">
        <f t="shared" si="58"/>
        <v>218.75905</v>
      </c>
    </row>
    <row r="3672" spans="1:6" x14ac:dyDescent="0.2">
      <c r="A3672">
        <v>841</v>
      </c>
      <c r="B3672" s="3" t="s">
        <v>277</v>
      </c>
      <c r="C3672" s="3" t="s">
        <v>278</v>
      </c>
      <c r="D3672" s="3">
        <v>5</v>
      </c>
      <c r="E3672" s="3">
        <v>41.026589999999999</v>
      </c>
      <c r="F3672">
        <f t="shared" si="58"/>
        <v>205.13294999999999</v>
      </c>
    </row>
    <row r="3673" spans="1:6" x14ac:dyDescent="0.2">
      <c r="A3673">
        <v>841</v>
      </c>
      <c r="B3673" s="3" t="s">
        <v>291</v>
      </c>
      <c r="C3673" s="3" t="s">
        <v>278</v>
      </c>
      <c r="D3673" s="3">
        <v>1</v>
      </c>
      <c r="E3673" s="3">
        <v>24.136399999999998</v>
      </c>
      <c r="F3673">
        <f t="shared" si="58"/>
        <v>24.136399999999998</v>
      </c>
    </row>
    <row r="3674" spans="1:6" x14ac:dyDescent="0.2">
      <c r="A3674">
        <v>841</v>
      </c>
      <c r="B3674" s="3" t="s">
        <v>292</v>
      </c>
      <c r="C3674" s="3" t="s">
        <v>293</v>
      </c>
      <c r="D3674" s="3">
        <v>1</v>
      </c>
      <c r="E3674" s="3">
        <v>96.852699999999999</v>
      </c>
      <c r="F3674">
        <f t="shared" si="58"/>
        <v>96.852699999999999</v>
      </c>
    </row>
    <row r="3675" spans="1:6" x14ac:dyDescent="0.2">
      <c r="A3675">
        <v>841</v>
      </c>
      <c r="B3675" s="3" t="s">
        <v>294</v>
      </c>
      <c r="C3675" s="3" t="s">
        <v>278</v>
      </c>
      <c r="D3675" s="3">
        <v>4</v>
      </c>
      <c r="E3675" s="3">
        <v>26.221409999999999</v>
      </c>
      <c r="F3675">
        <f t="shared" si="58"/>
        <v>104.88564</v>
      </c>
    </row>
    <row r="3676" spans="1:6" x14ac:dyDescent="0.2">
      <c r="A3676">
        <v>841</v>
      </c>
      <c r="B3676" s="3" t="s">
        <v>295</v>
      </c>
      <c r="C3676" s="3" t="s">
        <v>273</v>
      </c>
      <c r="D3676" s="3">
        <v>3</v>
      </c>
      <c r="E3676" s="3">
        <v>54.88693</v>
      </c>
      <c r="F3676">
        <f t="shared" si="58"/>
        <v>164.66078999999999</v>
      </c>
    </row>
    <row r="3677" spans="1:6" x14ac:dyDescent="0.2">
      <c r="A3677">
        <v>841</v>
      </c>
      <c r="B3677" s="3" t="s">
        <v>296</v>
      </c>
      <c r="C3677" s="3" t="s">
        <v>297</v>
      </c>
      <c r="D3677" s="3">
        <v>1</v>
      </c>
      <c r="E3677" s="3">
        <v>5.5029000000000003</v>
      </c>
      <c r="F3677">
        <f t="shared" si="58"/>
        <v>5.5029000000000003</v>
      </c>
    </row>
    <row r="3678" spans="1:6" x14ac:dyDescent="0.2">
      <c r="A3678">
        <v>841</v>
      </c>
      <c r="B3678" s="3" t="s">
        <v>298</v>
      </c>
      <c r="C3678" s="3" t="s">
        <v>297</v>
      </c>
      <c r="D3678" s="3">
        <v>3</v>
      </c>
      <c r="E3678" s="3">
        <v>5.9344999999999999</v>
      </c>
      <c r="F3678">
        <f t="shared" si="58"/>
        <v>17.8035</v>
      </c>
    </row>
    <row r="3679" spans="1:6" x14ac:dyDescent="0.2">
      <c r="A3679">
        <v>841</v>
      </c>
      <c r="B3679" s="3" t="s">
        <v>299</v>
      </c>
      <c r="C3679" s="3" t="s">
        <v>297</v>
      </c>
      <c r="D3679" s="3">
        <v>2</v>
      </c>
      <c r="E3679" s="3">
        <v>4.3574999999999999</v>
      </c>
      <c r="F3679">
        <f t="shared" si="58"/>
        <v>8.7149999999999999</v>
      </c>
    </row>
    <row r="3680" spans="1:6" x14ac:dyDescent="0.2">
      <c r="A3680">
        <v>841</v>
      </c>
      <c r="B3680" s="3" t="s">
        <v>122</v>
      </c>
      <c r="C3680" s="3" t="s">
        <v>276</v>
      </c>
      <c r="D3680" s="3">
        <v>4</v>
      </c>
      <c r="E3680" s="3">
        <v>14.915100000000001</v>
      </c>
      <c r="F3680">
        <f t="shared" si="58"/>
        <v>59.660400000000003</v>
      </c>
    </row>
    <row r="3681" spans="1:6" x14ac:dyDescent="0.2">
      <c r="A3681">
        <v>841</v>
      </c>
      <c r="B3681" s="3" t="s">
        <v>120</v>
      </c>
      <c r="C3681" s="3" t="s">
        <v>278</v>
      </c>
      <c r="D3681" s="3">
        <v>1</v>
      </c>
      <c r="E3681" s="3">
        <v>1.5604</v>
      </c>
      <c r="F3681">
        <f t="shared" si="58"/>
        <v>1.5604</v>
      </c>
    </row>
    <row r="3682" spans="1:6" x14ac:dyDescent="0.2">
      <c r="A3682">
        <v>841</v>
      </c>
      <c r="B3682" s="3" t="s">
        <v>300</v>
      </c>
      <c r="C3682" s="3" t="s">
        <v>273</v>
      </c>
      <c r="D3682" s="3">
        <v>118</v>
      </c>
      <c r="E3682" s="3">
        <v>60.59</v>
      </c>
      <c r="F3682">
        <f t="shared" si="58"/>
        <v>7149.6200000000008</v>
      </c>
    </row>
    <row r="3683" spans="1:6" x14ac:dyDescent="0.2">
      <c r="A3683">
        <v>841</v>
      </c>
      <c r="B3683" s="3" t="s">
        <v>301</v>
      </c>
      <c r="C3683" s="3" t="s">
        <v>302</v>
      </c>
      <c r="D3683" s="3">
        <v>1</v>
      </c>
      <c r="E3683" s="3">
        <v>104.8857</v>
      </c>
      <c r="F3683">
        <f t="shared" si="58"/>
        <v>104.8857</v>
      </c>
    </row>
    <row r="3684" spans="1:6" x14ac:dyDescent="0.2">
      <c r="A3684">
        <v>841</v>
      </c>
      <c r="B3684" s="3" t="s">
        <v>303</v>
      </c>
      <c r="C3684" s="3" t="s">
        <v>304</v>
      </c>
      <c r="D3684" s="3">
        <v>1</v>
      </c>
      <c r="E3684" s="3">
        <v>683.94489999999996</v>
      </c>
      <c r="F3684">
        <f t="shared" si="58"/>
        <v>683.94489999999996</v>
      </c>
    </row>
    <row r="3685" spans="1:6" x14ac:dyDescent="0.2">
      <c r="A3685">
        <v>841</v>
      </c>
      <c r="B3685" s="3" t="s">
        <v>305</v>
      </c>
      <c r="C3685" s="3" t="s">
        <v>273</v>
      </c>
      <c r="D3685" s="3">
        <v>3</v>
      </c>
      <c r="E3685" s="3">
        <v>71.189099999999996</v>
      </c>
      <c r="F3685">
        <f t="shared" si="58"/>
        <v>213.56729999999999</v>
      </c>
    </row>
    <row r="3686" spans="1:6" x14ac:dyDescent="0.2">
      <c r="A3686">
        <v>841</v>
      </c>
      <c r="B3686" s="3" t="s">
        <v>294</v>
      </c>
      <c r="C3686" s="3" t="s">
        <v>278</v>
      </c>
      <c r="D3686" s="3">
        <v>1</v>
      </c>
      <c r="E3686" s="3">
        <v>26.221409999999999</v>
      </c>
      <c r="F3686">
        <f t="shared" si="58"/>
        <v>26.221409999999999</v>
      </c>
    </row>
    <row r="3687" spans="1:6" x14ac:dyDescent="0.2">
      <c r="A3687">
        <v>841</v>
      </c>
      <c r="B3687" s="3" t="s">
        <v>306</v>
      </c>
      <c r="C3687" s="3" t="s">
        <v>273</v>
      </c>
      <c r="D3687" s="3">
        <v>2</v>
      </c>
      <c r="E3687" s="3">
        <v>99.575779999999995</v>
      </c>
      <c r="F3687">
        <f t="shared" si="58"/>
        <v>199.15155999999999</v>
      </c>
    </row>
    <row r="3688" spans="1:6" x14ac:dyDescent="0.2">
      <c r="A3688">
        <v>841</v>
      </c>
      <c r="B3688" s="3" t="s">
        <v>294</v>
      </c>
      <c r="C3688" s="3" t="s">
        <v>278</v>
      </c>
      <c r="D3688" s="3">
        <v>3</v>
      </c>
      <c r="E3688" s="3">
        <v>26.221409999999999</v>
      </c>
      <c r="F3688">
        <f t="shared" si="58"/>
        <v>78.664230000000003</v>
      </c>
    </row>
    <row r="3689" spans="1:6" x14ac:dyDescent="0.2">
      <c r="A3689">
        <v>841</v>
      </c>
      <c r="B3689" s="3" t="s">
        <v>306</v>
      </c>
      <c r="C3689" s="3" t="s">
        <v>273</v>
      </c>
      <c r="D3689" s="3">
        <v>6</v>
      </c>
      <c r="E3689" s="3">
        <v>99.575779999999995</v>
      </c>
      <c r="F3689">
        <f t="shared" ref="F3689:F3752" si="59">D3689*E3689</f>
        <v>597.45467999999994</v>
      </c>
    </row>
    <row r="3690" spans="1:6" x14ac:dyDescent="0.2">
      <c r="A3690">
        <v>841</v>
      </c>
      <c r="B3690" s="3" t="s">
        <v>308</v>
      </c>
      <c r="C3690" s="3" t="s">
        <v>309</v>
      </c>
      <c r="D3690" s="3">
        <v>6</v>
      </c>
      <c r="E3690" s="3">
        <v>167.62309999999999</v>
      </c>
      <c r="F3690">
        <f t="shared" si="59"/>
        <v>1005.7385999999999</v>
      </c>
    </row>
    <row r="3691" spans="1:6" x14ac:dyDescent="0.2">
      <c r="A3691">
        <v>841</v>
      </c>
      <c r="B3691" s="3" t="s">
        <v>310</v>
      </c>
      <c r="C3691" s="3" t="s">
        <v>273</v>
      </c>
      <c r="D3691" s="3">
        <v>1</v>
      </c>
      <c r="E3691" s="3">
        <v>0.33200000000000002</v>
      </c>
      <c r="F3691">
        <f t="shared" si="59"/>
        <v>0.33200000000000002</v>
      </c>
    </row>
    <row r="3692" spans="1:6" x14ac:dyDescent="0.2">
      <c r="A3692">
        <v>841</v>
      </c>
      <c r="B3692" s="3" t="s">
        <v>197</v>
      </c>
      <c r="C3692" s="3" t="s">
        <v>278</v>
      </c>
      <c r="D3692" s="3">
        <v>3</v>
      </c>
      <c r="E3692" s="3">
        <v>7.4700000000000003E-2</v>
      </c>
      <c r="F3692">
        <f t="shared" si="59"/>
        <v>0.22410000000000002</v>
      </c>
    </row>
    <row r="3693" spans="1:6" x14ac:dyDescent="0.2">
      <c r="A3693">
        <v>841</v>
      </c>
      <c r="B3693" s="3" t="s">
        <v>311</v>
      </c>
      <c r="C3693" s="3" t="s">
        <v>273</v>
      </c>
      <c r="D3693" s="3">
        <v>1</v>
      </c>
      <c r="E3693" s="3">
        <v>1.5935999999999999</v>
      </c>
      <c r="F3693">
        <f t="shared" si="59"/>
        <v>1.5935999999999999</v>
      </c>
    </row>
    <row r="3694" spans="1:6" x14ac:dyDescent="0.2">
      <c r="A3694">
        <v>841</v>
      </c>
      <c r="B3694" s="3" t="s">
        <v>312</v>
      </c>
      <c r="C3694" s="3" t="s">
        <v>278</v>
      </c>
      <c r="D3694" s="3">
        <v>1</v>
      </c>
      <c r="E3694" s="3">
        <v>21.040500000000002</v>
      </c>
      <c r="F3694">
        <f t="shared" si="59"/>
        <v>21.040500000000002</v>
      </c>
    </row>
    <row r="3695" spans="1:6" x14ac:dyDescent="0.2">
      <c r="A3695">
        <v>841</v>
      </c>
      <c r="B3695" s="3" t="s">
        <v>75</v>
      </c>
      <c r="C3695" s="3" t="s">
        <v>313</v>
      </c>
      <c r="D3695" s="3">
        <v>3</v>
      </c>
      <c r="E3695" s="3">
        <v>0.115385</v>
      </c>
      <c r="F3695">
        <f t="shared" si="59"/>
        <v>0.34615499999999999</v>
      </c>
    </row>
    <row r="3696" spans="1:6" x14ac:dyDescent="0.2">
      <c r="A3696">
        <v>841</v>
      </c>
      <c r="B3696" s="3" t="s">
        <v>314</v>
      </c>
      <c r="C3696" s="3" t="s">
        <v>273</v>
      </c>
      <c r="D3696" s="3">
        <v>2</v>
      </c>
      <c r="E3696" s="3">
        <v>0.45650000000000002</v>
      </c>
      <c r="F3696">
        <f t="shared" si="59"/>
        <v>0.91300000000000003</v>
      </c>
    </row>
    <row r="3697" spans="1:6" x14ac:dyDescent="0.2">
      <c r="A3697">
        <v>841</v>
      </c>
      <c r="B3697" s="3" t="s">
        <v>314</v>
      </c>
      <c r="C3697" s="3" t="s">
        <v>315</v>
      </c>
      <c r="D3697" s="3">
        <v>1</v>
      </c>
      <c r="E3697" s="3">
        <v>0.45650000000000002</v>
      </c>
      <c r="F3697">
        <f t="shared" si="59"/>
        <v>0.45650000000000002</v>
      </c>
    </row>
    <row r="3698" spans="1:6" x14ac:dyDescent="0.2">
      <c r="A3698">
        <v>841</v>
      </c>
      <c r="B3698" s="3" t="s">
        <v>316</v>
      </c>
      <c r="C3698" s="3" t="s">
        <v>317</v>
      </c>
      <c r="D3698" s="3">
        <v>5</v>
      </c>
      <c r="E3698" s="3">
        <v>92.206620000000001</v>
      </c>
      <c r="F3698">
        <f t="shared" si="59"/>
        <v>461.03309999999999</v>
      </c>
    </row>
    <row r="3699" spans="1:6" x14ac:dyDescent="0.2">
      <c r="A3699">
        <v>841</v>
      </c>
      <c r="B3699" s="3" t="s">
        <v>318</v>
      </c>
      <c r="C3699" s="3" t="s">
        <v>319</v>
      </c>
      <c r="D3699" s="3">
        <v>1</v>
      </c>
      <c r="E3699" s="3">
        <v>85.453850000000003</v>
      </c>
      <c r="F3699">
        <f t="shared" si="59"/>
        <v>85.453850000000003</v>
      </c>
    </row>
    <row r="3700" spans="1:6" x14ac:dyDescent="0.2">
      <c r="A3700">
        <v>841</v>
      </c>
      <c r="B3700" s="3" t="s">
        <v>320</v>
      </c>
      <c r="C3700" s="3" t="s">
        <v>321</v>
      </c>
      <c r="D3700" s="3">
        <v>1</v>
      </c>
      <c r="E3700" s="3">
        <v>92.206620000000001</v>
      </c>
      <c r="F3700">
        <f t="shared" si="59"/>
        <v>92.206620000000001</v>
      </c>
    </row>
    <row r="3701" spans="1:6" x14ac:dyDescent="0.2">
      <c r="A3701">
        <v>841</v>
      </c>
      <c r="B3701" s="3" t="s">
        <v>267</v>
      </c>
      <c r="C3701" s="3" t="s">
        <v>268</v>
      </c>
      <c r="D3701" s="3">
        <v>1</v>
      </c>
      <c r="E3701" s="3">
        <v>84863.13</v>
      </c>
      <c r="F3701">
        <f t="shared" si="59"/>
        <v>84863.13</v>
      </c>
    </row>
    <row r="3702" spans="1:6" x14ac:dyDescent="0.2">
      <c r="A3702">
        <v>841</v>
      </c>
      <c r="B3702" s="3" t="s">
        <v>260</v>
      </c>
      <c r="C3702" s="3" t="s">
        <v>261</v>
      </c>
      <c r="D3702" s="3">
        <v>5</v>
      </c>
      <c r="E3702" s="3">
        <v>2908.2939999999999</v>
      </c>
      <c r="F3702">
        <f t="shared" si="59"/>
        <v>14541.47</v>
      </c>
    </row>
    <row r="3703" spans="1:6" x14ac:dyDescent="0.2">
      <c r="A3703">
        <v>841</v>
      </c>
      <c r="B3703" s="3" t="s">
        <v>262</v>
      </c>
      <c r="C3703" s="3" t="s">
        <v>263</v>
      </c>
      <c r="D3703" s="3">
        <v>5</v>
      </c>
      <c r="E3703" s="3">
        <v>3207.1970000000001</v>
      </c>
      <c r="F3703">
        <f t="shared" si="59"/>
        <v>16035.985000000001</v>
      </c>
    </row>
    <row r="3704" spans="1:6" x14ac:dyDescent="0.2">
      <c r="A3704">
        <v>841</v>
      </c>
      <c r="B3704" s="3" t="s">
        <v>264</v>
      </c>
      <c r="C3704" s="3" t="s">
        <v>265</v>
      </c>
      <c r="D3704" s="3">
        <v>1</v>
      </c>
      <c r="E3704" s="3">
        <v>3466.7310000000002</v>
      </c>
      <c r="F3704">
        <f t="shared" si="59"/>
        <v>3466.7310000000002</v>
      </c>
    </row>
    <row r="3705" spans="1:6" x14ac:dyDescent="0.2">
      <c r="A3705">
        <v>841</v>
      </c>
      <c r="B3705" s="3" t="s">
        <v>259</v>
      </c>
      <c r="C3705" s="3" t="s">
        <v>258</v>
      </c>
      <c r="D3705" s="3">
        <v>1</v>
      </c>
      <c r="E3705" s="3">
        <v>3325.9760000000001</v>
      </c>
      <c r="F3705">
        <f t="shared" si="59"/>
        <v>3325.9760000000001</v>
      </c>
    </row>
    <row r="3706" spans="1:6" x14ac:dyDescent="0.2">
      <c r="A3706">
        <v>841</v>
      </c>
      <c r="B3706" s="3" t="s">
        <v>257</v>
      </c>
      <c r="C3706" s="3" t="s">
        <v>258</v>
      </c>
      <c r="D3706" s="3">
        <v>4</v>
      </c>
      <c r="E3706" s="3">
        <v>3325.9760000000001</v>
      </c>
      <c r="F3706">
        <f t="shared" si="59"/>
        <v>13303.904</v>
      </c>
    </row>
    <row r="3707" spans="1:6" x14ac:dyDescent="0.2">
      <c r="A3707">
        <v>841</v>
      </c>
      <c r="B3707" s="3" t="s">
        <v>255</v>
      </c>
      <c r="C3707" s="3" t="s">
        <v>256</v>
      </c>
      <c r="D3707" s="3">
        <v>3</v>
      </c>
      <c r="E3707" s="3">
        <v>18546.09</v>
      </c>
      <c r="F3707">
        <f t="shared" si="59"/>
        <v>55638.270000000004</v>
      </c>
    </row>
    <row r="3708" spans="1:6" x14ac:dyDescent="0.2">
      <c r="A3708">
        <v>841</v>
      </c>
      <c r="B3708" s="3" t="s">
        <v>359</v>
      </c>
      <c r="C3708" s="3" t="s">
        <v>360</v>
      </c>
      <c r="D3708" s="3">
        <v>1</v>
      </c>
      <c r="E3708" s="3">
        <v>1844.9380000000001</v>
      </c>
      <c r="F3708">
        <f t="shared" si="59"/>
        <v>1844.9380000000001</v>
      </c>
    </row>
    <row r="3709" spans="1:6" x14ac:dyDescent="0.2">
      <c r="A3709">
        <v>841</v>
      </c>
      <c r="B3709" s="3" t="s">
        <v>389</v>
      </c>
      <c r="C3709" s="3" t="s">
        <v>390</v>
      </c>
      <c r="D3709">
        <v>1</v>
      </c>
      <c r="E3709" s="3">
        <v>4906</v>
      </c>
      <c r="F3709">
        <f t="shared" si="59"/>
        <v>4906</v>
      </c>
    </row>
    <row r="3710" spans="1:6" x14ac:dyDescent="0.2">
      <c r="A3710">
        <v>842</v>
      </c>
      <c r="B3710" s="3" t="s">
        <v>62</v>
      </c>
      <c r="C3710" s="3" t="s">
        <v>63</v>
      </c>
      <c r="D3710" s="3">
        <v>2</v>
      </c>
      <c r="E3710" s="3">
        <v>0.34860000000000002</v>
      </c>
      <c r="F3710">
        <f t="shared" si="59"/>
        <v>0.69720000000000004</v>
      </c>
    </row>
    <row r="3711" spans="1:6" x14ac:dyDescent="0.2">
      <c r="A3711">
        <v>842</v>
      </c>
      <c r="B3711" s="3" t="s">
        <v>64</v>
      </c>
      <c r="C3711" s="3" t="s">
        <v>65</v>
      </c>
      <c r="D3711" s="3">
        <v>4</v>
      </c>
      <c r="E3711" s="3">
        <v>803.07690000000002</v>
      </c>
      <c r="F3711">
        <f t="shared" si="59"/>
        <v>3212.3076000000001</v>
      </c>
    </row>
    <row r="3712" spans="1:6" x14ac:dyDescent="0.2">
      <c r="A3712">
        <v>842</v>
      </c>
      <c r="B3712" s="3" t="s">
        <v>67</v>
      </c>
      <c r="C3712" s="3" t="s">
        <v>68</v>
      </c>
      <c r="D3712" s="3">
        <v>1</v>
      </c>
      <c r="E3712" s="3">
        <v>49.678570000000001</v>
      </c>
      <c r="F3712">
        <f t="shared" si="59"/>
        <v>49.678570000000001</v>
      </c>
    </row>
    <row r="3713" spans="1:6" x14ac:dyDescent="0.2">
      <c r="A3713">
        <v>842</v>
      </c>
      <c r="B3713" s="3" t="s">
        <v>70</v>
      </c>
      <c r="C3713" s="3" t="s">
        <v>71</v>
      </c>
      <c r="D3713" s="3">
        <v>118</v>
      </c>
      <c r="E3713" s="3">
        <v>407.98649999999998</v>
      </c>
      <c r="F3713">
        <f t="shared" si="59"/>
        <v>48142.406999999999</v>
      </c>
    </row>
    <row r="3714" spans="1:6" x14ac:dyDescent="0.2">
      <c r="A3714">
        <v>842</v>
      </c>
      <c r="B3714" s="3" t="s">
        <v>73</v>
      </c>
      <c r="C3714" s="3" t="s">
        <v>74</v>
      </c>
      <c r="D3714" s="3">
        <v>1</v>
      </c>
      <c r="E3714" s="3">
        <v>0.57783899999999999</v>
      </c>
      <c r="F3714">
        <f t="shared" si="59"/>
        <v>0.57783899999999999</v>
      </c>
    </row>
    <row r="3715" spans="1:6" x14ac:dyDescent="0.2">
      <c r="A3715">
        <v>842</v>
      </c>
      <c r="B3715" s="3" t="s">
        <v>75</v>
      </c>
      <c r="C3715" s="3" t="s">
        <v>76</v>
      </c>
      <c r="D3715" s="3">
        <v>1</v>
      </c>
      <c r="E3715" s="3">
        <v>0.115385</v>
      </c>
      <c r="F3715">
        <f t="shared" si="59"/>
        <v>0.115385</v>
      </c>
    </row>
    <row r="3716" spans="1:6" x14ac:dyDescent="0.2">
      <c r="A3716">
        <v>842</v>
      </c>
      <c r="B3716" s="3" t="s">
        <v>77</v>
      </c>
      <c r="C3716" s="3" t="s">
        <v>74</v>
      </c>
      <c r="D3716" s="3">
        <v>3</v>
      </c>
      <c r="E3716" s="3">
        <v>1.3944000000000001</v>
      </c>
      <c r="F3716">
        <f t="shared" si="59"/>
        <v>4.1832000000000003</v>
      </c>
    </row>
    <row r="3717" spans="1:6" x14ac:dyDescent="0.2">
      <c r="A3717">
        <v>842</v>
      </c>
      <c r="B3717" s="3" t="s">
        <v>78</v>
      </c>
      <c r="C3717" s="3" t="s">
        <v>76</v>
      </c>
      <c r="D3717" s="3">
        <v>1</v>
      </c>
      <c r="E3717" s="3">
        <v>0.71839500000000001</v>
      </c>
      <c r="F3717">
        <f t="shared" si="59"/>
        <v>0.71839500000000001</v>
      </c>
    </row>
    <row r="3718" spans="1:6" x14ac:dyDescent="0.2">
      <c r="A3718">
        <v>842</v>
      </c>
      <c r="B3718" s="3" t="s">
        <v>79</v>
      </c>
      <c r="C3718" s="3" t="s">
        <v>74</v>
      </c>
      <c r="D3718" s="3">
        <v>2</v>
      </c>
      <c r="E3718" s="3">
        <v>1.930769</v>
      </c>
      <c r="F3718">
        <f t="shared" si="59"/>
        <v>3.8615379999999999</v>
      </c>
    </row>
    <row r="3719" spans="1:6" x14ac:dyDescent="0.2">
      <c r="A3719">
        <v>842</v>
      </c>
      <c r="B3719" s="3" t="s">
        <v>80</v>
      </c>
      <c r="C3719" s="3" t="s">
        <v>74</v>
      </c>
      <c r="D3719" s="3">
        <v>3</v>
      </c>
      <c r="E3719" s="3">
        <v>0.95450000000000002</v>
      </c>
      <c r="F3719">
        <f t="shared" si="59"/>
        <v>2.8635000000000002</v>
      </c>
    </row>
    <row r="3720" spans="1:6" x14ac:dyDescent="0.2">
      <c r="A3720">
        <v>842</v>
      </c>
      <c r="B3720" s="3" t="s">
        <v>81</v>
      </c>
      <c r="C3720" s="3" t="s">
        <v>74</v>
      </c>
      <c r="D3720" s="3">
        <v>6</v>
      </c>
      <c r="E3720" s="3">
        <v>0.76359999999999995</v>
      </c>
      <c r="F3720">
        <f t="shared" si="59"/>
        <v>4.5815999999999999</v>
      </c>
    </row>
    <row r="3721" spans="1:6" x14ac:dyDescent="0.2">
      <c r="A3721">
        <v>842</v>
      </c>
      <c r="B3721" s="3" t="s">
        <v>82</v>
      </c>
      <c r="C3721" s="3" t="s">
        <v>83</v>
      </c>
      <c r="D3721" s="3">
        <v>6</v>
      </c>
      <c r="E3721" s="3">
        <v>20.351600000000001</v>
      </c>
      <c r="F3721">
        <f t="shared" si="59"/>
        <v>122.1096</v>
      </c>
    </row>
    <row r="3722" spans="1:6" x14ac:dyDescent="0.2">
      <c r="A3722">
        <v>842</v>
      </c>
      <c r="B3722" s="3" t="s">
        <v>84</v>
      </c>
      <c r="C3722" s="3" t="s">
        <v>85</v>
      </c>
      <c r="D3722" s="3">
        <v>1</v>
      </c>
      <c r="E3722" s="3">
        <v>102.3322</v>
      </c>
      <c r="F3722">
        <f t="shared" si="59"/>
        <v>102.3322</v>
      </c>
    </row>
    <row r="3723" spans="1:6" x14ac:dyDescent="0.2">
      <c r="A3723">
        <v>842</v>
      </c>
      <c r="B3723" s="3" t="s">
        <v>86</v>
      </c>
      <c r="C3723" s="3" t="s">
        <v>85</v>
      </c>
      <c r="D3723" s="3">
        <v>3</v>
      </c>
      <c r="E3723" s="3">
        <v>144.2646</v>
      </c>
      <c r="F3723">
        <f t="shared" si="59"/>
        <v>432.79380000000003</v>
      </c>
    </row>
    <row r="3724" spans="1:6" x14ac:dyDescent="0.2">
      <c r="A3724">
        <v>842</v>
      </c>
      <c r="B3724" s="3" t="s">
        <v>87</v>
      </c>
      <c r="C3724" s="3" t="s">
        <v>88</v>
      </c>
      <c r="D3724" s="3">
        <v>1</v>
      </c>
      <c r="E3724" s="3">
        <v>162.0215</v>
      </c>
      <c r="F3724">
        <f t="shared" si="59"/>
        <v>162.0215</v>
      </c>
    </row>
    <row r="3725" spans="1:6" x14ac:dyDescent="0.2">
      <c r="A3725">
        <v>842</v>
      </c>
      <c r="B3725" s="3" t="s">
        <v>89</v>
      </c>
      <c r="C3725" s="3" t="s">
        <v>85</v>
      </c>
      <c r="D3725" s="3">
        <v>1</v>
      </c>
      <c r="E3725" s="3">
        <v>211.0129</v>
      </c>
      <c r="F3725">
        <f t="shared" si="59"/>
        <v>211.0129</v>
      </c>
    </row>
    <row r="3726" spans="1:6" x14ac:dyDescent="0.2">
      <c r="A3726">
        <v>842</v>
      </c>
      <c r="B3726" s="3" t="s">
        <v>90</v>
      </c>
      <c r="C3726" s="3" t="s">
        <v>88</v>
      </c>
      <c r="D3726" s="3">
        <v>3</v>
      </c>
      <c r="E3726" s="3">
        <v>238.1635</v>
      </c>
      <c r="F3726">
        <f t="shared" si="59"/>
        <v>714.4905</v>
      </c>
    </row>
    <row r="3727" spans="1:6" x14ac:dyDescent="0.2">
      <c r="A3727">
        <v>842</v>
      </c>
      <c r="B3727" s="3" t="s">
        <v>92</v>
      </c>
      <c r="C3727" s="3" t="s">
        <v>93</v>
      </c>
      <c r="D3727" s="3">
        <v>2</v>
      </c>
      <c r="E3727" s="3">
        <v>19.297499999999999</v>
      </c>
      <c r="F3727">
        <f t="shared" si="59"/>
        <v>38.594999999999999</v>
      </c>
    </row>
    <row r="3728" spans="1:6" x14ac:dyDescent="0.2">
      <c r="A3728">
        <v>842</v>
      </c>
      <c r="B3728" s="3" t="s">
        <v>94</v>
      </c>
      <c r="C3728" s="3" t="s">
        <v>95</v>
      </c>
      <c r="D3728" s="3">
        <v>1</v>
      </c>
      <c r="E3728" s="3">
        <v>644.46270000000004</v>
      </c>
      <c r="F3728">
        <f t="shared" si="59"/>
        <v>644.46270000000004</v>
      </c>
    </row>
    <row r="3729" spans="1:6" x14ac:dyDescent="0.2">
      <c r="A3729">
        <v>842</v>
      </c>
      <c r="B3729" s="3" t="s">
        <v>236</v>
      </c>
      <c r="C3729" s="3" t="s">
        <v>237</v>
      </c>
      <c r="D3729" s="3">
        <v>5</v>
      </c>
      <c r="E3729" s="3">
        <v>132.80000000000001</v>
      </c>
      <c r="F3729">
        <f t="shared" si="59"/>
        <v>664</v>
      </c>
    </row>
    <row r="3730" spans="1:6" x14ac:dyDescent="0.2">
      <c r="A3730">
        <v>842</v>
      </c>
      <c r="B3730" s="3" t="s">
        <v>238</v>
      </c>
      <c r="C3730" s="3" t="s">
        <v>239</v>
      </c>
      <c r="D3730" s="3">
        <v>1</v>
      </c>
      <c r="E3730" s="3">
        <v>340.93849999999998</v>
      </c>
      <c r="F3730">
        <f t="shared" si="59"/>
        <v>340.93849999999998</v>
      </c>
    </row>
    <row r="3731" spans="1:6" x14ac:dyDescent="0.2">
      <c r="A3731">
        <v>842</v>
      </c>
      <c r="B3731" s="3" t="s">
        <v>240</v>
      </c>
      <c r="C3731" s="3" t="s">
        <v>241</v>
      </c>
      <c r="D3731" s="3">
        <v>1</v>
      </c>
      <c r="E3731" s="3">
        <v>309.0154</v>
      </c>
      <c r="F3731">
        <f t="shared" si="59"/>
        <v>309.0154</v>
      </c>
    </row>
    <row r="3732" spans="1:6" x14ac:dyDescent="0.2">
      <c r="A3732">
        <v>842</v>
      </c>
      <c r="B3732" s="3" t="s">
        <v>242</v>
      </c>
      <c r="C3732" s="3" t="s">
        <v>243</v>
      </c>
      <c r="D3732" s="3">
        <v>1</v>
      </c>
      <c r="E3732" s="3">
        <v>427.76920000000001</v>
      </c>
      <c r="F3732">
        <f t="shared" si="59"/>
        <v>427.76920000000001</v>
      </c>
    </row>
    <row r="3733" spans="1:6" x14ac:dyDescent="0.2">
      <c r="A3733">
        <v>842</v>
      </c>
      <c r="B3733" s="3" t="s">
        <v>244</v>
      </c>
      <c r="C3733" s="3" t="s">
        <v>184</v>
      </c>
      <c r="D3733" s="3">
        <v>5</v>
      </c>
      <c r="E3733" s="3">
        <v>18.643080000000001</v>
      </c>
      <c r="F3733">
        <f t="shared" si="59"/>
        <v>93.215400000000002</v>
      </c>
    </row>
    <row r="3734" spans="1:6" x14ac:dyDescent="0.2">
      <c r="A3734">
        <v>842</v>
      </c>
      <c r="B3734" s="3" t="s">
        <v>245</v>
      </c>
      <c r="C3734" s="3" t="s">
        <v>246</v>
      </c>
      <c r="D3734" s="3">
        <v>5</v>
      </c>
      <c r="E3734" s="3">
        <v>0.44819999999999999</v>
      </c>
      <c r="F3734">
        <f t="shared" si="59"/>
        <v>2.2410000000000001</v>
      </c>
    </row>
    <row r="3735" spans="1:6" x14ac:dyDescent="0.2">
      <c r="A3735">
        <v>842</v>
      </c>
      <c r="B3735" s="3" t="s">
        <v>75</v>
      </c>
      <c r="C3735" s="3" t="s">
        <v>247</v>
      </c>
      <c r="D3735" s="3">
        <v>1</v>
      </c>
      <c r="E3735" s="3">
        <v>0.115385</v>
      </c>
      <c r="F3735">
        <f t="shared" si="59"/>
        <v>0.115385</v>
      </c>
    </row>
    <row r="3736" spans="1:6" x14ac:dyDescent="0.2">
      <c r="A3736">
        <v>842</v>
      </c>
      <c r="B3736" s="3" t="s">
        <v>197</v>
      </c>
      <c r="C3736" s="3" t="s">
        <v>117</v>
      </c>
      <c r="D3736" s="3">
        <v>1</v>
      </c>
      <c r="E3736" s="3">
        <v>7.4700000000000003E-2</v>
      </c>
      <c r="F3736">
        <f t="shared" si="59"/>
        <v>7.4700000000000003E-2</v>
      </c>
    </row>
    <row r="3737" spans="1:6" x14ac:dyDescent="0.2">
      <c r="A3737">
        <v>842</v>
      </c>
      <c r="B3737" s="3" t="s">
        <v>248</v>
      </c>
      <c r="C3737" s="3" t="s">
        <v>249</v>
      </c>
      <c r="D3737" s="3">
        <v>4</v>
      </c>
      <c r="E3737" s="3">
        <v>31064.98</v>
      </c>
      <c r="F3737">
        <f t="shared" si="59"/>
        <v>124259.92</v>
      </c>
    </row>
    <row r="3738" spans="1:6" x14ac:dyDescent="0.2">
      <c r="A3738">
        <v>842</v>
      </c>
      <c r="B3738" s="3" t="s">
        <v>250</v>
      </c>
      <c r="C3738" s="3" t="s">
        <v>251</v>
      </c>
      <c r="D3738" s="3">
        <v>3</v>
      </c>
      <c r="E3738" s="3">
        <v>564.5412</v>
      </c>
      <c r="F3738">
        <f t="shared" si="59"/>
        <v>1693.6235999999999</v>
      </c>
    </row>
    <row r="3739" spans="1:6" x14ac:dyDescent="0.2">
      <c r="A3739">
        <v>842</v>
      </c>
      <c r="B3739" s="3" t="s">
        <v>146</v>
      </c>
      <c r="C3739" s="3" t="s">
        <v>147</v>
      </c>
      <c r="D3739" s="3">
        <v>1</v>
      </c>
      <c r="E3739" s="3">
        <v>8021.5770000000002</v>
      </c>
      <c r="F3739">
        <f t="shared" si="59"/>
        <v>8021.5770000000002</v>
      </c>
    </row>
    <row r="3740" spans="1:6" x14ac:dyDescent="0.2">
      <c r="A3740">
        <v>842</v>
      </c>
      <c r="B3740" s="3" t="s">
        <v>215</v>
      </c>
      <c r="C3740" s="3" t="s">
        <v>208</v>
      </c>
      <c r="D3740" s="3">
        <v>3</v>
      </c>
      <c r="E3740" s="3">
        <v>1.4289810000000001</v>
      </c>
      <c r="F3740">
        <f t="shared" si="59"/>
        <v>4.2869429999999999</v>
      </c>
    </row>
    <row r="3741" spans="1:6" x14ac:dyDescent="0.2">
      <c r="A3741">
        <v>842</v>
      </c>
      <c r="B3741" s="3" t="s">
        <v>200</v>
      </c>
      <c r="C3741" s="3" t="s">
        <v>199</v>
      </c>
      <c r="D3741" s="3">
        <v>2</v>
      </c>
      <c r="E3741" s="3">
        <v>0.66373400000000005</v>
      </c>
      <c r="F3741">
        <f t="shared" si="59"/>
        <v>1.3274680000000001</v>
      </c>
    </row>
    <row r="3742" spans="1:6" x14ac:dyDescent="0.2">
      <c r="A3742">
        <v>842</v>
      </c>
      <c r="B3742" s="3" t="s">
        <v>216</v>
      </c>
      <c r="C3742" s="3" t="s">
        <v>199</v>
      </c>
      <c r="D3742" s="3">
        <v>4</v>
      </c>
      <c r="E3742" s="3">
        <v>0.66400000000000003</v>
      </c>
      <c r="F3742">
        <f t="shared" si="59"/>
        <v>2.6560000000000001</v>
      </c>
    </row>
    <row r="3743" spans="1:6" x14ac:dyDescent="0.2">
      <c r="A3743">
        <v>842</v>
      </c>
      <c r="B3743" s="3" t="s">
        <v>217</v>
      </c>
      <c r="C3743" s="3" t="s">
        <v>199</v>
      </c>
      <c r="D3743" s="3">
        <v>1</v>
      </c>
      <c r="E3743" s="3">
        <v>4.2164000000000001</v>
      </c>
      <c r="F3743">
        <f t="shared" si="59"/>
        <v>4.2164000000000001</v>
      </c>
    </row>
    <row r="3744" spans="1:6" x14ac:dyDescent="0.2">
      <c r="A3744">
        <v>842</v>
      </c>
      <c r="B3744" s="3" t="s">
        <v>218</v>
      </c>
      <c r="C3744" s="3" t="s">
        <v>208</v>
      </c>
      <c r="D3744" s="3">
        <v>118</v>
      </c>
      <c r="E3744" s="3">
        <v>7.3455000000000004</v>
      </c>
      <c r="F3744">
        <f t="shared" si="59"/>
        <v>866.76900000000001</v>
      </c>
    </row>
    <row r="3745" spans="1:6" x14ac:dyDescent="0.2">
      <c r="A3745">
        <v>842</v>
      </c>
      <c r="B3745" s="3" t="s">
        <v>219</v>
      </c>
      <c r="C3745" s="3" t="s">
        <v>199</v>
      </c>
      <c r="D3745" s="3">
        <v>1</v>
      </c>
      <c r="E3745" s="3">
        <v>1.4774</v>
      </c>
      <c r="F3745">
        <f t="shared" si="59"/>
        <v>1.4774</v>
      </c>
    </row>
    <row r="3746" spans="1:6" x14ac:dyDescent="0.2">
      <c r="A3746">
        <v>842</v>
      </c>
      <c r="B3746" s="3" t="s">
        <v>220</v>
      </c>
      <c r="C3746" s="3" t="s">
        <v>208</v>
      </c>
      <c r="D3746" s="3">
        <v>1</v>
      </c>
      <c r="E3746" s="3">
        <v>3.7267000000000001</v>
      </c>
      <c r="F3746">
        <f t="shared" si="59"/>
        <v>3.7267000000000001</v>
      </c>
    </row>
    <row r="3747" spans="1:6" x14ac:dyDescent="0.2">
      <c r="A3747">
        <v>842</v>
      </c>
      <c r="B3747" s="3" t="s">
        <v>221</v>
      </c>
      <c r="C3747" s="3" t="s">
        <v>199</v>
      </c>
      <c r="D3747" s="3">
        <v>3</v>
      </c>
      <c r="E3747" s="3">
        <v>0.97940000000000005</v>
      </c>
      <c r="F3747">
        <f t="shared" si="59"/>
        <v>2.9382000000000001</v>
      </c>
    </row>
    <row r="3748" spans="1:6" x14ac:dyDescent="0.2">
      <c r="A3748">
        <v>842</v>
      </c>
      <c r="B3748" s="3" t="s">
        <v>222</v>
      </c>
      <c r="C3748" s="3" t="s">
        <v>208</v>
      </c>
      <c r="D3748" s="3">
        <v>1</v>
      </c>
      <c r="E3748" s="3">
        <v>6.0673000000000004</v>
      </c>
      <c r="F3748">
        <f t="shared" si="59"/>
        <v>6.0673000000000004</v>
      </c>
    </row>
    <row r="3749" spans="1:6" x14ac:dyDescent="0.2">
      <c r="A3749">
        <v>842</v>
      </c>
      <c r="B3749" s="3" t="s">
        <v>223</v>
      </c>
      <c r="C3749" s="3" t="s">
        <v>224</v>
      </c>
      <c r="D3749" s="3">
        <v>2</v>
      </c>
      <c r="E3749" s="3">
        <v>19.4635</v>
      </c>
      <c r="F3749">
        <f t="shared" si="59"/>
        <v>38.927</v>
      </c>
    </row>
    <row r="3750" spans="1:6" x14ac:dyDescent="0.2">
      <c r="A3750">
        <v>842</v>
      </c>
      <c r="B3750" s="3" t="s">
        <v>225</v>
      </c>
      <c r="C3750" s="3" t="s">
        <v>226</v>
      </c>
      <c r="D3750" s="3">
        <v>3</v>
      </c>
      <c r="E3750" s="3">
        <v>10.22151</v>
      </c>
      <c r="F3750">
        <f t="shared" si="59"/>
        <v>30.664529999999999</v>
      </c>
    </row>
    <row r="3751" spans="1:6" x14ac:dyDescent="0.2">
      <c r="A3751">
        <v>842</v>
      </c>
      <c r="B3751" s="3" t="s">
        <v>227</v>
      </c>
      <c r="C3751" s="3" t="s">
        <v>208</v>
      </c>
      <c r="D3751" s="3">
        <v>6</v>
      </c>
      <c r="E3751" s="3">
        <v>3.6307689999999999</v>
      </c>
      <c r="F3751">
        <f t="shared" si="59"/>
        <v>21.784613999999998</v>
      </c>
    </row>
    <row r="3752" spans="1:6" x14ac:dyDescent="0.2">
      <c r="A3752">
        <v>842</v>
      </c>
      <c r="B3752" s="3" t="s">
        <v>228</v>
      </c>
      <c r="C3752" s="3" t="s">
        <v>229</v>
      </c>
      <c r="D3752" s="3">
        <v>6</v>
      </c>
      <c r="E3752" s="3">
        <v>306.94979999999998</v>
      </c>
      <c r="F3752">
        <f t="shared" si="59"/>
        <v>1841.6987999999999</v>
      </c>
    </row>
    <row r="3753" spans="1:6" x14ac:dyDescent="0.2">
      <c r="A3753">
        <v>842</v>
      </c>
      <c r="B3753" s="3" t="s">
        <v>116</v>
      </c>
      <c r="C3753" s="3" t="s">
        <v>117</v>
      </c>
      <c r="D3753" s="3">
        <v>1</v>
      </c>
      <c r="E3753" s="3">
        <v>0.25729999999999997</v>
      </c>
      <c r="F3753">
        <f t="shared" ref="F3753:F3816" si="60">D3753*E3753</f>
        <v>0.25729999999999997</v>
      </c>
    </row>
    <row r="3754" spans="1:6" x14ac:dyDescent="0.2">
      <c r="A3754">
        <v>842</v>
      </c>
      <c r="B3754" s="3" t="s">
        <v>78</v>
      </c>
      <c r="C3754" s="3" t="s">
        <v>76</v>
      </c>
      <c r="D3754" s="3">
        <v>3</v>
      </c>
      <c r="E3754" s="3">
        <v>0.71839500000000001</v>
      </c>
      <c r="F3754">
        <f t="shared" si="60"/>
        <v>2.1551849999999999</v>
      </c>
    </row>
    <row r="3755" spans="1:6" x14ac:dyDescent="0.2">
      <c r="A3755">
        <v>842</v>
      </c>
      <c r="B3755" s="3" t="s">
        <v>231</v>
      </c>
      <c r="C3755" s="3" t="s">
        <v>208</v>
      </c>
      <c r="D3755" s="3">
        <v>1</v>
      </c>
      <c r="E3755" s="3">
        <v>2.0832999999999999</v>
      </c>
      <c r="F3755">
        <f t="shared" si="60"/>
        <v>2.0832999999999999</v>
      </c>
    </row>
    <row r="3756" spans="1:6" x14ac:dyDescent="0.2">
      <c r="A3756">
        <v>842</v>
      </c>
      <c r="B3756" s="3" t="s">
        <v>232</v>
      </c>
      <c r="C3756" s="3" t="s">
        <v>119</v>
      </c>
      <c r="D3756" s="3">
        <v>1</v>
      </c>
      <c r="E3756" s="3">
        <v>1.5935999999999999</v>
      </c>
      <c r="F3756">
        <f t="shared" si="60"/>
        <v>1.5935999999999999</v>
      </c>
    </row>
    <row r="3757" spans="1:6" x14ac:dyDescent="0.2">
      <c r="A3757">
        <v>842</v>
      </c>
      <c r="B3757" s="3" t="s">
        <v>233</v>
      </c>
      <c r="C3757" s="3" t="s">
        <v>234</v>
      </c>
      <c r="D3757" s="3">
        <v>3</v>
      </c>
      <c r="E3757" s="3">
        <v>3989.2950000000001</v>
      </c>
      <c r="F3757">
        <f t="shared" si="60"/>
        <v>11967.885</v>
      </c>
    </row>
    <row r="3758" spans="1:6" x14ac:dyDescent="0.2">
      <c r="A3758">
        <v>842</v>
      </c>
      <c r="B3758" s="3" t="s">
        <v>142</v>
      </c>
      <c r="C3758" s="3" t="s">
        <v>143</v>
      </c>
      <c r="D3758" s="3">
        <v>2</v>
      </c>
      <c r="E3758" s="3">
        <v>18141.64</v>
      </c>
      <c r="F3758">
        <f t="shared" si="60"/>
        <v>36283.279999999999</v>
      </c>
    </row>
    <row r="3759" spans="1:6" x14ac:dyDescent="0.2">
      <c r="A3759">
        <v>842</v>
      </c>
      <c r="B3759" s="3" t="s">
        <v>144</v>
      </c>
      <c r="C3759" s="3" t="s">
        <v>145</v>
      </c>
      <c r="D3759" s="3">
        <v>1</v>
      </c>
      <c r="E3759" s="3">
        <v>7346.6769999999997</v>
      </c>
      <c r="F3759">
        <f t="shared" si="60"/>
        <v>7346.6769999999997</v>
      </c>
    </row>
    <row r="3760" spans="1:6" x14ac:dyDescent="0.2">
      <c r="A3760">
        <v>842</v>
      </c>
      <c r="B3760" s="3" t="s">
        <v>197</v>
      </c>
      <c r="C3760" s="3" t="s">
        <v>117</v>
      </c>
      <c r="D3760" s="3">
        <v>5</v>
      </c>
      <c r="E3760" s="3">
        <v>7.4700000000000003E-2</v>
      </c>
      <c r="F3760">
        <f t="shared" si="60"/>
        <v>0.3735</v>
      </c>
    </row>
    <row r="3761" spans="1:6" x14ac:dyDescent="0.2">
      <c r="A3761">
        <v>842</v>
      </c>
      <c r="B3761" s="3" t="s">
        <v>198</v>
      </c>
      <c r="C3761" s="3" t="s">
        <v>199</v>
      </c>
      <c r="D3761" s="3">
        <v>1</v>
      </c>
      <c r="E3761" s="3">
        <v>0.66373400000000005</v>
      </c>
      <c r="F3761">
        <f t="shared" si="60"/>
        <v>0.66373400000000005</v>
      </c>
    </row>
    <row r="3762" spans="1:6" x14ac:dyDescent="0.2">
      <c r="A3762">
        <v>842</v>
      </c>
      <c r="B3762" s="3" t="s">
        <v>200</v>
      </c>
      <c r="C3762" s="3" t="s">
        <v>199</v>
      </c>
      <c r="D3762" s="3">
        <v>1</v>
      </c>
      <c r="E3762" s="3">
        <v>0.66373400000000005</v>
      </c>
      <c r="F3762">
        <f t="shared" si="60"/>
        <v>0.66373400000000005</v>
      </c>
    </row>
    <row r="3763" spans="1:6" x14ac:dyDescent="0.2">
      <c r="A3763">
        <v>842</v>
      </c>
      <c r="B3763" s="3" t="s">
        <v>201</v>
      </c>
      <c r="C3763" s="3" t="s">
        <v>76</v>
      </c>
      <c r="D3763" s="3">
        <v>1</v>
      </c>
      <c r="E3763" s="3">
        <v>0.22645100000000001</v>
      </c>
      <c r="F3763">
        <f t="shared" si="60"/>
        <v>0.22645100000000001</v>
      </c>
    </row>
    <row r="3764" spans="1:6" x14ac:dyDescent="0.2">
      <c r="A3764">
        <v>842</v>
      </c>
      <c r="B3764" s="3" t="s">
        <v>202</v>
      </c>
      <c r="C3764" s="3" t="s">
        <v>203</v>
      </c>
      <c r="D3764" s="3">
        <v>5</v>
      </c>
      <c r="E3764" s="3">
        <v>12.45</v>
      </c>
      <c r="F3764">
        <f t="shared" si="60"/>
        <v>62.25</v>
      </c>
    </row>
    <row r="3765" spans="1:6" x14ac:dyDescent="0.2">
      <c r="A3765">
        <v>842</v>
      </c>
      <c r="B3765" s="3" t="s">
        <v>204</v>
      </c>
      <c r="C3765" s="3" t="s">
        <v>205</v>
      </c>
      <c r="D3765" s="3">
        <v>5</v>
      </c>
      <c r="E3765" s="3">
        <v>103.7222</v>
      </c>
      <c r="F3765">
        <f t="shared" si="60"/>
        <v>518.61099999999999</v>
      </c>
    </row>
    <row r="3766" spans="1:6" x14ac:dyDescent="0.2">
      <c r="A3766">
        <v>842</v>
      </c>
      <c r="B3766" s="3" t="s">
        <v>116</v>
      </c>
      <c r="C3766" s="3" t="s">
        <v>117</v>
      </c>
      <c r="D3766" s="3">
        <v>1</v>
      </c>
      <c r="E3766" s="3">
        <v>0.25729999999999997</v>
      </c>
      <c r="F3766">
        <f t="shared" si="60"/>
        <v>0.25729999999999997</v>
      </c>
    </row>
    <row r="3767" spans="1:6" x14ac:dyDescent="0.2">
      <c r="A3767">
        <v>842</v>
      </c>
      <c r="B3767" s="3" t="s">
        <v>78</v>
      </c>
      <c r="C3767" s="3" t="s">
        <v>76</v>
      </c>
      <c r="D3767" s="3">
        <v>1</v>
      </c>
      <c r="E3767" s="3">
        <v>0.71839500000000001</v>
      </c>
      <c r="F3767">
        <f t="shared" si="60"/>
        <v>0.71839500000000001</v>
      </c>
    </row>
    <row r="3768" spans="1:6" x14ac:dyDescent="0.2">
      <c r="A3768">
        <v>842</v>
      </c>
      <c r="B3768" s="3" t="s">
        <v>207</v>
      </c>
      <c r="C3768" s="3" t="s">
        <v>208</v>
      </c>
      <c r="D3768" s="3">
        <v>4</v>
      </c>
      <c r="E3768" s="3">
        <v>4.6314000000000002</v>
      </c>
      <c r="F3768">
        <f t="shared" si="60"/>
        <v>18.525600000000001</v>
      </c>
    </row>
    <row r="3769" spans="1:6" x14ac:dyDescent="0.2">
      <c r="A3769">
        <v>842</v>
      </c>
      <c r="B3769" s="3" t="s">
        <v>209</v>
      </c>
      <c r="C3769" s="3" t="s">
        <v>210</v>
      </c>
      <c r="D3769" s="3">
        <v>3</v>
      </c>
      <c r="E3769" s="3">
        <v>39.550759999999997</v>
      </c>
      <c r="F3769">
        <f t="shared" si="60"/>
        <v>118.65227999999999</v>
      </c>
    </row>
    <row r="3770" spans="1:6" x14ac:dyDescent="0.2">
      <c r="A3770">
        <v>842</v>
      </c>
      <c r="B3770" s="3" t="s">
        <v>211</v>
      </c>
      <c r="C3770" s="3" t="s">
        <v>203</v>
      </c>
      <c r="D3770" s="3">
        <v>1</v>
      </c>
      <c r="E3770" s="3">
        <v>25.754899999999999</v>
      </c>
      <c r="F3770">
        <f t="shared" si="60"/>
        <v>25.754899999999999</v>
      </c>
    </row>
    <row r="3771" spans="1:6" x14ac:dyDescent="0.2">
      <c r="A3771">
        <v>842</v>
      </c>
      <c r="B3771" s="3" t="s">
        <v>212</v>
      </c>
      <c r="C3771" s="3" t="s">
        <v>213</v>
      </c>
      <c r="D3771" s="3">
        <v>3</v>
      </c>
      <c r="E3771" s="3">
        <v>272.92059999999998</v>
      </c>
      <c r="F3771">
        <f t="shared" si="60"/>
        <v>818.76179999999999</v>
      </c>
    </row>
    <row r="3772" spans="1:6" x14ac:dyDescent="0.2">
      <c r="A3772">
        <v>842</v>
      </c>
      <c r="B3772" s="3" t="s">
        <v>149</v>
      </c>
      <c r="C3772" s="3" t="s">
        <v>150</v>
      </c>
      <c r="D3772" s="3">
        <v>2</v>
      </c>
      <c r="E3772" s="3">
        <v>0.70550000000000002</v>
      </c>
      <c r="F3772">
        <f t="shared" si="60"/>
        <v>1.411</v>
      </c>
    </row>
    <row r="3773" spans="1:6" x14ac:dyDescent="0.2">
      <c r="A3773">
        <v>842</v>
      </c>
      <c r="B3773" s="3" t="s">
        <v>151</v>
      </c>
      <c r="C3773" s="3" t="s">
        <v>152</v>
      </c>
      <c r="D3773" s="3">
        <v>4</v>
      </c>
      <c r="E3773" s="3">
        <v>5.6191000000000004</v>
      </c>
      <c r="F3773">
        <f t="shared" si="60"/>
        <v>22.476400000000002</v>
      </c>
    </row>
    <row r="3774" spans="1:6" x14ac:dyDescent="0.2">
      <c r="A3774">
        <v>842</v>
      </c>
      <c r="B3774" s="3" t="s">
        <v>153</v>
      </c>
      <c r="C3774" s="3" t="s">
        <v>119</v>
      </c>
      <c r="D3774" s="3">
        <v>1</v>
      </c>
      <c r="E3774" s="3">
        <v>1.116636</v>
      </c>
      <c r="F3774">
        <f t="shared" si="60"/>
        <v>1.116636</v>
      </c>
    </row>
    <row r="3775" spans="1:6" x14ac:dyDescent="0.2">
      <c r="A3775">
        <v>842</v>
      </c>
      <c r="B3775" s="3" t="s">
        <v>154</v>
      </c>
      <c r="C3775" s="3" t="s">
        <v>117</v>
      </c>
      <c r="D3775" s="3">
        <v>118</v>
      </c>
      <c r="E3775" s="3">
        <v>4.3658000000000001</v>
      </c>
      <c r="F3775">
        <f t="shared" si="60"/>
        <v>515.1644</v>
      </c>
    </row>
    <row r="3776" spans="1:6" x14ac:dyDescent="0.2">
      <c r="A3776">
        <v>842</v>
      </c>
      <c r="B3776" s="3" t="s">
        <v>155</v>
      </c>
      <c r="C3776" s="3" t="s">
        <v>156</v>
      </c>
      <c r="D3776" s="3">
        <v>1</v>
      </c>
      <c r="E3776" s="3">
        <v>28.552</v>
      </c>
      <c r="F3776">
        <f t="shared" si="60"/>
        <v>28.552</v>
      </c>
    </row>
    <row r="3777" spans="1:6" x14ac:dyDescent="0.2">
      <c r="A3777">
        <v>842</v>
      </c>
      <c r="B3777" s="3" t="s">
        <v>157</v>
      </c>
      <c r="C3777" s="3" t="s">
        <v>158</v>
      </c>
      <c r="D3777" s="3">
        <v>1</v>
      </c>
      <c r="E3777" s="3">
        <v>29.456700000000001</v>
      </c>
      <c r="F3777">
        <f t="shared" si="60"/>
        <v>29.456700000000001</v>
      </c>
    </row>
    <row r="3778" spans="1:6" x14ac:dyDescent="0.2">
      <c r="A3778">
        <v>842</v>
      </c>
      <c r="B3778" s="3" t="s">
        <v>159</v>
      </c>
      <c r="C3778" s="3" t="s">
        <v>117</v>
      </c>
      <c r="D3778" s="3">
        <v>3</v>
      </c>
      <c r="E3778" s="3">
        <v>11.976900000000001</v>
      </c>
      <c r="F3778">
        <f t="shared" si="60"/>
        <v>35.930700000000002</v>
      </c>
    </row>
    <row r="3779" spans="1:6" x14ac:dyDescent="0.2">
      <c r="A3779">
        <v>842</v>
      </c>
      <c r="B3779" s="3" t="s">
        <v>116</v>
      </c>
      <c r="C3779" s="3" t="s">
        <v>117</v>
      </c>
      <c r="D3779" s="3">
        <v>1</v>
      </c>
      <c r="E3779" s="3">
        <v>0.25729999999999997</v>
      </c>
      <c r="F3779">
        <f t="shared" si="60"/>
        <v>0.25729999999999997</v>
      </c>
    </row>
    <row r="3780" spans="1:6" x14ac:dyDescent="0.2">
      <c r="A3780">
        <v>842</v>
      </c>
      <c r="B3780" s="3" t="s">
        <v>160</v>
      </c>
      <c r="C3780" s="3" t="s">
        <v>161</v>
      </c>
      <c r="D3780" s="3">
        <v>2</v>
      </c>
      <c r="E3780" s="3">
        <v>15.9194</v>
      </c>
      <c r="F3780">
        <f t="shared" si="60"/>
        <v>31.838799999999999</v>
      </c>
    </row>
    <row r="3781" spans="1:6" x14ac:dyDescent="0.2">
      <c r="A3781">
        <v>842</v>
      </c>
      <c r="B3781" s="3" t="s">
        <v>162</v>
      </c>
      <c r="C3781" s="3" t="s">
        <v>163</v>
      </c>
      <c r="D3781" s="3">
        <v>3</v>
      </c>
      <c r="E3781" s="3">
        <v>62.822699999999998</v>
      </c>
      <c r="F3781">
        <f t="shared" si="60"/>
        <v>188.46809999999999</v>
      </c>
    </row>
    <row r="3782" spans="1:6" x14ac:dyDescent="0.2">
      <c r="A3782">
        <v>842</v>
      </c>
      <c r="B3782" s="3" t="s">
        <v>164</v>
      </c>
      <c r="C3782" s="3" t="s">
        <v>165</v>
      </c>
      <c r="D3782" s="3">
        <v>6</v>
      </c>
      <c r="E3782" s="3">
        <v>29.382000000000001</v>
      </c>
      <c r="F3782">
        <f t="shared" si="60"/>
        <v>176.292</v>
      </c>
    </row>
    <row r="3783" spans="1:6" x14ac:dyDescent="0.2">
      <c r="A3783">
        <v>842</v>
      </c>
      <c r="B3783" s="3" t="s">
        <v>166</v>
      </c>
      <c r="C3783" s="3" t="s">
        <v>76</v>
      </c>
      <c r="D3783" s="3">
        <v>6</v>
      </c>
      <c r="E3783" s="3">
        <v>0.97109999999999996</v>
      </c>
      <c r="F3783">
        <f t="shared" si="60"/>
        <v>5.8266</v>
      </c>
    </row>
    <row r="3784" spans="1:6" x14ac:dyDescent="0.2">
      <c r="A3784">
        <v>842</v>
      </c>
      <c r="B3784" s="3" t="s">
        <v>167</v>
      </c>
      <c r="C3784" s="3" t="s">
        <v>168</v>
      </c>
      <c r="D3784" s="3">
        <v>1</v>
      </c>
      <c r="E3784" s="3">
        <v>68.201099999999997</v>
      </c>
      <c r="F3784">
        <f t="shared" si="60"/>
        <v>68.201099999999997</v>
      </c>
    </row>
    <row r="3785" spans="1:6" x14ac:dyDescent="0.2">
      <c r="A3785">
        <v>842</v>
      </c>
      <c r="B3785" s="3" t="s">
        <v>169</v>
      </c>
      <c r="C3785" s="3" t="s">
        <v>119</v>
      </c>
      <c r="D3785" s="3">
        <v>3</v>
      </c>
      <c r="E3785" s="3">
        <v>26.078600000000002</v>
      </c>
      <c r="F3785">
        <f t="shared" si="60"/>
        <v>78.235800000000012</v>
      </c>
    </row>
    <row r="3786" spans="1:6" x14ac:dyDescent="0.2">
      <c r="A3786">
        <v>842</v>
      </c>
      <c r="B3786" s="3" t="s">
        <v>170</v>
      </c>
      <c r="C3786" s="3" t="s">
        <v>171</v>
      </c>
      <c r="D3786" s="3">
        <v>1</v>
      </c>
      <c r="E3786" s="3">
        <v>15.438000000000001</v>
      </c>
      <c r="F3786">
        <f t="shared" si="60"/>
        <v>15.438000000000001</v>
      </c>
    </row>
    <row r="3787" spans="1:6" x14ac:dyDescent="0.2">
      <c r="A3787">
        <v>842</v>
      </c>
      <c r="B3787" s="3" t="s">
        <v>172</v>
      </c>
      <c r="C3787" s="3" t="s">
        <v>173</v>
      </c>
      <c r="D3787" s="3">
        <v>1</v>
      </c>
      <c r="E3787" s="3">
        <v>158.41380000000001</v>
      </c>
      <c r="F3787">
        <f t="shared" si="60"/>
        <v>158.41380000000001</v>
      </c>
    </row>
    <row r="3788" spans="1:6" x14ac:dyDescent="0.2">
      <c r="A3788">
        <v>842</v>
      </c>
      <c r="B3788" s="3" t="s">
        <v>174</v>
      </c>
      <c r="C3788" s="3" t="s">
        <v>119</v>
      </c>
      <c r="D3788" s="3">
        <v>3</v>
      </c>
      <c r="E3788" s="3">
        <v>1.2616000000000001</v>
      </c>
      <c r="F3788">
        <f t="shared" si="60"/>
        <v>3.7848000000000002</v>
      </c>
    </row>
    <row r="3789" spans="1:6" x14ac:dyDescent="0.2">
      <c r="A3789">
        <v>842</v>
      </c>
      <c r="B3789" s="3" t="s">
        <v>175</v>
      </c>
      <c r="C3789" s="3" t="s">
        <v>176</v>
      </c>
      <c r="D3789" s="3">
        <v>2</v>
      </c>
      <c r="E3789" s="3">
        <v>194.7595</v>
      </c>
      <c r="F3789">
        <f t="shared" si="60"/>
        <v>389.51900000000001</v>
      </c>
    </row>
    <row r="3790" spans="1:6" x14ac:dyDescent="0.2">
      <c r="A3790">
        <v>842</v>
      </c>
      <c r="B3790" s="3" t="s">
        <v>177</v>
      </c>
      <c r="C3790" s="3" t="s">
        <v>178</v>
      </c>
      <c r="D3790" s="3">
        <v>1</v>
      </c>
      <c r="E3790" s="3">
        <v>1660.624</v>
      </c>
      <c r="F3790">
        <f t="shared" si="60"/>
        <v>1660.624</v>
      </c>
    </row>
    <row r="3791" spans="1:6" x14ac:dyDescent="0.2">
      <c r="A3791">
        <v>842</v>
      </c>
      <c r="B3791" s="3" t="s">
        <v>179</v>
      </c>
      <c r="C3791" s="3" t="s">
        <v>119</v>
      </c>
      <c r="D3791" s="3">
        <v>5</v>
      </c>
      <c r="E3791" s="3">
        <v>32.444699999999997</v>
      </c>
      <c r="F3791">
        <f t="shared" si="60"/>
        <v>162.2235</v>
      </c>
    </row>
    <row r="3792" spans="1:6" x14ac:dyDescent="0.2">
      <c r="A3792">
        <v>842</v>
      </c>
      <c r="B3792" s="3" t="s">
        <v>180</v>
      </c>
      <c r="C3792" s="3" t="s">
        <v>181</v>
      </c>
      <c r="D3792" s="3">
        <v>1</v>
      </c>
      <c r="E3792" s="3">
        <v>64.117500000000007</v>
      </c>
      <c r="F3792">
        <f t="shared" si="60"/>
        <v>64.117500000000007</v>
      </c>
    </row>
    <row r="3793" spans="1:6" x14ac:dyDescent="0.2">
      <c r="A3793">
        <v>842</v>
      </c>
      <c r="B3793" s="3" t="s">
        <v>182</v>
      </c>
      <c r="C3793" s="3" t="s">
        <v>158</v>
      </c>
      <c r="D3793" s="3">
        <v>1</v>
      </c>
      <c r="E3793" s="3">
        <v>80.78819</v>
      </c>
      <c r="F3793">
        <f t="shared" si="60"/>
        <v>80.78819</v>
      </c>
    </row>
    <row r="3794" spans="1:6" x14ac:dyDescent="0.2">
      <c r="A3794">
        <v>842</v>
      </c>
      <c r="B3794" s="3" t="s">
        <v>183</v>
      </c>
      <c r="C3794" s="3" t="s">
        <v>184</v>
      </c>
      <c r="D3794" s="3">
        <v>1</v>
      </c>
      <c r="E3794" s="3">
        <v>548.61540000000002</v>
      </c>
      <c r="F3794">
        <f t="shared" si="60"/>
        <v>548.61540000000002</v>
      </c>
    </row>
    <row r="3795" spans="1:6" x14ac:dyDescent="0.2">
      <c r="A3795">
        <v>842</v>
      </c>
      <c r="B3795" s="3" t="s">
        <v>185</v>
      </c>
      <c r="C3795" s="3" t="s">
        <v>186</v>
      </c>
      <c r="D3795" s="3">
        <v>5</v>
      </c>
      <c r="E3795" s="3">
        <v>278.05</v>
      </c>
      <c r="F3795">
        <f t="shared" si="60"/>
        <v>1390.25</v>
      </c>
    </row>
    <row r="3796" spans="1:6" x14ac:dyDescent="0.2">
      <c r="A3796">
        <v>842</v>
      </c>
      <c r="B3796" s="3" t="s">
        <v>187</v>
      </c>
      <c r="C3796" s="3" t="s">
        <v>188</v>
      </c>
      <c r="D3796" s="3">
        <v>5</v>
      </c>
      <c r="E3796" s="3">
        <v>105.0365</v>
      </c>
      <c r="F3796">
        <f t="shared" si="60"/>
        <v>525.1825</v>
      </c>
    </row>
    <row r="3797" spans="1:6" x14ac:dyDescent="0.2">
      <c r="A3797">
        <v>842</v>
      </c>
      <c r="B3797" s="3" t="s">
        <v>189</v>
      </c>
      <c r="C3797" s="3" t="s">
        <v>163</v>
      </c>
      <c r="D3797" s="3">
        <v>1</v>
      </c>
      <c r="E3797" s="3">
        <v>154.25970000000001</v>
      </c>
      <c r="F3797">
        <f t="shared" si="60"/>
        <v>154.25970000000001</v>
      </c>
    </row>
    <row r="3798" spans="1:6" x14ac:dyDescent="0.2">
      <c r="A3798">
        <v>842</v>
      </c>
      <c r="B3798" s="3" t="s">
        <v>190</v>
      </c>
      <c r="C3798" s="3" t="s">
        <v>191</v>
      </c>
      <c r="D3798" s="3">
        <v>1</v>
      </c>
      <c r="E3798" s="3">
        <v>1397.886</v>
      </c>
      <c r="F3798">
        <f t="shared" si="60"/>
        <v>1397.886</v>
      </c>
    </row>
    <row r="3799" spans="1:6" x14ac:dyDescent="0.2">
      <c r="A3799">
        <v>842</v>
      </c>
      <c r="B3799" s="3" t="s">
        <v>192</v>
      </c>
      <c r="C3799" s="3" t="s">
        <v>193</v>
      </c>
      <c r="D3799" s="3">
        <v>4</v>
      </c>
      <c r="E3799" s="3">
        <v>843.03639999999996</v>
      </c>
      <c r="F3799">
        <f t="shared" si="60"/>
        <v>3372.1455999999998</v>
      </c>
    </row>
    <row r="3800" spans="1:6" x14ac:dyDescent="0.2">
      <c r="A3800">
        <v>842</v>
      </c>
      <c r="B3800" s="3" t="s">
        <v>194</v>
      </c>
      <c r="C3800" s="3" t="s">
        <v>193</v>
      </c>
      <c r="D3800" s="3">
        <v>3</v>
      </c>
      <c r="E3800" s="3">
        <v>868.20489999999995</v>
      </c>
      <c r="F3800">
        <f t="shared" si="60"/>
        <v>2604.6147000000001</v>
      </c>
    </row>
    <row r="3801" spans="1:6" x14ac:dyDescent="0.2">
      <c r="A3801">
        <v>842</v>
      </c>
      <c r="B3801" s="3" t="s">
        <v>195</v>
      </c>
      <c r="C3801" s="3" t="s">
        <v>117</v>
      </c>
      <c r="D3801" s="3">
        <v>1</v>
      </c>
      <c r="E3801" s="3">
        <v>1.0375000000000001</v>
      </c>
      <c r="F3801">
        <f t="shared" si="60"/>
        <v>1.0375000000000001</v>
      </c>
    </row>
    <row r="3802" spans="1:6" x14ac:dyDescent="0.2">
      <c r="A3802">
        <v>842</v>
      </c>
      <c r="B3802" s="3" t="s">
        <v>135</v>
      </c>
      <c r="C3802" s="3" t="s">
        <v>136</v>
      </c>
      <c r="D3802" s="3">
        <v>3</v>
      </c>
      <c r="E3802" s="3">
        <v>395.04689999999999</v>
      </c>
      <c r="F3802">
        <f t="shared" si="60"/>
        <v>1185.1406999999999</v>
      </c>
    </row>
    <row r="3803" spans="1:6" x14ac:dyDescent="0.2">
      <c r="A3803">
        <v>842</v>
      </c>
      <c r="B3803" s="3" t="s">
        <v>137</v>
      </c>
      <c r="C3803" s="3" t="s">
        <v>138</v>
      </c>
      <c r="D3803" s="3">
        <v>2</v>
      </c>
      <c r="E3803" s="3">
        <v>252.98429999999999</v>
      </c>
      <c r="F3803">
        <f t="shared" si="60"/>
        <v>505.96859999999998</v>
      </c>
    </row>
    <row r="3804" spans="1:6" x14ac:dyDescent="0.2">
      <c r="A3804">
        <v>842</v>
      </c>
      <c r="B3804" s="3" t="s">
        <v>139</v>
      </c>
      <c r="C3804" s="3" t="s">
        <v>140</v>
      </c>
      <c r="D3804" s="3">
        <v>4</v>
      </c>
      <c r="E3804" s="3">
        <v>2054.4580000000001</v>
      </c>
      <c r="F3804">
        <f t="shared" si="60"/>
        <v>8217.8320000000003</v>
      </c>
    </row>
    <row r="3805" spans="1:6" x14ac:dyDescent="0.2">
      <c r="A3805">
        <v>842</v>
      </c>
      <c r="B3805" s="3" t="s">
        <v>116</v>
      </c>
      <c r="C3805" s="3" t="s">
        <v>117</v>
      </c>
      <c r="D3805" s="3">
        <v>1</v>
      </c>
      <c r="E3805" s="3">
        <v>0.25729999999999997</v>
      </c>
      <c r="F3805">
        <f t="shared" si="60"/>
        <v>0.25729999999999997</v>
      </c>
    </row>
    <row r="3806" spans="1:6" x14ac:dyDescent="0.2">
      <c r="A3806">
        <v>842</v>
      </c>
      <c r="B3806" s="3" t="s">
        <v>118</v>
      </c>
      <c r="C3806" s="3" t="s">
        <v>119</v>
      </c>
      <c r="D3806" s="3">
        <v>118</v>
      </c>
      <c r="E3806" s="3">
        <v>0.83</v>
      </c>
      <c r="F3806">
        <f t="shared" si="60"/>
        <v>97.94</v>
      </c>
    </row>
    <row r="3807" spans="1:6" x14ac:dyDescent="0.2">
      <c r="A3807">
        <v>842</v>
      </c>
      <c r="B3807" s="3" t="s">
        <v>120</v>
      </c>
      <c r="C3807" s="3" t="s">
        <v>117</v>
      </c>
      <c r="D3807" s="3">
        <v>1</v>
      </c>
      <c r="E3807" s="3">
        <v>1.5604</v>
      </c>
      <c r="F3807">
        <f t="shared" si="60"/>
        <v>1.5604</v>
      </c>
    </row>
    <row r="3808" spans="1:6" x14ac:dyDescent="0.2">
      <c r="A3808">
        <v>842</v>
      </c>
      <c r="B3808" s="3" t="s">
        <v>121</v>
      </c>
      <c r="C3808" s="3" t="s">
        <v>117</v>
      </c>
      <c r="D3808" s="3">
        <v>1</v>
      </c>
      <c r="E3808" s="3">
        <v>270.83730000000003</v>
      </c>
      <c r="F3808">
        <f t="shared" si="60"/>
        <v>270.83730000000003</v>
      </c>
    </row>
    <row r="3809" spans="1:6" x14ac:dyDescent="0.2">
      <c r="A3809">
        <v>842</v>
      </c>
      <c r="B3809" s="3" t="s">
        <v>122</v>
      </c>
      <c r="C3809" s="3" t="s">
        <v>76</v>
      </c>
      <c r="D3809" s="3">
        <v>3</v>
      </c>
      <c r="E3809" s="3">
        <v>14.915100000000001</v>
      </c>
      <c r="F3809">
        <f t="shared" si="60"/>
        <v>44.7453</v>
      </c>
    </row>
    <row r="3810" spans="1:6" x14ac:dyDescent="0.2">
      <c r="A3810">
        <v>842</v>
      </c>
      <c r="B3810" s="3" t="s">
        <v>123</v>
      </c>
      <c r="C3810" s="3" t="s">
        <v>119</v>
      </c>
      <c r="D3810" s="3">
        <v>1</v>
      </c>
      <c r="E3810" s="3">
        <v>122.52460000000001</v>
      </c>
      <c r="F3810">
        <f t="shared" si="60"/>
        <v>122.52460000000001</v>
      </c>
    </row>
    <row r="3811" spans="1:6" x14ac:dyDescent="0.2">
      <c r="A3811">
        <v>842</v>
      </c>
      <c r="B3811" s="3" t="s">
        <v>124</v>
      </c>
      <c r="C3811" s="3" t="s">
        <v>119</v>
      </c>
      <c r="D3811" s="3">
        <v>2</v>
      </c>
      <c r="E3811" s="3">
        <v>65.877099999999999</v>
      </c>
      <c r="F3811">
        <f t="shared" si="60"/>
        <v>131.7542</v>
      </c>
    </row>
    <row r="3812" spans="1:6" x14ac:dyDescent="0.2">
      <c r="A3812">
        <v>842</v>
      </c>
      <c r="B3812" s="3" t="s">
        <v>125</v>
      </c>
      <c r="C3812" s="3" t="s">
        <v>117</v>
      </c>
      <c r="D3812" s="3">
        <v>3</v>
      </c>
      <c r="E3812" s="3">
        <v>45.957099999999997</v>
      </c>
      <c r="F3812">
        <f t="shared" si="60"/>
        <v>137.87129999999999</v>
      </c>
    </row>
    <row r="3813" spans="1:6" x14ac:dyDescent="0.2">
      <c r="A3813">
        <v>842</v>
      </c>
      <c r="B3813" s="3" t="s">
        <v>126</v>
      </c>
      <c r="C3813" s="3" t="s">
        <v>127</v>
      </c>
      <c r="D3813" s="3">
        <v>6</v>
      </c>
      <c r="E3813" s="3">
        <v>411.49740000000003</v>
      </c>
      <c r="F3813">
        <f t="shared" si="60"/>
        <v>2468.9844000000003</v>
      </c>
    </row>
    <row r="3814" spans="1:6" x14ac:dyDescent="0.2">
      <c r="A3814">
        <v>842</v>
      </c>
      <c r="B3814" s="3" t="s">
        <v>129</v>
      </c>
      <c r="C3814" s="3" t="s">
        <v>130</v>
      </c>
      <c r="D3814" s="3">
        <v>6</v>
      </c>
      <c r="E3814" s="3">
        <v>6724.2780000000002</v>
      </c>
      <c r="F3814">
        <f t="shared" si="60"/>
        <v>40345.668000000005</v>
      </c>
    </row>
    <row r="3815" spans="1:6" x14ac:dyDescent="0.2">
      <c r="A3815">
        <v>842</v>
      </c>
      <c r="B3815" s="3">
        <v>4656354</v>
      </c>
      <c r="C3815" s="3" t="s">
        <v>133</v>
      </c>
      <c r="D3815" s="3">
        <v>1</v>
      </c>
      <c r="E3815" s="3">
        <v>1168.0260000000001</v>
      </c>
      <c r="F3815">
        <f t="shared" si="60"/>
        <v>1168.0260000000001</v>
      </c>
    </row>
    <row r="3816" spans="1:6" x14ac:dyDescent="0.2">
      <c r="A3816">
        <v>842</v>
      </c>
      <c r="B3816" s="3" t="s">
        <v>110</v>
      </c>
      <c r="C3816" s="3" t="s">
        <v>111</v>
      </c>
      <c r="D3816" s="3">
        <v>3</v>
      </c>
      <c r="E3816" s="3">
        <v>119.83540000000001</v>
      </c>
      <c r="F3816">
        <f t="shared" si="60"/>
        <v>359.50620000000004</v>
      </c>
    </row>
    <row r="3817" spans="1:6" x14ac:dyDescent="0.2">
      <c r="A3817">
        <v>842</v>
      </c>
      <c r="B3817" s="3" t="s">
        <v>112</v>
      </c>
      <c r="C3817" s="3" t="s">
        <v>113</v>
      </c>
      <c r="D3817" s="3">
        <v>1</v>
      </c>
      <c r="E3817" s="3">
        <v>97.646150000000006</v>
      </c>
      <c r="F3817">
        <f t="shared" ref="F3817:F3880" si="61">D3817*E3817</f>
        <v>97.646150000000006</v>
      </c>
    </row>
    <row r="3818" spans="1:6" x14ac:dyDescent="0.2">
      <c r="A3818">
        <v>842</v>
      </c>
      <c r="B3818" s="3" t="s">
        <v>110</v>
      </c>
      <c r="C3818" s="3" t="s">
        <v>111</v>
      </c>
      <c r="D3818" s="3">
        <v>1</v>
      </c>
      <c r="E3818" s="3">
        <v>119.83540000000001</v>
      </c>
      <c r="F3818">
        <f t="shared" si="61"/>
        <v>119.83540000000001</v>
      </c>
    </row>
    <row r="3819" spans="1:6" x14ac:dyDescent="0.2">
      <c r="A3819">
        <v>842</v>
      </c>
      <c r="B3819" s="3" t="s">
        <v>112</v>
      </c>
      <c r="C3819" s="3" t="s">
        <v>113</v>
      </c>
      <c r="D3819" s="3">
        <v>3</v>
      </c>
      <c r="E3819" s="3">
        <v>97.646150000000006</v>
      </c>
      <c r="F3819">
        <f t="shared" si="61"/>
        <v>292.93844999999999</v>
      </c>
    </row>
    <row r="3820" spans="1:6" x14ac:dyDescent="0.2">
      <c r="A3820">
        <v>842</v>
      </c>
      <c r="B3820" s="3" t="s">
        <v>97</v>
      </c>
      <c r="C3820" s="3" t="s">
        <v>98</v>
      </c>
      <c r="D3820" s="3">
        <v>2</v>
      </c>
      <c r="E3820" s="3">
        <v>189.87909999999999</v>
      </c>
      <c r="F3820">
        <f t="shared" si="61"/>
        <v>379.75819999999999</v>
      </c>
    </row>
    <row r="3821" spans="1:6" x14ac:dyDescent="0.2">
      <c r="A3821">
        <v>842</v>
      </c>
      <c r="B3821" s="3" t="s">
        <v>99</v>
      </c>
      <c r="C3821" s="3" t="s">
        <v>100</v>
      </c>
      <c r="D3821" s="3">
        <v>1</v>
      </c>
      <c r="E3821" s="3">
        <v>1287.1379999999999</v>
      </c>
      <c r="F3821">
        <f t="shared" si="61"/>
        <v>1287.1379999999999</v>
      </c>
    </row>
    <row r="3822" spans="1:6" x14ac:dyDescent="0.2">
      <c r="A3822">
        <v>842</v>
      </c>
      <c r="B3822" s="3" t="s">
        <v>101</v>
      </c>
      <c r="C3822" s="3" t="s">
        <v>102</v>
      </c>
      <c r="D3822" s="3">
        <v>5</v>
      </c>
      <c r="E3822" s="3">
        <v>1363.037</v>
      </c>
      <c r="F3822">
        <f t="shared" si="61"/>
        <v>6815.1850000000004</v>
      </c>
    </row>
    <row r="3823" spans="1:6" x14ac:dyDescent="0.2">
      <c r="A3823">
        <v>842</v>
      </c>
      <c r="B3823" s="3" t="s">
        <v>103</v>
      </c>
      <c r="C3823" s="3" t="s">
        <v>104</v>
      </c>
      <c r="D3823" s="3">
        <v>1</v>
      </c>
      <c r="E3823" s="3">
        <v>423.5822</v>
      </c>
      <c r="F3823">
        <f t="shared" si="61"/>
        <v>423.5822</v>
      </c>
    </row>
    <row r="3824" spans="1:6" x14ac:dyDescent="0.2">
      <c r="A3824">
        <v>842</v>
      </c>
      <c r="B3824" s="3" t="s">
        <v>105</v>
      </c>
      <c r="C3824" s="3" t="s">
        <v>106</v>
      </c>
      <c r="D3824" s="3">
        <v>3</v>
      </c>
      <c r="E3824" s="3">
        <v>36.470199999999998</v>
      </c>
      <c r="F3824">
        <f t="shared" si="61"/>
        <v>109.41059999999999</v>
      </c>
    </row>
    <row r="3825" spans="1:6" x14ac:dyDescent="0.2">
      <c r="A3825">
        <v>842</v>
      </c>
      <c r="B3825" s="3" t="s">
        <v>107</v>
      </c>
      <c r="C3825" s="3" t="s">
        <v>108</v>
      </c>
      <c r="D3825" s="3">
        <v>6</v>
      </c>
      <c r="E3825" s="3">
        <v>61.492310000000003</v>
      </c>
      <c r="F3825">
        <f t="shared" si="61"/>
        <v>368.95386000000002</v>
      </c>
    </row>
    <row r="3826" spans="1:6" x14ac:dyDescent="0.2">
      <c r="A3826">
        <v>842</v>
      </c>
      <c r="B3826" s="3" t="s">
        <v>62</v>
      </c>
      <c r="C3826" s="3" t="s">
        <v>323</v>
      </c>
      <c r="D3826" s="3">
        <v>6</v>
      </c>
      <c r="E3826" s="3">
        <v>0.34860000000000002</v>
      </c>
      <c r="F3826">
        <f t="shared" si="61"/>
        <v>2.0916000000000001</v>
      </c>
    </row>
    <row r="3827" spans="1:6" x14ac:dyDescent="0.2">
      <c r="A3827">
        <v>842</v>
      </c>
      <c r="B3827" s="3" t="s">
        <v>324</v>
      </c>
      <c r="C3827" s="3" t="s">
        <v>273</v>
      </c>
      <c r="D3827" s="3">
        <v>1</v>
      </c>
      <c r="E3827" s="3">
        <v>0.95450000000000002</v>
      </c>
      <c r="F3827">
        <f t="shared" si="61"/>
        <v>0.95450000000000002</v>
      </c>
    </row>
    <row r="3828" spans="1:6" x14ac:dyDescent="0.2">
      <c r="A3828">
        <v>842</v>
      </c>
      <c r="B3828" s="3" t="s">
        <v>325</v>
      </c>
      <c r="C3828" s="3" t="s">
        <v>273</v>
      </c>
      <c r="D3828" s="3">
        <v>3</v>
      </c>
      <c r="E3828" s="3">
        <v>3.3692310000000001</v>
      </c>
      <c r="F3828">
        <f t="shared" si="61"/>
        <v>10.107693000000001</v>
      </c>
    </row>
    <row r="3829" spans="1:6" x14ac:dyDescent="0.2">
      <c r="A3829">
        <v>842</v>
      </c>
      <c r="B3829" s="3" t="s">
        <v>154</v>
      </c>
      <c r="C3829" s="3" t="s">
        <v>278</v>
      </c>
      <c r="D3829" s="3">
        <v>1</v>
      </c>
      <c r="E3829" s="3">
        <v>4.3658000000000001</v>
      </c>
      <c r="F3829">
        <f t="shared" si="61"/>
        <v>4.3658000000000001</v>
      </c>
    </row>
    <row r="3830" spans="1:6" x14ac:dyDescent="0.2">
      <c r="A3830">
        <v>842</v>
      </c>
      <c r="B3830" s="3" t="s">
        <v>290</v>
      </c>
      <c r="C3830" s="3" t="s">
        <v>278</v>
      </c>
      <c r="D3830" s="3">
        <v>1</v>
      </c>
      <c r="E3830" s="3">
        <v>43.751809999999999</v>
      </c>
      <c r="F3830">
        <f t="shared" si="61"/>
        <v>43.751809999999999</v>
      </c>
    </row>
    <row r="3831" spans="1:6" x14ac:dyDescent="0.2">
      <c r="A3831">
        <v>842</v>
      </c>
      <c r="B3831" s="3" t="s">
        <v>288</v>
      </c>
      <c r="C3831" s="3" t="s">
        <v>289</v>
      </c>
      <c r="D3831" s="3">
        <v>3</v>
      </c>
      <c r="E3831" s="3">
        <v>7.340122</v>
      </c>
      <c r="F3831">
        <f t="shared" si="61"/>
        <v>22.020365999999999</v>
      </c>
    </row>
    <row r="3832" spans="1:6" x14ac:dyDescent="0.2">
      <c r="A3832">
        <v>842</v>
      </c>
      <c r="B3832" s="3" t="s">
        <v>287</v>
      </c>
      <c r="C3832" s="3" t="s">
        <v>273</v>
      </c>
      <c r="D3832" s="3">
        <v>2</v>
      </c>
      <c r="E3832" s="3">
        <v>100.669</v>
      </c>
      <c r="F3832">
        <f t="shared" si="61"/>
        <v>201.33799999999999</v>
      </c>
    </row>
    <row r="3833" spans="1:6" x14ac:dyDescent="0.2">
      <c r="A3833">
        <v>842</v>
      </c>
      <c r="B3833" s="3" t="s">
        <v>285</v>
      </c>
      <c r="C3833" s="3" t="s">
        <v>286</v>
      </c>
      <c r="D3833" s="3">
        <v>1</v>
      </c>
      <c r="E3833" s="3">
        <v>58.189990000000002</v>
      </c>
      <c r="F3833">
        <f t="shared" si="61"/>
        <v>58.189990000000002</v>
      </c>
    </row>
    <row r="3834" spans="1:6" x14ac:dyDescent="0.2">
      <c r="A3834">
        <v>842</v>
      </c>
      <c r="B3834" s="3" t="s">
        <v>291</v>
      </c>
      <c r="C3834" s="3" t="s">
        <v>278</v>
      </c>
      <c r="D3834" s="3">
        <v>5</v>
      </c>
      <c r="E3834" s="3">
        <v>24.136399999999998</v>
      </c>
      <c r="F3834">
        <f t="shared" si="61"/>
        <v>120.68199999999999</v>
      </c>
    </row>
    <row r="3835" spans="1:6" x14ac:dyDescent="0.2">
      <c r="A3835">
        <v>842</v>
      </c>
      <c r="B3835" s="3" t="s">
        <v>277</v>
      </c>
      <c r="C3835" s="3" t="s">
        <v>278</v>
      </c>
      <c r="D3835" s="3">
        <v>1</v>
      </c>
      <c r="E3835" s="3">
        <v>41.026589999999999</v>
      </c>
      <c r="F3835">
        <f t="shared" si="61"/>
        <v>41.026589999999999</v>
      </c>
    </row>
    <row r="3836" spans="1:6" x14ac:dyDescent="0.2">
      <c r="A3836">
        <v>842</v>
      </c>
      <c r="B3836" s="3" t="s">
        <v>326</v>
      </c>
      <c r="C3836" s="3" t="s">
        <v>278</v>
      </c>
      <c r="D3836" s="3">
        <v>1</v>
      </c>
      <c r="E3836" s="3">
        <v>3.9745979999999999</v>
      </c>
      <c r="F3836">
        <f t="shared" si="61"/>
        <v>3.9745979999999999</v>
      </c>
    </row>
    <row r="3837" spans="1:6" x14ac:dyDescent="0.2">
      <c r="A3837">
        <v>842</v>
      </c>
      <c r="B3837" s="3" t="s">
        <v>274</v>
      </c>
      <c r="C3837" s="3" t="s">
        <v>273</v>
      </c>
      <c r="D3837" s="3">
        <v>1</v>
      </c>
      <c r="E3837" s="3">
        <v>149.23089999999999</v>
      </c>
      <c r="F3837">
        <f t="shared" si="61"/>
        <v>149.23089999999999</v>
      </c>
    </row>
    <row r="3838" spans="1:6" x14ac:dyDescent="0.2">
      <c r="A3838">
        <v>842</v>
      </c>
      <c r="B3838" s="3" t="s">
        <v>327</v>
      </c>
      <c r="C3838" s="3" t="s">
        <v>309</v>
      </c>
      <c r="D3838" s="3">
        <v>5</v>
      </c>
      <c r="E3838" s="3">
        <v>1532.5239999999999</v>
      </c>
      <c r="F3838">
        <f t="shared" si="61"/>
        <v>7662.619999999999</v>
      </c>
    </row>
    <row r="3839" spans="1:6" x14ac:dyDescent="0.2">
      <c r="A3839">
        <v>842</v>
      </c>
      <c r="B3839" s="3" t="s">
        <v>328</v>
      </c>
      <c r="C3839" s="3" t="s">
        <v>329</v>
      </c>
      <c r="D3839" s="3">
        <v>5</v>
      </c>
      <c r="E3839" s="3">
        <v>155.62309999999999</v>
      </c>
      <c r="F3839">
        <f t="shared" si="61"/>
        <v>778.1155</v>
      </c>
    </row>
    <row r="3840" spans="1:6" x14ac:dyDescent="0.2">
      <c r="A3840">
        <v>842</v>
      </c>
      <c r="B3840" s="3" t="s">
        <v>330</v>
      </c>
      <c r="C3840" s="3" t="s">
        <v>331</v>
      </c>
      <c r="D3840" s="3">
        <v>1</v>
      </c>
      <c r="E3840" s="3">
        <v>710.44619999999998</v>
      </c>
      <c r="F3840">
        <f t="shared" si="61"/>
        <v>710.44619999999998</v>
      </c>
    </row>
    <row r="3841" spans="1:6" x14ac:dyDescent="0.2">
      <c r="A3841">
        <v>842</v>
      </c>
      <c r="B3841" s="3" t="s">
        <v>332</v>
      </c>
      <c r="C3841" s="3" t="s">
        <v>333</v>
      </c>
      <c r="D3841" s="3">
        <v>1</v>
      </c>
      <c r="E3841" s="3">
        <v>167.5538</v>
      </c>
      <c r="F3841">
        <f t="shared" si="61"/>
        <v>167.5538</v>
      </c>
    </row>
    <row r="3842" spans="1:6" x14ac:dyDescent="0.2">
      <c r="A3842">
        <v>842</v>
      </c>
      <c r="B3842" s="3" t="s">
        <v>272</v>
      </c>
      <c r="C3842" s="3" t="s">
        <v>273</v>
      </c>
      <c r="D3842" s="3">
        <v>4</v>
      </c>
      <c r="E3842" s="3">
        <v>170.1112</v>
      </c>
      <c r="F3842">
        <f t="shared" si="61"/>
        <v>680.44479999999999</v>
      </c>
    </row>
    <row r="3843" spans="1:6" x14ac:dyDescent="0.2">
      <c r="A3843">
        <v>842</v>
      </c>
      <c r="B3843" s="3" t="s">
        <v>275</v>
      </c>
      <c r="C3843" s="3" t="s">
        <v>276</v>
      </c>
      <c r="D3843" s="3">
        <v>3</v>
      </c>
      <c r="E3843" s="3">
        <v>9.081448</v>
      </c>
      <c r="F3843">
        <f t="shared" si="61"/>
        <v>27.244343999999998</v>
      </c>
    </row>
    <row r="3844" spans="1:6" x14ac:dyDescent="0.2">
      <c r="A3844">
        <v>842</v>
      </c>
      <c r="B3844" s="3" t="s">
        <v>334</v>
      </c>
      <c r="C3844" s="3" t="s">
        <v>329</v>
      </c>
      <c r="D3844" s="3">
        <v>1</v>
      </c>
      <c r="E3844" s="3">
        <v>149.0308</v>
      </c>
      <c r="F3844">
        <f t="shared" si="61"/>
        <v>149.0308</v>
      </c>
    </row>
    <row r="3845" spans="1:6" x14ac:dyDescent="0.2">
      <c r="A3845">
        <v>842</v>
      </c>
      <c r="B3845" s="3" t="s">
        <v>335</v>
      </c>
      <c r="C3845" s="3" t="s">
        <v>331</v>
      </c>
      <c r="D3845" s="3">
        <v>3</v>
      </c>
      <c r="E3845" s="3">
        <v>703.1</v>
      </c>
      <c r="F3845">
        <f t="shared" si="61"/>
        <v>2109.3000000000002</v>
      </c>
    </row>
    <row r="3846" spans="1:6" x14ac:dyDescent="0.2">
      <c r="A3846">
        <v>842</v>
      </c>
      <c r="B3846" s="3" t="s">
        <v>336</v>
      </c>
      <c r="C3846" s="3" t="s">
        <v>333</v>
      </c>
      <c r="D3846" s="3">
        <v>2</v>
      </c>
      <c r="E3846" s="3">
        <v>288.42309999999998</v>
      </c>
      <c r="F3846">
        <f t="shared" si="61"/>
        <v>576.84619999999995</v>
      </c>
    </row>
    <row r="3847" spans="1:6" x14ac:dyDescent="0.2">
      <c r="A3847">
        <v>842</v>
      </c>
      <c r="B3847" s="3" t="s">
        <v>337</v>
      </c>
      <c r="C3847" s="3" t="s">
        <v>297</v>
      </c>
      <c r="D3847" s="3">
        <v>4</v>
      </c>
      <c r="E3847" s="3">
        <v>11.761100000000001</v>
      </c>
      <c r="F3847">
        <f t="shared" si="61"/>
        <v>47.044400000000003</v>
      </c>
    </row>
    <row r="3848" spans="1:6" x14ac:dyDescent="0.2">
      <c r="A3848">
        <v>842</v>
      </c>
      <c r="B3848" s="3" t="s">
        <v>338</v>
      </c>
      <c r="C3848" s="3" t="s">
        <v>297</v>
      </c>
      <c r="D3848" s="3">
        <v>1</v>
      </c>
      <c r="E3848" s="3">
        <v>11.712960000000001</v>
      </c>
      <c r="F3848">
        <f t="shared" si="61"/>
        <v>11.712960000000001</v>
      </c>
    </row>
    <row r="3849" spans="1:6" x14ac:dyDescent="0.2">
      <c r="A3849">
        <v>842</v>
      </c>
      <c r="B3849" s="3" t="s">
        <v>339</v>
      </c>
      <c r="C3849" s="3" t="s">
        <v>297</v>
      </c>
      <c r="D3849" s="3">
        <v>118</v>
      </c>
      <c r="E3849" s="3">
        <v>20.279039999999998</v>
      </c>
      <c r="F3849">
        <f t="shared" si="61"/>
        <v>2392.9267199999999</v>
      </c>
    </row>
    <row r="3850" spans="1:6" x14ac:dyDescent="0.2">
      <c r="A3850">
        <v>842</v>
      </c>
      <c r="B3850" s="3" t="s">
        <v>340</v>
      </c>
      <c r="C3850" s="3" t="s">
        <v>309</v>
      </c>
      <c r="D3850" s="3">
        <v>1</v>
      </c>
      <c r="E3850" s="3">
        <v>1536.3340000000001</v>
      </c>
      <c r="F3850">
        <f t="shared" si="61"/>
        <v>1536.3340000000001</v>
      </c>
    </row>
    <row r="3851" spans="1:6" x14ac:dyDescent="0.2">
      <c r="A3851">
        <v>842</v>
      </c>
      <c r="B3851" s="3" t="s">
        <v>341</v>
      </c>
      <c r="C3851" s="3" t="s">
        <v>342</v>
      </c>
      <c r="D3851" s="3">
        <v>1</v>
      </c>
      <c r="E3851" s="3">
        <v>307.22449999999998</v>
      </c>
      <c r="F3851">
        <f t="shared" si="61"/>
        <v>307.22449999999998</v>
      </c>
    </row>
    <row r="3852" spans="1:6" x14ac:dyDescent="0.2">
      <c r="A3852">
        <v>842</v>
      </c>
      <c r="B3852" s="3" t="s">
        <v>284</v>
      </c>
      <c r="C3852" s="3" t="s">
        <v>273</v>
      </c>
      <c r="D3852" s="3">
        <v>3</v>
      </c>
      <c r="E3852" s="3">
        <v>15.547000000000001</v>
      </c>
      <c r="F3852">
        <f t="shared" si="61"/>
        <v>46.641000000000005</v>
      </c>
    </row>
    <row r="3853" spans="1:6" x14ac:dyDescent="0.2">
      <c r="A3853">
        <v>842</v>
      </c>
      <c r="B3853" s="3" t="s">
        <v>283</v>
      </c>
      <c r="C3853" s="3" t="s">
        <v>278</v>
      </c>
      <c r="D3853" s="3">
        <v>1</v>
      </c>
      <c r="E3853" s="3">
        <v>101.76220000000001</v>
      </c>
      <c r="F3853">
        <f t="shared" si="61"/>
        <v>101.76220000000001</v>
      </c>
    </row>
    <row r="3854" spans="1:6" x14ac:dyDescent="0.2">
      <c r="A3854">
        <v>842</v>
      </c>
      <c r="B3854" s="3" t="s">
        <v>281</v>
      </c>
      <c r="C3854" s="3" t="s">
        <v>282</v>
      </c>
      <c r="D3854" s="3">
        <v>2</v>
      </c>
      <c r="E3854" s="3">
        <v>43.369190000000003</v>
      </c>
      <c r="F3854">
        <f t="shared" si="61"/>
        <v>86.738380000000006</v>
      </c>
    </row>
    <row r="3855" spans="1:6" x14ac:dyDescent="0.2">
      <c r="A3855">
        <v>842</v>
      </c>
      <c r="B3855" s="3" t="s">
        <v>279</v>
      </c>
      <c r="C3855" s="3" t="s">
        <v>280</v>
      </c>
      <c r="D3855" s="3">
        <v>3</v>
      </c>
      <c r="E3855" s="3">
        <v>36.786499999999997</v>
      </c>
      <c r="F3855">
        <f t="shared" si="61"/>
        <v>110.3595</v>
      </c>
    </row>
    <row r="3856" spans="1:6" x14ac:dyDescent="0.2">
      <c r="A3856">
        <v>842</v>
      </c>
      <c r="B3856" s="3" t="s">
        <v>343</v>
      </c>
      <c r="C3856" s="3" t="s">
        <v>282</v>
      </c>
      <c r="D3856" s="3">
        <v>6</v>
      </c>
      <c r="E3856" s="3">
        <v>16.807500000000001</v>
      </c>
      <c r="F3856">
        <f t="shared" si="61"/>
        <v>100.845</v>
      </c>
    </row>
    <row r="3857" spans="1:6" x14ac:dyDescent="0.2">
      <c r="A3857">
        <v>842</v>
      </c>
      <c r="B3857" s="3" t="s">
        <v>344</v>
      </c>
      <c r="C3857" s="3" t="s">
        <v>282</v>
      </c>
      <c r="D3857" s="3">
        <v>6</v>
      </c>
      <c r="E3857" s="3">
        <v>12.76713</v>
      </c>
      <c r="F3857">
        <f t="shared" si="61"/>
        <v>76.602779999999996</v>
      </c>
    </row>
    <row r="3858" spans="1:6" x14ac:dyDescent="0.2">
      <c r="A3858">
        <v>842</v>
      </c>
      <c r="B3858" s="3" t="s">
        <v>270</v>
      </c>
      <c r="C3858" s="3" t="s">
        <v>271</v>
      </c>
      <c r="D3858" s="3">
        <v>1</v>
      </c>
      <c r="E3858" s="3">
        <v>3027.0970000000002</v>
      </c>
      <c r="F3858">
        <f t="shared" si="61"/>
        <v>3027.0970000000002</v>
      </c>
    </row>
    <row r="3859" spans="1:6" x14ac:dyDescent="0.2">
      <c r="A3859">
        <v>842</v>
      </c>
      <c r="B3859" s="3" t="s">
        <v>272</v>
      </c>
      <c r="C3859" s="3" t="s">
        <v>273</v>
      </c>
      <c r="D3859" s="3">
        <v>3</v>
      </c>
      <c r="E3859" s="3">
        <v>170.1112</v>
      </c>
      <c r="F3859">
        <f t="shared" si="61"/>
        <v>510.33359999999999</v>
      </c>
    </row>
    <row r="3860" spans="1:6" x14ac:dyDescent="0.2">
      <c r="A3860">
        <v>842</v>
      </c>
      <c r="B3860" s="3" t="s">
        <v>274</v>
      </c>
      <c r="C3860" s="3" t="s">
        <v>273</v>
      </c>
      <c r="D3860" s="3">
        <v>1</v>
      </c>
      <c r="E3860" s="3">
        <v>149.23089999999999</v>
      </c>
      <c r="F3860">
        <f t="shared" si="61"/>
        <v>149.23089999999999</v>
      </c>
    </row>
    <row r="3861" spans="1:6" x14ac:dyDescent="0.2">
      <c r="A3861">
        <v>842</v>
      </c>
      <c r="B3861" s="3" t="s">
        <v>275</v>
      </c>
      <c r="C3861" s="3" t="s">
        <v>276</v>
      </c>
      <c r="D3861" s="3">
        <v>1</v>
      </c>
      <c r="E3861" s="3">
        <v>9.081448</v>
      </c>
      <c r="F3861">
        <f t="shared" si="61"/>
        <v>9.081448</v>
      </c>
    </row>
    <row r="3862" spans="1:6" x14ac:dyDescent="0.2">
      <c r="A3862">
        <v>842</v>
      </c>
      <c r="B3862" s="3" t="s">
        <v>277</v>
      </c>
      <c r="C3862" s="3" t="s">
        <v>278</v>
      </c>
      <c r="D3862" s="3">
        <v>3</v>
      </c>
      <c r="E3862" s="3">
        <v>41.026589999999999</v>
      </c>
      <c r="F3862">
        <f t="shared" si="61"/>
        <v>123.07977</v>
      </c>
    </row>
    <row r="3863" spans="1:6" x14ac:dyDescent="0.2">
      <c r="A3863">
        <v>842</v>
      </c>
      <c r="B3863" s="3" t="s">
        <v>279</v>
      </c>
      <c r="C3863" s="3" t="s">
        <v>280</v>
      </c>
      <c r="D3863" s="3">
        <v>2</v>
      </c>
      <c r="E3863" s="3">
        <v>36.786499999999997</v>
      </c>
      <c r="F3863">
        <f t="shared" si="61"/>
        <v>73.572999999999993</v>
      </c>
    </row>
    <row r="3864" spans="1:6" x14ac:dyDescent="0.2">
      <c r="A3864">
        <v>842</v>
      </c>
      <c r="B3864" s="3" t="s">
        <v>281</v>
      </c>
      <c r="C3864" s="3" t="s">
        <v>282</v>
      </c>
      <c r="D3864" s="3">
        <v>1</v>
      </c>
      <c r="E3864" s="3">
        <v>43.369190000000003</v>
      </c>
      <c r="F3864">
        <f t="shared" si="61"/>
        <v>43.369190000000003</v>
      </c>
    </row>
    <row r="3865" spans="1:6" x14ac:dyDescent="0.2">
      <c r="A3865">
        <v>842</v>
      </c>
      <c r="B3865" s="3" t="s">
        <v>283</v>
      </c>
      <c r="C3865" s="3" t="s">
        <v>278</v>
      </c>
      <c r="D3865" s="3">
        <v>5</v>
      </c>
      <c r="E3865" s="3">
        <v>101.76220000000001</v>
      </c>
      <c r="F3865">
        <f t="shared" si="61"/>
        <v>508.81100000000004</v>
      </c>
    </row>
    <row r="3866" spans="1:6" x14ac:dyDescent="0.2">
      <c r="A3866">
        <v>842</v>
      </c>
      <c r="B3866" s="3" t="s">
        <v>284</v>
      </c>
      <c r="C3866" s="3" t="s">
        <v>273</v>
      </c>
      <c r="D3866" s="3">
        <v>1</v>
      </c>
      <c r="E3866" s="3">
        <v>15.547000000000001</v>
      </c>
      <c r="F3866">
        <f t="shared" si="61"/>
        <v>15.547000000000001</v>
      </c>
    </row>
    <row r="3867" spans="1:6" x14ac:dyDescent="0.2">
      <c r="A3867">
        <v>842</v>
      </c>
      <c r="B3867" s="3" t="s">
        <v>285</v>
      </c>
      <c r="C3867" s="3" t="s">
        <v>286</v>
      </c>
      <c r="D3867" s="3">
        <v>1</v>
      </c>
      <c r="E3867" s="3">
        <v>58.189990000000002</v>
      </c>
      <c r="F3867">
        <f t="shared" si="61"/>
        <v>58.189990000000002</v>
      </c>
    </row>
    <row r="3868" spans="1:6" x14ac:dyDescent="0.2">
      <c r="A3868">
        <v>842</v>
      </c>
      <c r="B3868" s="3" t="s">
        <v>287</v>
      </c>
      <c r="C3868" s="3" t="s">
        <v>273</v>
      </c>
      <c r="D3868" s="3">
        <v>1</v>
      </c>
      <c r="E3868" s="3">
        <v>100.669</v>
      </c>
      <c r="F3868">
        <f t="shared" si="61"/>
        <v>100.669</v>
      </c>
    </row>
    <row r="3869" spans="1:6" x14ac:dyDescent="0.2">
      <c r="A3869">
        <v>842</v>
      </c>
      <c r="B3869" s="3" t="s">
        <v>288</v>
      </c>
      <c r="C3869" s="3" t="s">
        <v>289</v>
      </c>
      <c r="D3869" s="3">
        <v>5</v>
      </c>
      <c r="E3869" s="3">
        <v>7.340122</v>
      </c>
      <c r="F3869">
        <f t="shared" si="61"/>
        <v>36.700609999999998</v>
      </c>
    </row>
    <row r="3870" spans="1:6" x14ac:dyDescent="0.2">
      <c r="A3870">
        <v>842</v>
      </c>
      <c r="B3870" s="3" t="s">
        <v>290</v>
      </c>
      <c r="C3870" s="3" t="s">
        <v>278</v>
      </c>
      <c r="D3870" s="3">
        <v>5</v>
      </c>
      <c r="E3870" s="3">
        <v>43.751809999999999</v>
      </c>
      <c r="F3870">
        <f t="shared" si="61"/>
        <v>218.75905</v>
      </c>
    </row>
    <row r="3871" spans="1:6" x14ac:dyDescent="0.2">
      <c r="A3871">
        <v>842</v>
      </c>
      <c r="B3871" s="3" t="s">
        <v>277</v>
      </c>
      <c r="C3871" s="3" t="s">
        <v>278</v>
      </c>
      <c r="D3871" s="3">
        <v>1</v>
      </c>
      <c r="E3871" s="3">
        <v>41.026589999999999</v>
      </c>
      <c r="F3871">
        <f t="shared" si="61"/>
        <v>41.026589999999999</v>
      </c>
    </row>
    <row r="3872" spans="1:6" x14ac:dyDescent="0.2">
      <c r="A3872">
        <v>842</v>
      </c>
      <c r="B3872" s="3" t="s">
        <v>291</v>
      </c>
      <c r="C3872" s="3" t="s">
        <v>278</v>
      </c>
      <c r="D3872" s="3">
        <v>1</v>
      </c>
      <c r="E3872" s="3">
        <v>24.136399999999998</v>
      </c>
      <c r="F3872">
        <f t="shared" si="61"/>
        <v>24.136399999999998</v>
      </c>
    </row>
    <row r="3873" spans="1:6" x14ac:dyDescent="0.2">
      <c r="A3873">
        <v>842</v>
      </c>
      <c r="B3873" s="3" t="s">
        <v>292</v>
      </c>
      <c r="C3873" s="3" t="s">
        <v>293</v>
      </c>
      <c r="D3873" s="3">
        <v>4</v>
      </c>
      <c r="E3873" s="3">
        <v>96.852699999999999</v>
      </c>
      <c r="F3873">
        <f t="shared" si="61"/>
        <v>387.41079999999999</v>
      </c>
    </row>
    <row r="3874" spans="1:6" x14ac:dyDescent="0.2">
      <c r="A3874">
        <v>842</v>
      </c>
      <c r="B3874" s="3" t="s">
        <v>294</v>
      </c>
      <c r="C3874" s="3" t="s">
        <v>278</v>
      </c>
      <c r="D3874" s="3">
        <v>3</v>
      </c>
      <c r="E3874" s="3">
        <v>26.221409999999999</v>
      </c>
      <c r="F3874">
        <f t="shared" si="61"/>
        <v>78.664230000000003</v>
      </c>
    </row>
    <row r="3875" spans="1:6" x14ac:dyDescent="0.2">
      <c r="A3875">
        <v>842</v>
      </c>
      <c r="B3875" s="3" t="s">
        <v>295</v>
      </c>
      <c r="C3875" s="3" t="s">
        <v>273</v>
      </c>
      <c r="D3875" s="3">
        <v>1</v>
      </c>
      <c r="E3875" s="3">
        <v>54.88693</v>
      </c>
      <c r="F3875">
        <f t="shared" si="61"/>
        <v>54.88693</v>
      </c>
    </row>
    <row r="3876" spans="1:6" x14ac:dyDescent="0.2">
      <c r="A3876">
        <v>842</v>
      </c>
      <c r="B3876" s="3" t="s">
        <v>296</v>
      </c>
      <c r="C3876" s="3" t="s">
        <v>297</v>
      </c>
      <c r="D3876" s="3">
        <v>3</v>
      </c>
      <c r="E3876" s="3">
        <v>5.5029000000000003</v>
      </c>
      <c r="F3876">
        <f t="shared" si="61"/>
        <v>16.508700000000001</v>
      </c>
    </row>
    <row r="3877" spans="1:6" x14ac:dyDescent="0.2">
      <c r="A3877">
        <v>842</v>
      </c>
      <c r="B3877" s="3" t="s">
        <v>298</v>
      </c>
      <c r="C3877" s="3" t="s">
        <v>297</v>
      </c>
      <c r="D3877" s="3">
        <v>2</v>
      </c>
      <c r="E3877" s="3">
        <v>5.9344999999999999</v>
      </c>
      <c r="F3877">
        <f t="shared" si="61"/>
        <v>11.869</v>
      </c>
    </row>
    <row r="3878" spans="1:6" x14ac:dyDescent="0.2">
      <c r="A3878">
        <v>842</v>
      </c>
      <c r="B3878" s="3" t="s">
        <v>299</v>
      </c>
      <c r="C3878" s="3" t="s">
        <v>297</v>
      </c>
      <c r="D3878" s="3">
        <v>4</v>
      </c>
      <c r="E3878" s="3">
        <v>4.3574999999999999</v>
      </c>
      <c r="F3878">
        <f t="shared" si="61"/>
        <v>17.43</v>
      </c>
    </row>
    <row r="3879" spans="1:6" x14ac:dyDescent="0.2">
      <c r="A3879">
        <v>842</v>
      </c>
      <c r="B3879" s="3" t="s">
        <v>122</v>
      </c>
      <c r="C3879" s="3" t="s">
        <v>276</v>
      </c>
      <c r="D3879" s="3">
        <v>1</v>
      </c>
      <c r="E3879" s="3">
        <v>14.915100000000001</v>
      </c>
      <c r="F3879">
        <f t="shared" si="61"/>
        <v>14.915100000000001</v>
      </c>
    </row>
    <row r="3880" spans="1:6" x14ac:dyDescent="0.2">
      <c r="A3880">
        <v>842</v>
      </c>
      <c r="B3880" s="3" t="s">
        <v>120</v>
      </c>
      <c r="C3880" s="3" t="s">
        <v>278</v>
      </c>
      <c r="D3880" s="3">
        <v>118</v>
      </c>
      <c r="E3880" s="3">
        <v>1.5604</v>
      </c>
      <c r="F3880">
        <f t="shared" si="61"/>
        <v>184.12719999999999</v>
      </c>
    </row>
    <row r="3881" spans="1:6" x14ac:dyDescent="0.2">
      <c r="A3881">
        <v>842</v>
      </c>
      <c r="B3881" s="3" t="s">
        <v>300</v>
      </c>
      <c r="C3881" s="3" t="s">
        <v>273</v>
      </c>
      <c r="D3881" s="3">
        <v>1</v>
      </c>
      <c r="E3881" s="3">
        <v>60.59</v>
      </c>
      <c r="F3881">
        <f t="shared" ref="F3881:F3944" si="62">D3881*E3881</f>
        <v>60.59</v>
      </c>
    </row>
    <row r="3882" spans="1:6" x14ac:dyDescent="0.2">
      <c r="A3882">
        <v>842</v>
      </c>
      <c r="B3882" s="3" t="s">
        <v>301</v>
      </c>
      <c r="C3882" s="3" t="s">
        <v>302</v>
      </c>
      <c r="D3882" s="3">
        <v>1</v>
      </c>
      <c r="E3882" s="3">
        <v>104.8857</v>
      </c>
      <c r="F3882">
        <f t="shared" si="62"/>
        <v>104.8857</v>
      </c>
    </row>
    <row r="3883" spans="1:6" x14ac:dyDescent="0.2">
      <c r="A3883">
        <v>842</v>
      </c>
      <c r="B3883" s="3" t="s">
        <v>303</v>
      </c>
      <c r="C3883" s="3" t="s">
        <v>304</v>
      </c>
      <c r="D3883" s="3">
        <v>3</v>
      </c>
      <c r="E3883" s="3">
        <v>683.94489999999996</v>
      </c>
      <c r="F3883">
        <f t="shared" si="62"/>
        <v>2051.8346999999999</v>
      </c>
    </row>
    <row r="3884" spans="1:6" x14ac:dyDescent="0.2">
      <c r="A3884">
        <v>842</v>
      </c>
      <c r="B3884" s="3" t="s">
        <v>305</v>
      </c>
      <c r="C3884" s="3" t="s">
        <v>273</v>
      </c>
      <c r="D3884" s="3">
        <v>1</v>
      </c>
      <c r="E3884" s="3">
        <v>71.189099999999996</v>
      </c>
      <c r="F3884">
        <f t="shared" si="62"/>
        <v>71.189099999999996</v>
      </c>
    </row>
    <row r="3885" spans="1:6" x14ac:dyDescent="0.2">
      <c r="A3885">
        <v>842</v>
      </c>
      <c r="B3885" s="3" t="s">
        <v>294</v>
      </c>
      <c r="C3885" s="3" t="s">
        <v>278</v>
      </c>
      <c r="D3885" s="3">
        <v>2</v>
      </c>
      <c r="E3885" s="3">
        <v>26.221409999999999</v>
      </c>
      <c r="F3885">
        <f t="shared" si="62"/>
        <v>52.442819999999998</v>
      </c>
    </row>
    <row r="3886" spans="1:6" x14ac:dyDescent="0.2">
      <c r="A3886">
        <v>842</v>
      </c>
      <c r="B3886" s="3" t="s">
        <v>306</v>
      </c>
      <c r="C3886" s="3" t="s">
        <v>273</v>
      </c>
      <c r="D3886" s="3">
        <v>3</v>
      </c>
      <c r="E3886" s="3">
        <v>99.575779999999995</v>
      </c>
      <c r="F3886">
        <f t="shared" si="62"/>
        <v>298.72733999999997</v>
      </c>
    </row>
    <row r="3887" spans="1:6" x14ac:dyDescent="0.2">
      <c r="A3887">
        <v>842</v>
      </c>
      <c r="B3887" s="3" t="s">
        <v>294</v>
      </c>
      <c r="C3887" s="3" t="s">
        <v>278</v>
      </c>
      <c r="D3887" s="3">
        <v>6</v>
      </c>
      <c r="E3887" s="3">
        <v>26.221409999999999</v>
      </c>
      <c r="F3887">
        <f t="shared" si="62"/>
        <v>157.32846000000001</v>
      </c>
    </row>
    <row r="3888" spans="1:6" x14ac:dyDescent="0.2">
      <c r="A3888">
        <v>842</v>
      </c>
      <c r="B3888" s="3" t="s">
        <v>306</v>
      </c>
      <c r="C3888" s="3" t="s">
        <v>273</v>
      </c>
      <c r="D3888" s="3">
        <v>6</v>
      </c>
      <c r="E3888" s="3">
        <v>99.575779999999995</v>
      </c>
      <c r="F3888">
        <f t="shared" si="62"/>
        <v>597.45467999999994</v>
      </c>
    </row>
    <row r="3889" spans="1:6" x14ac:dyDescent="0.2">
      <c r="A3889">
        <v>842</v>
      </c>
      <c r="B3889" s="3" t="s">
        <v>308</v>
      </c>
      <c r="C3889" s="3" t="s">
        <v>309</v>
      </c>
      <c r="D3889" s="3">
        <v>1</v>
      </c>
      <c r="E3889" s="3">
        <v>167.62309999999999</v>
      </c>
      <c r="F3889">
        <f t="shared" si="62"/>
        <v>167.62309999999999</v>
      </c>
    </row>
    <row r="3890" spans="1:6" x14ac:dyDescent="0.2">
      <c r="A3890">
        <v>842</v>
      </c>
      <c r="B3890" s="3" t="s">
        <v>310</v>
      </c>
      <c r="C3890" s="3" t="s">
        <v>273</v>
      </c>
      <c r="D3890" s="3">
        <v>1</v>
      </c>
      <c r="E3890" s="3">
        <v>0.33200000000000002</v>
      </c>
      <c r="F3890">
        <f t="shared" si="62"/>
        <v>0.33200000000000002</v>
      </c>
    </row>
    <row r="3891" spans="1:6" x14ac:dyDescent="0.2">
      <c r="A3891">
        <v>842</v>
      </c>
      <c r="B3891" s="3" t="s">
        <v>197</v>
      </c>
      <c r="C3891" s="3" t="s">
        <v>278</v>
      </c>
      <c r="D3891" s="3">
        <v>8</v>
      </c>
      <c r="E3891" s="3">
        <v>7.4700000000000003E-2</v>
      </c>
      <c r="F3891">
        <f t="shared" si="62"/>
        <v>0.59760000000000002</v>
      </c>
    </row>
    <row r="3892" spans="1:6" x14ac:dyDescent="0.2">
      <c r="A3892">
        <v>842</v>
      </c>
      <c r="B3892" s="3" t="s">
        <v>311</v>
      </c>
      <c r="C3892" s="3" t="s">
        <v>273</v>
      </c>
      <c r="D3892" s="3">
        <v>52</v>
      </c>
      <c r="E3892" s="3">
        <v>1.5935999999999999</v>
      </c>
      <c r="F3892">
        <f t="shared" si="62"/>
        <v>82.867199999999997</v>
      </c>
    </row>
    <row r="3893" spans="1:6" x14ac:dyDescent="0.2">
      <c r="A3893">
        <v>842</v>
      </c>
      <c r="B3893" s="3" t="s">
        <v>312</v>
      </c>
      <c r="C3893" s="3" t="s">
        <v>278</v>
      </c>
      <c r="D3893" s="3">
        <v>3</v>
      </c>
      <c r="E3893" s="3">
        <v>21.040500000000002</v>
      </c>
      <c r="F3893">
        <f t="shared" si="62"/>
        <v>63.121500000000005</v>
      </c>
    </row>
    <row r="3894" spans="1:6" x14ac:dyDescent="0.2">
      <c r="A3894">
        <v>842</v>
      </c>
      <c r="B3894" s="3" t="s">
        <v>75</v>
      </c>
      <c r="C3894" s="3" t="s">
        <v>313</v>
      </c>
      <c r="D3894" s="3">
        <v>3</v>
      </c>
      <c r="E3894" s="3">
        <v>0.115385</v>
      </c>
      <c r="F3894">
        <f t="shared" si="62"/>
        <v>0.34615499999999999</v>
      </c>
    </row>
    <row r="3895" spans="1:6" x14ac:dyDescent="0.2">
      <c r="A3895">
        <v>842</v>
      </c>
      <c r="B3895" s="3" t="s">
        <v>314</v>
      </c>
      <c r="C3895" s="3" t="s">
        <v>273</v>
      </c>
      <c r="D3895" s="3">
        <v>36</v>
      </c>
      <c r="E3895" s="3">
        <v>0.45650000000000002</v>
      </c>
      <c r="F3895">
        <f t="shared" si="62"/>
        <v>16.434000000000001</v>
      </c>
    </row>
    <row r="3896" spans="1:6" x14ac:dyDescent="0.2">
      <c r="A3896">
        <v>842</v>
      </c>
      <c r="B3896" s="3" t="s">
        <v>314</v>
      </c>
      <c r="C3896" s="3" t="s">
        <v>315</v>
      </c>
      <c r="D3896" s="3">
        <v>12</v>
      </c>
      <c r="E3896" s="3">
        <v>0.45650000000000002</v>
      </c>
      <c r="F3896">
        <f t="shared" si="62"/>
        <v>5.4779999999999998</v>
      </c>
    </row>
    <row r="3897" spans="1:6" x14ac:dyDescent="0.2">
      <c r="A3897">
        <v>842</v>
      </c>
      <c r="B3897" s="3" t="s">
        <v>316</v>
      </c>
      <c r="C3897" s="3" t="s">
        <v>317</v>
      </c>
      <c r="D3897" s="3">
        <v>1</v>
      </c>
      <c r="E3897" s="3">
        <v>92.206620000000001</v>
      </c>
      <c r="F3897">
        <f t="shared" si="62"/>
        <v>92.206620000000001</v>
      </c>
    </row>
    <row r="3898" spans="1:6" x14ac:dyDescent="0.2">
      <c r="A3898">
        <v>842</v>
      </c>
      <c r="B3898" s="3" t="s">
        <v>318</v>
      </c>
      <c r="C3898" s="3" t="s">
        <v>319</v>
      </c>
      <c r="D3898" s="3">
        <v>2</v>
      </c>
      <c r="E3898" s="3">
        <v>85.453850000000003</v>
      </c>
      <c r="F3898">
        <f t="shared" si="62"/>
        <v>170.90770000000001</v>
      </c>
    </row>
    <row r="3899" spans="1:6" x14ac:dyDescent="0.2">
      <c r="A3899">
        <v>842</v>
      </c>
      <c r="B3899" s="3" t="s">
        <v>320</v>
      </c>
      <c r="C3899" s="3" t="s">
        <v>321</v>
      </c>
      <c r="D3899" s="3">
        <v>1</v>
      </c>
      <c r="E3899" s="3">
        <v>92.206620000000001</v>
      </c>
      <c r="F3899">
        <f t="shared" si="62"/>
        <v>92.206620000000001</v>
      </c>
    </row>
    <row r="3900" spans="1:6" x14ac:dyDescent="0.2">
      <c r="A3900">
        <v>842</v>
      </c>
      <c r="B3900" s="3" t="s">
        <v>267</v>
      </c>
      <c r="C3900" s="3" t="s">
        <v>268</v>
      </c>
      <c r="D3900" s="3">
        <v>1</v>
      </c>
      <c r="E3900" s="3">
        <v>84863.13</v>
      </c>
      <c r="F3900">
        <f t="shared" si="62"/>
        <v>84863.13</v>
      </c>
    </row>
    <row r="3901" spans="1:6" x14ac:dyDescent="0.2">
      <c r="A3901">
        <v>842</v>
      </c>
      <c r="B3901" s="3" t="s">
        <v>260</v>
      </c>
      <c r="C3901" s="3" t="s">
        <v>261</v>
      </c>
      <c r="D3901" s="3">
        <v>1</v>
      </c>
      <c r="E3901" s="3">
        <v>2908.2939999999999</v>
      </c>
      <c r="F3901">
        <f t="shared" si="62"/>
        <v>2908.2939999999999</v>
      </c>
    </row>
    <row r="3902" spans="1:6" x14ac:dyDescent="0.2">
      <c r="A3902">
        <v>842</v>
      </c>
      <c r="B3902" s="3" t="s">
        <v>262</v>
      </c>
      <c r="C3902" s="3" t="s">
        <v>263</v>
      </c>
      <c r="D3902" s="3">
        <v>1</v>
      </c>
      <c r="E3902" s="3">
        <v>3207.1970000000001</v>
      </c>
      <c r="F3902">
        <f t="shared" si="62"/>
        <v>3207.1970000000001</v>
      </c>
    </row>
    <row r="3903" spans="1:6" x14ac:dyDescent="0.2">
      <c r="A3903">
        <v>842</v>
      </c>
      <c r="B3903" s="3" t="s">
        <v>264</v>
      </c>
      <c r="C3903" s="3" t="s">
        <v>265</v>
      </c>
      <c r="D3903" s="3">
        <v>1</v>
      </c>
      <c r="E3903" s="3">
        <v>3466.7310000000002</v>
      </c>
      <c r="F3903">
        <f t="shared" si="62"/>
        <v>3466.7310000000002</v>
      </c>
    </row>
    <row r="3904" spans="1:6" x14ac:dyDescent="0.2">
      <c r="A3904">
        <v>842</v>
      </c>
      <c r="B3904" s="3" t="s">
        <v>259</v>
      </c>
      <c r="C3904" s="3" t="s">
        <v>258</v>
      </c>
      <c r="D3904" s="3">
        <v>1</v>
      </c>
      <c r="E3904" s="3">
        <v>3325.9760000000001</v>
      </c>
      <c r="F3904">
        <f t="shared" si="62"/>
        <v>3325.9760000000001</v>
      </c>
    </row>
    <row r="3905" spans="1:6" x14ac:dyDescent="0.2">
      <c r="A3905">
        <v>842</v>
      </c>
      <c r="B3905" s="3" t="s">
        <v>257</v>
      </c>
      <c r="C3905" s="3" t="s">
        <v>258</v>
      </c>
      <c r="D3905" s="3">
        <v>1</v>
      </c>
      <c r="E3905" s="3">
        <v>3325.9760000000001</v>
      </c>
      <c r="F3905">
        <f t="shared" si="62"/>
        <v>3325.9760000000001</v>
      </c>
    </row>
    <row r="3906" spans="1:6" x14ac:dyDescent="0.2">
      <c r="A3906">
        <v>842</v>
      </c>
      <c r="B3906" s="3" t="s">
        <v>255</v>
      </c>
      <c r="C3906" s="3" t="s">
        <v>256</v>
      </c>
      <c r="D3906" s="3">
        <v>1</v>
      </c>
      <c r="E3906" s="3">
        <v>18546.09</v>
      </c>
      <c r="F3906">
        <f t="shared" si="62"/>
        <v>18546.09</v>
      </c>
    </row>
    <row r="3907" spans="1:6" x14ac:dyDescent="0.2">
      <c r="A3907">
        <v>842</v>
      </c>
      <c r="B3907" s="3" t="s">
        <v>359</v>
      </c>
      <c r="C3907" s="3" t="s">
        <v>360</v>
      </c>
      <c r="D3907" s="3">
        <v>1</v>
      </c>
      <c r="E3907" s="3">
        <v>1844.9380000000001</v>
      </c>
      <c r="F3907">
        <f t="shared" si="62"/>
        <v>1844.9380000000001</v>
      </c>
    </row>
    <row r="3908" spans="1:6" x14ac:dyDescent="0.2">
      <c r="A3908">
        <v>842</v>
      </c>
      <c r="B3908" s="3" t="s">
        <v>389</v>
      </c>
      <c r="C3908" s="3" t="s">
        <v>390</v>
      </c>
      <c r="D3908">
        <v>1</v>
      </c>
      <c r="E3908" s="3">
        <v>4906</v>
      </c>
      <c r="F3908">
        <f t="shared" si="62"/>
        <v>4906</v>
      </c>
    </row>
    <row r="3909" spans="1:6" x14ac:dyDescent="0.2">
      <c r="A3909">
        <v>843</v>
      </c>
      <c r="B3909" s="3" t="s">
        <v>62</v>
      </c>
      <c r="C3909" s="3" t="s">
        <v>63</v>
      </c>
      <c r="D3909" s="3">
        <v>1</v>
      </c>
      <c r="E3909" s="3">
        <v>0.34860000000000002</v>
      </c>
      <c r="F3909">
        <f t="shared" si="62"/>
        <v>0.34860000000000002</v>
      </c>
    </row>
    <row r="3910" spans="1:6" x14ac:dyDescent="0.2">
      <c r="A3910">
        <v>843</v>
      </c>
      <c r="B3910" s="3" t="s">
        <v>64</v>
      </c>
      <c r="C3910" s="3" t="s">
        <v>65</v>
      </c>
      <c r="D3910" s="3">
        <v>1</v>
      </c>
      <c r="E3910" s="3">
        <v>803.07690000000002</v>
      </c>
      <c r="F3910">
        <f t="shared" si="62"/>
        <v>803.07690000000002</v>
      </c>
    </row>
    <row r="3911" spans="1:6" x14ac:dyDescent="0.2">
      <c r="A3911">
        <v>843</v>
      </c>
      <c r="B3911" s="3" t="s">
        <v>67</v>
      </c>
      <c r="C3911" s="3" t="s">
        <v>68</v>
      </c>
      <c r="D3911" s="3">
        <v>1</v>
      </c>
      <c r="E3911" s="3">
        <v>49.678570000000001</v>
      </c>
      <c r="F3911">
        <f t="shared" si="62"/>
        <v>49.678570000000001</v>
      </c>
    </row>
    <row r="3912" spans="1:6" x14ac:dyDescent="0.2">
      <c r="A3912">
        <v>843</v>
      </c>
      <c r="B3912" s="3" t="s">
        <v>70</v>
      </c>
      <c r="C3912" s="3" t="s">
        <v>71</v>
      </c>
      <c r="D3912" s="3">
        <v>2</v>
      </c>
      <c r="E3912" s="3">
        <v>407.98649999999998</v>
      </c>
      <c r="F3912">
        <f t="shared" si="62"/>
        <v>815.97299999999996</v>
      </c>
    </row>
    <row r="3913" spans="1:6" x14ac:dyDescent="0.2">
      <c r="A3913">
        <v>843</v>
      </c>
      <c r="B3913" s="3" t="s">
        <v>73</v>
      </c>
      <c r="C3913" s="3" t="s">
        <v>74</v>
      </c>
      <c r="D3913" s="3">
        <v>5</v>
      </c>
      <c r="E3913" s="3">
        <v>0.57783899999999999</v>
      </c>
      <c r="F3913">
        <f t="shared" si="62"/>
        <v>2.889195</v>
      </c>
    </row>
    <row r="3914" spans="1:6" x14ac:dyDescent="0.2">
      <c r="A3914">
        <v>843</v>
      </c>
      <c r="B3914" s="3" t="s">
        <v>75</v>
      </c>
      <c r="C3914" s="3" t="s">
        <v>76</v>
      </c>
      <c r="D3914" s="3">
        <v>75</v>
      </c>
      <c r="E3914" s="3">
        <v>0.115385</v>
      </c>
      <c r="F3914">
        <f t="shared" si="62"/>
        <v>8.6538749999999993</v>
      </c>
    </row>
    <row r="3915" spans="1:6" x14ac:dyDescent="0.2">
      <c r="A3915">
        <v>843</v>
      </c>
      <c r="B3915" s="3" t="s">
        <v>77</v>
      </c>
      <c r="C3915" s="3" t="s">
        <v>74</v>
      </c>
      <c r="D3915" s="3">
        <v>10</v>
      </c>
      <c r="E3915" s="3">
        <v>1.3944000000000001</v>
      </c>
      <c r="F3915">
        <f t="shared" si="62"/>
        <v>13.944000000000001</v>
      </c>
    </row>
    <row r="3916" spans="1:6" x14ac:dyDescent="0.2">
      <c r="A3916">
        <v>843</v>
      </c>
      <c r="B3916" s="3" t="s">
        <v>78</v>
      </c>
      <c r="C3916" s="3" t="s">
        <v>76</v>
      </c>
      <c r="D3916" s="3">
        <v>20</v>
      </c>
      <c r="E3916" s="3">
        <v>0.71839500000000001</v>
      </c>
      <c r="F3916">
        <f t="shared" si="62"/>
        <v>14.367900000000001</v>
      </c>
    </row>
    <row r="3917" spans="1:6" x14ac:dyDescent="0.2">
      <c r="A3917">
        <v>843</v>
      </c>
      <c r="B3917" s="3" t="s">
        <v>79</v>
      </c>
      <c r="C3917" s="3" t="s">
        <v>74</v>
      </c>
      <c r="D3917" s="3">
        <v>15</v>
      </c>
      <c r="E3917" s="3">
        <v>1.930769</v>
      </c>
      <c r="F3917">
        <f t="shared" si="62"/>
        <v>28.961534999999998</v>
      </c>
    </row>
    <row r="3918" spans="1:6" x14ac:dyDescent="0.2">
      <c r="A3918">
        <v>843</v>
      </c>
      <c r="B3918" s="3" t="s">
        <v>80</v>
      </c>
      <c r="C3918" s="3" t="s">
        <v>74</v>
      </c>
      <c r="D3918" s="3">
        <v>40</v>
      </c>
      <c r="E3918" s="3">
        <v>0.95450000000000002</v>
      </c>
      <c r="F3918">
        <f t="shared" si="62"/>
        <v>38.18</v>
      </c>
    </row>
    <row r="3919" spans="1:6" x14ac:dyDescent="0.2">
      <c r="A3919">
        <v>843</v>
      </c>
      <c r="B3919" s="3" t="s">
        <v>81</v>
      </c>
      <c r="C3919" s="3" t="s">
        <v>74</v>
      </c>
      <c r="D3919" s="3">
        <v>65</v>
      </c>
      <c r="E3919" s="3">
        <v>0.76359999999999995</v>
      </c>
      <c r="F3919">
        <f t="shared" si="62"/>
        <v>49.633999999999993</v>
      </c>
    </row>
    <row r="3920" spans="1:6" x14ac:dyDescent="0.2">
      <c r="A3920">
        <v>843</v>
      </c>
      <c r="B3920" s="3" t="s">
        <v>82</v>
      </c>
      <c r="C3920" s="3" t="s">
        <v>83</v>
      </c>
      <c r="D3920" s="3">
        <v>5</v>
      </c>
      <c r="E3920" s="3">
        <v>20.351600000000001</v>
      </c>
      <c r="F3920">
        <f t="shared" si="62"/>
        <v>101.75800000000001</v>
      </c>
    </row>
    <row r="3921" spans="1:6" x14ac:dyDescent="0.2">
      <c r="A3921">
        <v>843</v>
      </c>
      <c r="B3921" s="3" t="s">
        <v>84</v>
      </c>
      <c r="C3921" s="3" t="s">
        <v>85</v>
      </c>
      <c r="D3921" s="3">
        <v>5</v>
      </c>
      <c r="E3921" s="3">
        <v>102.3322</v>
      </c>
      <c r="F3921">
        <f t="shared" si="62"/>
        <v>511.661</v>
      </c>
    </row>
    <row r="3922" spans="1:6" x14ac:dyDescent="0.2">
      <c r="A3922">
        <v>843</v>
      </c>
      <c r="B3922" s="3" t="s">
        <v>86</v>
      </c>
      <c r="C3922" s="3" t="s">
        <v>85</v>
      </c>
      <c r="D3922" s="3">
        <v>5</v>
      </c>
      <c r="E3922" s="3">
        <v>144.2646</v>
      </c>
      <c r="F3922">
        <f t="shared" si="62"/>
        <v>721.32299999999998</v>
      </c>
    </row>
    <row r="3923" spans="1:6" x14ac:dyDescent="0.2">
      <c r="A3923">
        <v>843</v>
      </c>
      <c r="B3923" s="3" t="s">
        <v>87</v>
      </c>
      <c r="C3923" s="3" t="s">
        <v>88</v>
      </c>
      <c r="D3923" s="3">
        <v>5</v>
      </c>
      <c r="E3923" s="3">
        <v>162.0215</v>
      </c>
      <c r="F3923">
        <f t="shared" si="62"/>
        <v>810.10750000000007</v>
      </c>
    </row>
    <row r="3924" spans="1:6" x14ac:dyDescent="0.2">
      <c r="A3924">
        <v>843</v>
      </c>
      <c r="B3924" s="3" t="s">
        <v>89</v>
      </c>
      <c r="C3924" s="3" t="s">
        <v>85</v>
      </c>
      <c r="D3924" s="3">
        <v>5</v>
      </c>
      <c r="E3924" s="3">
        <v>211.0129</v>
      </c>
      <c r="F3924">
        <f t="shared" si="62"/>
        <v>1055.0645</v>
      </c>
    </row>
    <row r="3925" spans="1:6" x14ac:dyDescent="0.2">
      <c r="A3925">
        <v>843</v>
      </c>
      <c r="B3925" s="3" t="s">
        <v>90</v>
      </c>
      <c r="C3925" s="3" t="s">
        <v>88</v>
      </c>
      <c r="D3925" s="3">
        <v>5</v>
      </c>
      <c r="E3925" s="3">
        <v>238.1635</v>
      </c>
      <c r="F3925">
        <f t="shared" si="62"/>
        <v>1190.8175000000001</v>
      </c>
    </row>
    <row r="3926" spans="1:6" x14ac:dyDescent="0.2">
      <c r="A3926">
        <v>843</v>
      </c>
      <c r="B3926" s="3" t="s">
        <v>92</v>
      </c>
      <c r="C3926" s="3" t="s">
        <v>93</v>
      </c>
      <c r="D3926" s="3">
        <v>5</v>
      </c>
      <c r="E3926" s="3">
        <v>19.297499999999999</v>
      </c>
      <c r="F3926">
        <f t="shared" si="62"/>
        <v>96.487499999999997</v>
      </c>
    </row>
    <row r="3927" spans="1:6" x14ac:dyDescent="0.2">
      <c r="A3927">
        <v>843</v>
      </c>
      <c r="B3927" s="3" t="s">
        <v>94</v>
      </c>
      <c r="C3927" s="3" t="s">
        <v>95</v>
      </c>
      <c r="D3927" s="3">
        <v>1</v>
      </c>
      <c r="E3927" s="3">
        <v>644.46270000000004</v>
      </c>
      <c r="F3927">
        <f t="shared" si="62"/>
        <v>644.46270000000004</v>
      </c>
    </row>
    <row r="3928" spans="1:6" x14ac:dyDescent="0.2">
      <c r="A3928">
        <v>843</v>
      </c>
      <c r="B3928" s="3" t="s">
        <v>236</v>
      </c>
      <c r="C3928" s="3" t="s">
        <v>237</v>
      </c>
      <c r="D3928" s="3">
        <v>6</v>
      </c>
      <c r="E3928" s="3">
        <v>132.80000000000001</v>
      </c>
      <c r="F3928">
        <f t="shared" si="62"/>
        <v>796.80000000000007</v>
      </c>
    </row>
    <row r="3929" spans="1:6" x14ac:dyDescent="0.2">
      <c r="A3929">
        <v>843</v>
      </c>
      <c r="B3929" s="3" t="s">
        <v>238</v>
      </c>
      <c r="C3929" s="3" t="s">
        <v>239</v>
      </c>
      <c r="D3929" s="3">
        <v>4</v>
      </c>
      <c r="E3929" s="3">
        <v>340.93849999999998</v>
      </c>
      <c r="F3929">
        <f t="shared" si="62"/>
        <v>1363.7539999999999</v>
      </c>
    </row>
    <row r="3930" spans="1:6" x14ac:dyDescent="0.2">
      <c r="A3930">
        <v>843</v>
      </c>
      <c r="B3930" s="3" t="s">
        <v>240</v>
      </c>
      <c r="C3930" s="3" t="s">
        <v>241</v>
      </c>
      <c r="D3930" s="3">
        <v>4</v>
      </c>
      <c r="E3930" s="3">
        <v>309.0154</v>
      </c>
      <c r="F3930">
        <f t="shared" si="62"/>
        <v>1236.0616</v>
      </c>
    </row>
    <row r="3931" spans="1:6" x14ac:dyDescent="0.2">
      <c r="A3931">
        <v>843</v>
      </c>
      <c r="B3931" s="3" t="s">
        <v>242</v>
      </c>
      <c r="C3931" s="3" t="s">
        <v>243</v>
      </c>
      <c r="D3931" s="3">
        <v>2</v>
      </c>
      <c r="E3931" s="3">
        <v>427.76920000000001</v>
      </c>
      <c r="F3931">
        <f t="shared" si="62"/>
        <v>855.53840000000002</v>
      </c>
    </row>
    <row r="3932" spans="1:6" x14ac:dyDescent="0.2">
      <c r="A3932">
        <v>843</v>
      </c>
      <c r="B3932" s="3" t="s">
        <v>244</v>
      </c>
      <c r="C3932" s="3" t="s">
        <v>184</v>
      </c>
      <c r="D3932" s="3">
        <v>4</v>
      </c>
      <c r="E3932" s="3">
        <v>18.643080000000001</v>
      </c>
      <c r="F3932">
        <f t="shared" si="62"/>
        <v>74.572320000000005</v>
      </c>
    </row>
    <row r="3933" spans="1:6" x14ac:dyDescent="0.2">
      <c r="A3933">
        <v>843</v>
      </c>
      <c r="B3933" s="3" t="s">
        <v>245</v>
      </c>
      <c r="C3933" s="3" t="s">
        <v>246</v>
      </c>
      <c r="D3933" s="3">
        <v>8</v>
      </c>
      <c r="E3933" s="3">
        <v>0.44819999999999999</v>
      </c>
      <c r="F3933">
        <f t="shared" si="62"/>
        <v>3.5855999999999999</v>
      </c>
    </row>
    <row r="3934" spans="1:6" x14ac:dyDescent="0.2">
      <c r="A3934">
        <v>843</v>
      </c>
      <c r="B3934" s="3" t="s">
        <v>75</v>
      </c>
      <c r="C3934" s="3" t="s">
        <v>247</v>
      </c>
      <c r="D3934" s="3">
        <v>8</v>
      </c>
      <c r="E3934" s="3">
        <v>0.115385</v>
      </c>
      <c r="F3934">
        <f t="shared" si="62"/>
        <v>0.92308000000000001</v>
      </c>
    </row>
    <row r="3935" spans="1:6" x14ac:dyDescent="0.2">
      <c r="A3935">
        <v>843</v>
      </c>
      <c r="B3935" s="3" t="s">
        <v>197</v>
      </c>
      <c r="C3935" s="3" t="s">
        <v>117</v>
      </c>
      <c r="D3935" s="3">
        <v>8</v>
      </c>
      <c r="E3935" s="3">
        <v>7.4700000000000003E-2</v>
      </c>
      <c r="F3935">
        <f t="shared" si="62"/>
        <v>0.59760000000000002</v>
      </c>
    </row>
    <row r="3936" spans="1:6" x14ac:dyDescent="0.2">
      <c r="A3936">
        <v>843</v>
      </c>
      <c r="B3936" s="3" t="s">
        <v>248</v>
      </c>
      <c r="C3936" s="3" t="s">
        <v>249</v>
      </c>
      <c r="D3936" s="3">
        <v>1</v>
      </c>
      <c r="E3936" s="3">
        <v>31064.98</v>
      </c>
      <c r="F3936">
        <f t="shared" si="62"/>
        <v>31064.98</v>
      </c>
    </row>
    <row r="3937" spans="1:6" x14ac:dyDescent="0.2">
      <c r="A3937">
        <v>843</v>
      </c>
      <c r="B3937" s="3" t="s">
        <v>250</v>
      </c>
      <c r="C3937" s="3" t="s">
        <v>251</v>
      </c>
      <c r="D3937" s="3">
        <v>2</v>
      </c>
      <c r="E3937" s="3">
        <v>564.5412</v>
      </c>
      <c r="F3937">
        <f t="shared" si="62"/>
        <v>1129.0824</v>
      </c>
    </row>
    <row r="3938" spans="1:6" x14ac:dyDescent="0.2">
      <c r="A3938">
        <v>843</v>
      </c>
      <c r="B3938" s="3" t="s">
        <v>146</v>
      </c>
      <c r="C3938" s="3" t="s">
        <v>147</v>
      </c>
      <c r="D3938" s="3">
        <v>4</v>
      </c>
      <c r="E3938" s="3">
        <v>8021.5770000000002</v>
      </c>
      <c r="F3938">
        <f t="shared" si="62"/>
        <v>32086.308000000001</v>
      </c>
    </row>
    <row r="3939" spans="1:6" x14ac:dyDescent="0.2">
      <c r="A3939">
        <v>843</v>
      </c>
      <c r="B3939" s="3" t="s">
        <v>215</v>
      </c>
      <c r="C3939" s="3" t="s">
        <v>208</v>
      </c>
      <c r="D3939" s="3">
        <v>1</v>
      </c>
      <c r="E3939" s="3">
        <v>1.4289810000000001</v>
      </c>
      <c r="F3939">
        <f t="shared" si="62"/>
        <v>1.4289810000000001</v>
      </c>
    </row>
    <row r="3940" spans="1:6" x14ac:dyDescent="0.2">
      <c r="A3940">
        <v>843</v>
      </c>
      <c r="B3940" s="3" t="s">
        <v>200</v>
      </c>
      <c r="C3940" s="3" t="s">
        <v>199</v>
      </c>
      <c r="D3940" s="3">
        <v>3</v>
      </c>
      <c r="E3940" s="3">
        <v>0.66373400000000005</v>
      </c>
      <c r="F3940">
        <f t="shared" si="62"/>
        <v>1.9912020000000001</v>
      </c>
    </row>
    <row r="3941" spans="1:6" x14ac:dyDescent="0.2">
      <c r="A3941">
        <v>843</v>
      </c>
      <c r="B3941" s="3" t="s">
        <v>216</v>
      </c>
      <c r="C3941" s="3" t="s">
        <v>199</v>
      </c>
      <c r="D3941" s="3">
        <v>1</v>
      </c>
      <c r="E3941" s="3">
        <v>0.66400000000000003</v>
      </c>
      <c r="F3941">
        <f t="shared" si="62"/>
        <v>0.66400000000000003</v>
      </c>
    </row>
    <row r="3942" spans="1:6" x14ac:dyDescent="0.2">
      <c r="A3942">
        <v>843</v>
      </c>
      <c r="B3942" s="3" t="s">
        <v>217</v>
      </c>
      <c r="C3942" s="3" t="s">
        <v>199</v>
      </c>
      <c r="D3942" s="3">
        <v>1</v>
      </c>
      <c r="E3942" s="3">
        <v>4.2164000000000001</v>
      </c>
      <c r="F3942">
        <f t="shared" si="62"/>
        <v>4.2164000000000001</v>
      </c>
    </row>
    <row r="3943" spans="1:6" x14ac:dyDescent="0.2">
      <c r="A3943">
        <v>843</v>
      </c>
      <c r="B3943" s="3" t="s">
        <v>218</v>
      </c>
      <c r="C3943" s="3" t="s">
        <v>208</v>
      </c>
      <c r="D3943" s="3">
        <v>3</v>
      </c>
      <c r="E3943" s="3">
        <v>7.3455000000000004</v>
      </c>
      <c r="F3943">
        <f t="shared" si="62"/>
        <v>22.0365</v>
      </c>
    </row>
    <row r="3944" spans="1:6" x14ac:dyDescent="0.2">
      <c r="A3944">
        <v>843</v>
      </c>
      <c r="B3944" s="3" t="s">
        <v>219</v>
      </c>
      <c r="C3944" s="3" t="s">
        <v>199</v>
      </c>
      <c r="D3944" s="3">
        <v>2</v>
      </c>
      <c r="E3944" s="3">
        <v>1.4774</v>
      </c>
      <c r="F3944">
        <f t="shared" si="62"/>
        <v>2.9548000000000001</v>
      </c>
    </row>
    <row r="3945" spans="1:6" x14ac:dyDescent="0.2">
      <c r="A3945">
        <v>843</v>
      </c>
      <c r="B3945" s="3" t="s">
        <v>220</v>
      </c>
      <c r="C3945" s="3" t="s">
        <v>208</v>
      </c>
      <c r="D3945" s="3">
        <v>1</v>
      </c>
      <c r="E3945" s="3">
        <v>3.7267000000000001</v>
      </c>
      <c r="F3945">
        <f t="shared" ref="F3945:F4008" si="63">D3945*E3945</f>
        <v>3.7267000000000001</v>
      </c>
    </row>
    <row r="3946" spans="1:6" x14ac:dyDescent="0.2">
      <c r="A3946">
        <v>843</v>
      </c>
      <c r="B3946" s="3" t="s">
        <v>221</v>
      </c>
      <c r="C3946" s="3" t="s">
        <v>199</v>
      </c>
      <c r="D3946" s="3">
        <v>5</v>
      </c>
      <c r="E3946" s="3">
        <v>0.97940000000000005</v>
      </c>
      <c r="F3946">
        <f t="shared" si="63"/>
        <v>4.8970000000000002</v>
      </c>
    </row>
    <row r="3947" spans="1:6" x14ac:dyDescent="0.2">
      <c r="A3947">
        <v>843</v>
      </c>
      <c r="B3947" s="3" t="s">
        <v>222</v>
      </c>
      <c r="C3947" s="3" t="s">
        <v>208</v>
      </c>
      <c r="D3947" s="3">
        <v>1</v>
      </c>
      <c r="E3947" s="3">
        <v>6.0673000000000004</v>
      </c>
      <c r="F3947">
        <f t="shared" si="63"/>
        <v>6.0673000000000004</v>
      </c>
    </row>
    <row r="3948" spans="1:6" x14ac:dyDescent="0.2">
      <c r="A3948">
        <v>843</v>
      </c>
      <c r="B3948" s="3" t="s">
        <v>223</v>
      </c>
      <c r="C3948" s="3" t="s">
        <v>224</v>
      </c>
      <c r="D3948" s="3">
        <v>1</v>
      </c>
      <c r="E3948" s="3">
        <v>19.4635</v>
      </c>
      <c r="F3948">
        <f t="shared" si="63"/>
        <v>19.4635</v>
      </c>
    </row>
    <row r="3949" spans="1:6" x14ac:dyDescent="0.2">
      <c r="A3949">
        <v>843</v>
      </c>
      <c r="B3949" s="3" t="s">
        <v>225</v>
      </c>
      <c r="C3949" s="3" t="s">
        <v>226</v>
      </c>
      <c r="D3949" s="3">
        <v>1</v>
      </c>
      <c r="E3949" s="3">
        <v>10.22151</v>
      </c>
      <c r="F3949">
        <f t="shared" si="63"/>
        <v>10.22151</v>
      </c>
    </row>
    <row r="3950" spans="1:6" x14ac:dyDescent="0.2">
      <c r="A3950">
        <v>843</v>
      </c>
      <c r="B3950" s="3" t="s">
        <v>227</v>
      </c>
      <c r="C3950" s="3" t="s">
        <v>208</v>
      </c>
      <c r="D3950" s="3">
        <v>5</v>
      </c>
      <c r="E3950" s="3">
        <v>3.6307689999999999</v>
      </c>
      <c r="F3950">
        <f t="shared" si="63"/>
        <v>18.153845</v>
      </c>
    </row>
    <row r="3951" spans="1:6" x14ac:dyDescent="0.2">
      <c r="A3951">
        <v>843</v>
      </c>
      <c r="B3951" s="3" t="s">
        <v>228</v>
      </c>
      <c r="C3951" s="3" t="s">
        <v>229</v>
      </c>
      <c r="D3951" s="3">
        <v>5</v>
      </c>
      <c r="E3951" s="3">
        <v>306.94979999999998</v>
      </c>
      <c r="F3951">
        <f t="shared" si="63"/>
        <v>1534.7489999999998</v>
      </c>
    </row>
    <row r="3952" spans="1:6" x14ac:dyDescent="0.2">
      <c r="A3952">
        <v>843</v>
      </c>
      <c r="B3952" s="3" t="s">
        <v>116</v>
      </c>
      <c r="C3952" s="3" t="s">
        <v>117</v>
      </c>
      <c r="D3952" s="3">
        <v>1</v>
      </c>
      <c r="E3952" s="3">
        <v>0.25729999999999997</v>
      </c>
      <c r="F3952">
        <f t="shared" si="63"/>
        <v>0.25729999999999997</v>
      </c>
    </row>
    <row r="3953" spans="1:6" x14ac:dyDescent="0.2">
      <c r="A3953">
        <v>843</v>
      </c>
      <c r="B3953" s="3" t="s">
        <v>78</v>
      </c>
      <c r="C3953" s="3" t="s">
        <v>76</v>
      </c>
      <c r="D3953" s="3">
        <v>1</v>
      </c>
      <c r="E3953" s="3">
        <v>0.71839500000000001</v>
      </c>
      <c r="F3953">
        <f t="shared" si="63"/>
        <v>0.71839500000000001</v>
      </c>
    </row>
    <row r="3954" spans="1:6" x14ac:dyDescent="0.2">
      <c r="A3954">
        <v>843</v>
      </c>
      <c r="B3954" s="3" t="s">
        <v>231</v>
      </c>
      <c r="C3954" s="3" t="s">
        <v>208</v>
      </c>
      <c r="D3954" s="3">
        <v>4</v>
      </c>
      <c r="E3954" s="3">
        <v>2.0832999999999999</v>
      </c>
      <c r="F3954">
        <f t="shared" si="63"/>
        <v>8.3331999999999997</v>
      </c>
    </row>
    <row r="3955" spans="1:6" x14ac:dyDescent="0.2">
      <c r="A3955">
        <v>843</v>
      </c>
      <c r="B3955" s="3" t="s">
        <v>232</v>
      </c>
      <c r="C3955" s="3" t="s">
        <v>119</v>
      </c>
      <c r="D3955" s="3">
        <v>3</v>
      </c>
      <c r="E3955" s="3">
        <v>1.5935999999999999</v>
      </c>
      <c r="F3955">
        <f t="shared" si="63"/>
        <v>4.7807999999999993</v>
      </c>
    </row>
    <row r="3956" spans="1:6" x14ac:dyDescent="0.2">
      <c r="A3956">
        <v>843</v>
      </c>
      <c r="B3956" s="3" t="s">
        <v>233</v>
      </c>
      <c r="C3956" s="3" t="s">
        <v>234</v>
      </c>
      <c r="D3956" s="3">
        <v>1</v>
      </c>
      <c r="E3956" s="3">
        <v>3989.2950000000001</v>
      </c>
      <c r="F3956">
        <f t="shared" si="63"/>
        <v>3989.2950000000001</v>
      </c>
    </row>
    <row r="3957" spans="1:6" x14ac:dyDescent="0.2">
      <c r="A3957">
        <v>843</v>
      </c>
      <c r="B3957" s="3" t="s">
        <v>142</v>
      </c>
      <c r="C3957" s="3" t="s">
        <v>143</v>
      </c>
      <c r="D3957" s="3">
        <v>3</v>
      </c>
      <c r="E3957" s="3">
        <v>18141.64</v>
      </c>
      <c r="F3957">
        <f t="shared" si="63"/>
        <v>54424.92</v>
      </c>
    </row>
    <row r="3958" spans="1:6" x14ac:dyDescent="0.2">
      <c r="A3958">
        <v>843</v>
      </c>
      <c r="B3958" s="3" t="s">
        <v>144</v>
      </c>
      <c r="C3958" s="3" t="s">
        <v>145</v>
      </c>
      <c r="D3958" s="3">
        <v>2</v>
      </c>
      <c r="E3958" s="3">
        <v>7346.6769999999997</v>
      </c>
      <c r="F3958">
        <f t="shared" si="63"/>
        <v>14693.353999999999</v>
      </c>
    </row>
    <row r="3959" spans="1:6" x14ac:dyDescent="0.2">
      <c r="A3959">
        <v>843</v>
      </c>
      <c r="B3959" s="3" t="s">
        <v>197</v>
      </c>
      <c r="C3959" s="3" t="s">
        <v>117</v>
      </c>
      <c r="D3959" s="3">
        <v>4</v>
      </c>
      <c r="E3959" s="3">
        <v>7.4700000000000003E-2</v>
      </c>
      <c r="F3959">
        <f t="shared" si="63"/>
        <v>0.29880000000000001</v>
      </c>
    </row>
    <row r="3960" spans="1:6" x14ac:dyDescent="0.2">
      <c r="A3960">
        <v>843</v>
      </c>
      <c r="B3960" s="3" t="s">
        <v>198</v>
      </c>
      <c r="C3960" s="3" t="s">
        <v>199</v>
      </c>
      <c r="D3960" s="3">
        <v>1</v>
      </c>
      <c r="E3960" s="3">
        <v>0.66373400000000005</v>
      </c>
      <c r="F3960">
        <f t="shared" si="63"/>
        <v>0.66373400000000005</v>
      </c>
    </row>
    <row r="3961" spans="1:6" x14ac:dyDescent="0.2">
      <c r="A3961">
        <v>843</v>
      </c>
      <c r="B3961" s="3" t="s">
        <v>200</v>
      </c>
      <c r="C3961" s="3" t="s">
        <v>199</v>
      </c>
      <c r="D3961" s="3">
        <v>118</v>
      </c>
      <c r="E3961" s="3">
        <v>0.66373400000000005</v>
      </c>
      <c r="F3961">
        <f t="shared" si="63"/>
        <v>78.320612000000011</v>
      </c>
    </row>
    <row r="3962" spans="1:6" x14ac:dyDescent="0.2">
      <c r="A3962">
        <v>843</v>
      </c>
      <c r="B3962" s="3" t="s">
        <v>201</v>
      </c>
      <c r="C3962" s="3" t="s">
        <v>76</v>
      </c>
      <c r="D3962" s="3">
        <v>1</v>
      </c>
      <c r="E3962" s="3">
        <v>0.22645100000000001</v>
      </c>
      <c r="F3962">
        <f t="shared" si="63"/>
        <v>0.22645100000000001</v>
      </c>
    </row>
    <row r="3963" spans="1:6" x14ac:dyDescent="0.2">
      <c r="A3963">
        <v>843</v>
      </c>
      <c r="B3963" s="3" t="s">
        <v>202</v>
      </c>
      <c r="C3963" s="3" t="s">
        <v>203</v>
      </c>
      <c r="D3963" s="3">
        <v>1</v>
      </c>
      <c r="E3963" s="3">
        <v>12.45</v>
      </c>
      <c r="F3963">
        <f t="shared" si="63"/>
        <v>12.45</v>
      </c>
    </row>
    <row r="3964" spans="1:6" x14ac:dyDescent="0.2">
      <c r="A3964">
        <v>843</v>
      </c>
      <c r="B3964" s="3" t="s">
        <v>204</v>
      </c>
      <c r="C3964" s="3" t="s">
        <v>205</v>
      </c>
      <c r="D3964" s="3">
        <v>3</v>
      </c>
      <c r="E3964" s="3">
        <v>103.7222</v>
      </c>
      <c r="F3964">
        <f t="shared" si="63"/>
        <v>311.16660000000002</v>
      </c>
    </row>
    <row r="3965" spans="1:6" x14ac:dyDescent="0.2">
      <c r="A3965">
        <v>843</v>
      </c>
      <c r="B3965" s="3" t="s">
        <v>116</v>
      </c>
      <c r="C3965" s="3" t="s">
        <v>117</v>
      </c>
      <c r="D3965" s="3">
        <v>1</v>
      </c>
      <c r="E3965" s="3">
        <v>0.25729999999999997</v>
      </c>
      <c r="F3965">
        <f t="shared" si="63"/>
        <v>0.25729999999999997</v>
      </c>
    </row>
    <row r="3966" spans="1:6" x14ac:dyDescent="0.2">
      <c r="A3966">
        <v>843</v>
      </c>
      <c r="B3966" s="3" t="s">
        <v>78</v>
      </c>
      <c r="C3966" s="3" t="s">
        <v>76</v>
      </c>
      <c r="D3966" s="3">
        <v>2</v>
      </c>
      <c r="E3966" s="3">
        <v>0.71839500000000001</v>
      </c>
      <c r="F3966">
        <f t="shared" si="63"/>
        <v>1.43679</v>
      </c>
    </row>
    <row r="3967" spans="1:6" x14ac:dyDescent="0.2">
      <c r="A3967">
        <v>843</v>
      </c>
      <c r="B3967" s="3" t="s">
        <v>207</v>
      </c>
      <c r="C3967" s="3" t="s">
        <v>208</v>
      </c>
      <c r="D3967" s="3">
        <v>3</v>
      </c>
      <c r="E3967" s="3">
        <v>4.6314000000000002</v>
      </c>
      <c r="F3967">
        <f t="shared" si="63"/>
        <v>13.894200000000001</v>
      </c>
    </row>
    <row r="3968" spans="1:6" x14ac:dyDescent="0.2">
      <c r="A3968">
        <v>843</v>
      </c>
      <c r="B3968" s="3" t="s">
        <v>209</v>
      </c>
      <c r="C3968" s="3" t="s">
        <v>210</v>
      </c>
      <c r="D3968" s="3">
        <v>6</v>
      </c>
      <c r="E3968" s="3">
        <v>39.550759999999997</v>
      </c>
      <c r="F3968">
        <f t="shared" si="63"/>
        <v>237.30455999999998</v>
      </c>
    </row>
    <row r="3969" spans="1:6" x14ac:dyDescent="0.2">
      <c r="A3969">
        <v>843</v>
      </c>
      <c r="B3969" s="3" t="s">
        <v>211</v>
      </c>
      <c r="C3969" s="3" t="s">
        <v>203</v>
      </c>
      <c r="D3969" s="3">
        <v>6</v>
      </c>
      <c r="E3969" s="3">
        <v>25.754899999999999</v>
      </c>
      <c r="F3969">
        <f t="shared" si="63"/>
        <v>154.52940000000001</v>
      </c>
    </row>
    <row r="3970" spans="1:6" x14ac:dyDescent="0.2">
      <c r="A3970">
        <v>843</v>
      </c>
      <c r="B3970" s="3" t="s">
        <v>212</v>
      </c>
      <c r="C3970" s="3" t="s">
        <v>213</v>
      </c>
      <c r="D3970" s="3">
        <v>1</v>
      </c>
      <c r="E3970" s="3">
        <v>272.92059999999998</v>
      </c>
      <c r="F3970">
        <f t="shared" si="63"/>
        <v>272.92059999999998</v>
      </c>
    </row>
    <row r="3971" spans="1:6" x14ac:dyDescent="0.2">
      <c r="A3971">
        <v>843</v>
      </c>
      <c r="B3971" s="3" t="s">
        <v>149</v>
      </c>
      <c r="C3971" s="3" t="s">
        <v>150</v>
      </c>
      <c r="D3971" s="3">
        <v>3</v>
      </c>
      <c r="E3971" s="3">
        <v>0.70550000000000002</v>
      </c>
      <c r="F3971">
        <f t="shared" si="63"/>
        <v>2.1165000000000003</v>
      </c>
    </row>
    <row r="3972" spans="1:6" x14ac:dyDescent="0.2">
      <c r="A3972">
        <v>843</v>
      </c>
      <c r="B3972" s="3" t="s">
        <v>151</v>
      </c>
      <c r="C3972" s="3" t="s">
        <v>152</v>
      </c>
      <c r="D3972" s="3">
        <v>1</v>
      </c>
      <c r="E3972" s="3">
        <v>5.6191000000000004</v>
      </c>
      <c r="F3972">
        <f t="shared" si="63"/>
        <v>5.6191000000000004</v>
      </c>
    </row>
    <row r="3973" spans="1:6" x14ac:dyDescent="0.2">
      <c r="A3973">
        <v>843</v>
      </c>
      <c r="B3973" s="3" t="s">
        <v>153</v>
      </c>
      <c r="C3973" s="3" t="s">
        <v>119</v>
      </c>
      <c r="D3973" s="3">
        <v>1</v>
      </c>
      <c r="E3973" s="3">
        <v>1.116636</v>
      </c>
      <c r="F3973">
        <f t="shared" si="63"/>
        <v>1.116636</v>
      </c>
    </row>
    <row r="3974" spans="1:6" x14ac:dyDescent="0.2">
      <c r="A3974">
        <v>843</v>
      </c>
      <c r="B3974" s="3" t="s">
        <v>154</v>
      </c>
      <c r="C3974" s="3" t="s">
        <v>117</v>
      </c>
      <c r="D3974" s="3">
        <v>3</v>
      </c>
      <c r="E3974" s="3">
        <v>4.3658000000000001</v>
      </c>
      <c r="F3974">
        <f t="shared" si="63"/>
        <v>13.0974</v>
      </c>
    </row>
    <row r="3975" spans="1:6" x14ac:dyDescent="0.2">
      <c r="A3975">
        <v>843</v>
      </c>
      <c r="B3975" s="3" t="s">
        <v>155</v>
      </c>
      <c r="C3975" s="3" t="s">
        <v>156</v>
      </c>
      <c r="D3975" s="3">
        <v>2</v>
      </c>
      <c r="E3975" s="3">
        <v>28.552</v>
      </c>
      <c r="F3975">
        <f t="shared" si="63"/>
        <v>57.103999999999999</v>
      </c>
    </row>
    <row r="3976" spans="1:6" x14ac:dyDescent="0.2">
      <c r="A3976">
        <v>843</v>
      </c>
      <c r="B3976" s="3" t="s">
        <v>157</v>
      </c>
      <c r="C3976" s="3" t="s">
        <v>158</v>
      </c>
      <c r="D3976" s="3">
        <v>1</v>
      </c>
      <c r="E3976" s="3">
        <v>29.456700000000001</v>
      </c>
      <c r="F3976">
        <f t="shared" si="63"/>
        <v>29.456700000000001</v>
      </c>
    </row>
    <row r="3977" spans="1:6" x14ac:dyDescent="0.2">
      <c r="A3977">
        <v>843</v>
      </c>
      <c r="B3977" s="3" t="s">
        <v>159</v>
      </c>
      <c r="C3977" s="3" t="s">
        <v>117</v>
      </c>
      <c r="D3977" s="3">
        <v>5</v>
      </c>
      <c r="E3977" s="3">
        <v>11.976900000000001</v>
      </c>
      <c r="F3977">
        <f t="shared" si="63"/>
        <v>59.884500000000003</v>
      </c>
    </row>
    <row r="3978" spans="1:6" x14ac:dyDescent="0.2">
      <c r="A3978">
        <v>843</v>
      </c>
      <c r="B3978" s="3" t="s">
        <v>116</v>
      </c>
      <c r="C3978" s="3" t="s">
        <v>117</v>
      </c>
      <c r="D3978" s="3">
        <v>1</v>
      </c>
      <c r="E3978" s="3">
        <v>0.25729999999999997</v>
      </c>
      <c r="F3978">
        <f t="shared" si="63"/>
        <v>0.25729999999999997</v>
      </c>
    </row>
    <row r="3979" spans="1:6" x14ac:dyDescent="0.2">
      <c r="A3979">
        <v>843</v>
      </c>
      <c r="B3979" s="3" t="s">
        <v>160</v>
      </c>
      <c r="C3979" s="3" t="s">
        <v>161</v>
      </c>
      <c r="D3979" s="3">
        <v>3</v>
      </c>
      <c r="E3979" s="3">
        <v>15.9194</v>
      </c>
      <c r="F3979">
        <f t="shared" si="63"/>
        <v>47.758200000000002</v>
      </c>
    </row>
    <row r="3980" spans="1:6" x14ac:dyDescent="0.2">
      <c r="A3980">
        <v>843</v>
      </c>
      <c r="B3980" s="3" t="s">
        <v>162</v>
      </c>
      <c r="C3980" s="3" t="s">
        <v>163</v>
      </c>
      <c r="D3980" s="3">
        <v>6</v>
      </c>
      <c r="E3980" s="3">
        <v>62.822699999999998</v>
      </c>
      <c r="F3980">
        <f t="shared" si="63"/>
        <v>376.93619999999999</v>
      </c>
    </row>
    <row r="3981" spans="1:6" x14ac:dyDescent="0.2">
      <c r="A3981">
        <v>843</v>
      </c>
      <c r="B3981" s="3" t="s">
        <v>164</v>
      </c>
      <c r="C3981" s="3" t="s">
        <v>165</v>
      </c>
      <c r="D3981" s="3">
        <v>6</v>
      </c>
      <c r="E3981" s="3">
        <v>29.382000000000001</v>
      </c>
      <c r="F3981">
        <f t="shared" si="63"/>
        <v>176.292</v>
      </c>
    </row>
    <row r="3982" spans="1:6" x14ac:dyDescent="0.2">
      <c r="A3982">
        <v>843</v>
      </c>
      <c r="B3982" s="3" t="s">
        <v>166</v>
      </c>
      <c r="C3982" s="3" t="s">
        <v>76</v>
      </c>
      <c r="D3982" s="3">
        <v>1</v>
      </c>
      <c r="E3982" s="3">
        <v>0.97109999999999996</v>
      </c>
      <c r="F3982">
        <f t="shared" si="63"/>
        <v>0.97109999999999996</v>
      </c>
    </row>
    <row r="3983" spans="1:6" x14ac:dyDescent="0.2">
      <c r="A3983">
        <v>843</v>
      </c>
      <c r="B3983" s="3" t="s">
        <v>167</v>
      </c>
      <c r="C3983" s="3" t="s">
        <v>168</v>
      </c>
      <c r="D3983" s="3">
        <v>3</v>
      </c>
      <c r="E3983" s="3">
        <v>68.201099999999997</v>
      </c>
      <c r="F3983">
        <f t="shared" si="63"/>
        <v>204.60329999999999</v>
      </c>
    </row>
    <row r="3984" spans="1:6" x14ac:dyDescent="0.2">
      <c r="A3984">
        <v>843</v>
      </c>
      <c r="B3984" s="3" t="s">
        <v>169</v>
      </c>
      <c r="C3984" s="3" t="s">
        <v>119</v>
      </c>
      <c r="D3984" s="3">
        <v>1</v>
      </c>
      <c r="E3984" s="3">
        <v>26.078600000000002</v>
      </c>
      <c r="F3984">
        <f t="shared" si="63"/>
        <v>26.078600000000002</v>
      </c>
    </row>
    <row r="3985" spans="1:6" x14ac:dyDescent="0.2">
      <c r="A3985">
        <v>843</v>
      </c>
      <c r="B3985" s="3" t="s">
        <v>170</v>
      </c>
      <c r="C3985" s="3" t="s">
        <v>171</v>
      </c>
      <c r="D3985" s="3">
        <v>1</v>
      </c>
      <c r="E3985" s="3">
        <v>15.438000000000001</v>
      </c>
      <c r="F3985">
        <f t="shared" si="63"/>
        <v>15.438000000000001</v>
      </c>
    </row>
    <row r="3986" spans="1:6" x14ac:dyDescent="0.2">
      <c r="A3986">
        <v>843</v>
      </c>
      <c r="B3986" s="3" t="s">
        <v>172</v>
      </c>
      <c r="C3986" s="3" t="s">
        <v>173</v>
      </c>
      <c r="D3986" s="3">
        <v>3</v>
      </c>
      <c r="E3986" s="3">
        <v>158.41380000000001</v>
      </c>
      <c r="F3986">
        <f t="shared" si="63"/>
        <v>475.2414</v>
      </c>
    </row>
    <row r="3987" spans="1:6" x14ac:dyDescent="0.2">
      <c r="A3987">
        <v>843</v>
      </c>
      <c r="B3987" s="3" t="s">
        <v>174</v>
      </c>
      <c r="C3987" s="3" t="s">
        <v>119</v>
      </c>
      <c r="D3987" s="3">
        <v>2</v>
      </c>
      <c r="E3987" s="3">
        <v>1.2616000000000001</v>
      </c>
      <c r="F3987">
        <f t="shared" si="63"/>
        <v>2.5232000000000001</v>
      </c>
    </row>
    <row r="3988" spans="1:6" x14ac:dyDescent="0.2">
      <c r="A3988">
        <v>843</v>
      </c>
      <c r="B3988" s="3" t="s">
        <v>175</v>
      </c>
      <c r="C3988" s="3" t="s">
        <v>176</v>
      </c>
      <c r="D3988" s="3">
        <v>1</v>
      </c>
      <c r="E3988" s="3">
        <v>194.7595</v>
      </c>
      <c r="F3988">
        <f t="shared" si="63"/>
        <v>194.7595</v>
      </c>
    </row>
    <row r="3989" spans="1:6" x14ac:dyDescent="0.2">
      <c r="A3989">
        <v>843</v>
      </c>
      <c r="B3989" s="3" t="s">
        <v>177</v>
      </c>
      <c r="C3989" s="3" t="s">
        <v>178</v>
      </c>
      <c r="D3989" s="3">
        <v>5</v>
      </c>
      <c r="E3989" s="3">
        <v>1660.624</v>
      </c>
      <c r="F3989">
        <f t="shared" si="63"/>
        <v>8303.1200000000008</v>
      </c>
    </row>
    <row r="3990" spans="1:6" x14ac:dyDescent="0.2">
      <c r="A3990">
        <v>843</v>
      </c>
      <c r="B3990" s="3" t="s">
        <v>179</v>
      </c>
      <c r="C3990" s="3" t="s">
        <v>119</v>
      </c>
      <c r="D3990" s="3">
        <v>1</v>
      </c>
      <c r="E3990" s="3">
        <v>32.444699999999997</v>
      </c>
      <c r="F3990">
        <f t="shared" si="63"/>
        <v>32.444699999999997</v>
      </c>
    </row>
    <row r="3991" spans="1:6" x14ac:dyDescent="0.2">
      <c r="A3991">
        <v>843</v>
      </c>
      <c r="B3991" s="3" t="s">
        <v>180</v>
      </c>
      <c r="C3991" s="3" t="s">
        <v>181</v>
      </c>
      <c r="D3991" s="3">
        <v>1</v>
      </c>
      <c r="E3991" s="3">
        <v>64.117500000000007</v>
      </c>
      <c r="F3991">
        <f t="shared" si="63"/>
        <v>64.117500000000007</v>
      </c>
    </row>
    <row r="3992" spans="1:6" x14ac:dyDescent="0.2">
      <c r="A3992">
        <v>843</v>
      </c>
      <c r="B3992" s="3" t="s">
        <v>182</v>
      </c>
      <c r="C3992" s="3" t="s">
        <v>158</v>
      </c>
      <c r="D3992" s="3">
        <v>1</v>
      </c>
      <c r="E3992" s="3">
        <v>80.78819</v>
      </c>
      <c r="F3992">
        <f t="shared" si="63"/>
        <v>80.78819</v>
      </c>
    </row>
    <row r="3993" spans="1:6" x14ac:dyDescent="0.2">
      <c r="A3993">
        <v>843</v>
      </c>
      <c r="B3993" s="3" t="s">
        <v>183</v>
      </c>
      <c r="C3993" s="3" t="s">
        <v>184</v>
      </c>
      <c r="D3993" s="3">
        <v>5</v>
      </c>
      <c r="E3993" s="3">
        <v>548.61540000000002</v>
      </c>
      <c r="F3993">
        <f t="shared" si="63"/>
        <v>2743.0770000000002</v>
      </c>
    </row>
    <row r="3994" spans="1:6" x14ac:dyDescent="0.2">
      <c r="A3994">
        <v>843</v>
      </c>
      <c r="B3994" s="3" t="s">
        <v>185</v>
      </c>
      <c r="C3994" s="3" t="s">
        <v>186</v>
      </c>
      <c r="D3994" s="3">
        <v>5</v>
      </c>
      <c r="E3994" s="3">
        <v>278.05</v>
      </c>
      <c r="F3994">
        <f t="shared" si="63"/>
        <v>1390.25</v>
      </c>
    </row>
    <row r="3995" spans="1:6" x14ac:dyDescent="0.2">
      <c r="A3995">
        <v>843</v>
      </c>
      <c r="B3995" s="3" t="s">
        <v>187</v>
      </c>
      <c r="C3995" s="3" t="s">
        <v>188</v>
      </c>
      <c r="D3995" s="3">
        <v>1</v>
      </c>
      <c r="E3995" s="3">
        <v>105.0365</v>
      </c>
      <c r="F3995">
        <f t="shared" si="63"/>
        <v>105.0365</v>
      </c>
    </row>
    <row r="3996" spans="1:6" x14ac:dyDescent="0.2">
      <c r="A3996">
        <v>843</v>
      </c>
      <c r="B3996" s="3" t="s">
        <v>189</v>
      </c>
      <c r="C3996" s="3" t="s">
        <v>163</v>
      </c>
      <c r="D3996" s="3">
        <v>1</v>
      </c>
      <c r="E3996" s="3">
        <v>154.25970000000001</v>
      </c>
      <c r="F3996">
        <f t="shared" si="63"/>
        <v>154.25970000000001</v>
      </c>
    </row>
    <row r="3997" spans="1:6" x14ac:dyDescent="0.2">
      <c r="A3997">
        <v>843</v>
      </c>
      <c r="B3997" s="3" t="s">
        <v>190</v>
      </c>
      <c r="C3997" s="3" t="s">
        <v>191</v>
      </c>
      <c r="D3997" s="3">
        <v>4</v>
      </c>
      <c r="E3997" s="3">
        <v>1397.886</v>
      </c>
      <c r="F3997">
        <f t="shared" si="63"/>
        <v>5591.5439999999999</v>
      </c>
    </row>
    <row r="3998" spans="1:6" x14ac:dyDescent="0.2">
      <c r="A3998">
        <v>843</v>
      </c>
      <c r="B3998" s="3" t="s">
        <v>192</v>
      </c>
      <c r="C3998" s="3" t="s">
        <v>193</v>
      </c>
      <c r="D3998" s="3">
        <v>3</v>
      </c>
      <c r="E3998" s="3">
        <v>843.03639999999996</v>
      </c>
      <c r="F3998">
        <f t="shared" si="63"/>
        <v>2529.1091999999999</v>
      </c>
    </row>
    <row r="3999" spans="1:6" x14ac:dyDescent="0.2">
      <c r="A3999">
        <v>843</v>
      </c>
      <c r="B3999" s="3" t="s">
        <v>194</v>
      </c>
      <c r="C3999" s="3" t="s">
        <v>193</v>
      </c>
      <c r="D3999" s="3">
        <v>1</v>
      </c>
      <c r="E3999" s="3">
        <v>868.20489999999995</v>
      </c>
      <c r="F3999">
        <f t="shared" si="63"/>
        <v>868.20489999999995</v>
      </c>
    </row>
    <row r="4000" spans="1:6" x14ac:dyDescent="0.2">
      <c r="A4000">
        <v>843</v>
      </c>
      <c r="B4000" s="3" t="s">
        <v>195</v>
      </c>
      <c r="C4000" s="3" t="s">
        <v>117</v>
      </c>
      <c r="D4000" s="3">
        <v>3</v>
      </c>
      <c r="E4000" s="3">
        <v>1.0375000000000001</v>
      </c>
      <c r="F4000">
        <f t="shared" si="63"/>
        <v>3.1125000000000003</v>
      </c>
    </row>
    <row r="4001" spans="1:6" x14ac:dyDescent="0.2">
      <c r="A4001">
        <v>843</v>
      </c>
      <c r="B4001" s="3" t="s">
        <v>135</v>
      </c>
      <c r="C4001" s="3" t="s">
        <v>136</v>
      </c>
      <c r="D4001" s="3">
        <v>2</v>
      </c>
      <c r="E4001" s="3">
        <v>395.04689999999999</v>
      </c>
      <c r="F4001">
        <f t="shared" si="63"/>
        <v>790.09379999999999</v>
      </c>
    </row>
    <row r="4002" spans="1:6" x14ac:dyDescent="0.2">
      <c r="A4002">
        <v>843</v>
      </c>
      <c r="B4002" s="3" t="s">
        <v>137</v>
      </c>
      <c r="C4002" s="3" t="s">
        <v>138</v>
      </c>
      <c r="D4002" s="3">
        <v>4</v>
      </c>
      <c r="E4002" s="3">
        <v>252.98429999999999</v>
      </c>
      <c r="F4002">
        <f t="shared" si="63"/>
        <v>1011.9372</v>
      </c>
    </row>
    <row r="4003" spans="1:6" x14ac:dyDescent="0.2">
      <c r="A4003">
        <v>843</v>
      </c>
      <c r="B4003" s="3" t="s">
        <v>139</v>
      </c>
      <c r="C4003" s="3" t="s">
        <v>140</v>
      </c>
      <c r="D4003" s="3">
        <v>1</v>
      </c>
      <c r="E4003" s="3">
        <v>2054.4580000000001</v>
      </c>
      <c r="F4003">
        <f t="shared" si="63"/>
        <v>2054.4580000000001</v>
      </c>
    </row>
    <row r="4004" spans="1:6" x14ac:dyDescent="0.2">
      <c r="A4004">
        <v>843</v>
      </c>
      <c r="B4004" s="3" t="s">
        <v>116</v>
      </c>
      <c r="C4004" s="3" t="s">
        <v>117</v>
      </c>
      <c r="D4004" s="3">
        <v>118</v>
      </c>
      <c r="E4004" s="3">
        <v>0.25729999999999997</v>
      </c>
      <c r="F4004">
        <f t="shared" si="63"/>
        <v>30.361399999999996</v>
      </c>
    </row>
    <row r="4005" spans="1:6" x14ac:dyDescent="0.2">
      <c r="A4005">
        <v>843</v>
      </c>
      <c r="B4005" s="3" t="s">
        <v>118</v>
      </c>
      <c r="C4005" s="3" t="s">
        <v>119</v>
      </c>
      <c r="D4005" s="3">
        <v>1</v>
      </c>
      <c r="E4005" s="3">
        <v>0.83</v>
      </c>
      <c r="F4005">
        <f t="shared" si="63"/>
        <v>0.83</v>
      </c>
    </row>
    <row r="4006" spans="1:6" x14ac:dyDescent="0.2">
      <c r="A4006">
        <v>843</v>
      </c>
      <c r="B4006" s="3" t="s">
        <v>120</v>
      </c>
      <c r="C4006" s="3" t="s">
        <v>117</v>
      </c>
      <c r="D4006" s="3">
        <v>1</v>
      </c>
      <c r="E4006" s="3">
        <v>1.5604</v>
      </c>
      <c r="F4006">
        <f t="shared" si="63"/>
        <v>1.5604</v>
      </c>
    </row>
    <row r="4007" spans="1:6" x14ac:dyDescent="0.2">
      <c r="A4007">
        <v>843</v>
      </c>
      <c r="B4007" s="3" t="s">
        <v>121</v>
      </c>
      <c r="C4007" s="3" t="s">
        <v>117</v>
      </c>
      <c r="D4007" s="3">
        <v>3</v>
      </c>
      <c r="E4007" s="3">
        <v>270.83730000000003</v>
      </c>
      <c r="F4007">
        <f t="shared" si="63"/>
        <v>812.51190000000008</v>
      </c>
    </row>
    <row r="4008" spans="1:6" x14ac:dyDescent="0.2">
      <c r="A4008">
        <v>843</v>
      </c>
      <c r="B4008" s="3" t="s">
        <v>122</v>
      </c>
      <c r="C4008" s="3" t="s">
        <v>76</v>
      </c>
      <c r="D4008" s="3">
        <v>1</v>
      </c>
      <c r="E4008" s="3">
        <v>14.915100000000001</v>
      </c>
      <c r="F4008">
        <f t="shared" si="63"/>
        <v>14.915100000000001</v>
      </c>
    </row>
    <row r="4009" spans="1:6" x14ac:dyDescent="0.2">
      <c r="A4009">
        <v>843</v>
      </c>
      <c r="B4009" s="3" t="s">
        <v>123</v>
      </c>
      <c r="C4009" s="3" t="s">
        <v>119</v>
      </c>
      <c r="D4009" s="3">
        <v>2</v>
      </c>
      <c r="E4009" s="3">
        <v>122.52460000000001</v>
      </c>
      <c r="F4009">
        <f t="shared" ref="F4009:F4072" si="64">D4009*E4009</f>
        <v>245.04920000000001</v>
      </c>
    </row>
    <row r="4010" spans="1:6" x14ac:dyDescent="0.2">
      <c r="A4010">
        <v>843</v>
      </c>
      <c r="B4010" s="3" t="s">
        <v>124</v>
      </c>
      <c r="C4010" s="3" t="s">
        <v>119</v>
      </c>
      <c r="D4010" s="3">
        <v>3</v>
      </c>
      <c r="E4010" s="3">
        <v>65.877099999999999</v>
      </c>
      <c r="F4010">
        <f t="shared" si="64"/>
        <v>197.63130000000001</v>
      </c>
    </row>
    <row r="4011" spans="1:6" x14ac:dyDescent="0.2">
      <c r="A4011">
        <v>843</v>
      </c>
      <c r="B4011" s="3" t="s">
        <v>125</v>
      </c>
      <c r="C4011" s="3" t="s">
        <v>117</v>
      </c>
      <c r="D4011" s="3">
        <v>6</v>
      </c>
      <c r="E4011" s="3">
        <v>45.957099999999997</v>
      </c>
      <c r="F4011">
        <f t="shared" si="64"/>
        <v>275.74259999999998</v>
      </c>
    </row>
    <row r="4012" spans="1:6" x14ac:dyDescent="0.2">
      <c r="A4012">
        <v>843</v>
      </c>
      <c r="B4012" s="3" t="s">
        <v>126</v>
      </c>
      <c r="C4012" s="3" t="s">
        <v>127</v>
      </c>
      <c r="D4012" s="3">
        <v>6</v>
      </c>
      <c r="E4012" s="3">
        <v>411.49740000000003</v>
      </c>
      <c r="F4012">
        <f t="shared" si="64"/>
        <v>2468.9844000000003</v>
      </c>
    </row>
    <row r="4013" spans="1:6" x14ac:dyDescent="0.2">
      <c r="A4013">
        <v>843</v>
      </c>
      <c r="B4013" s="3" t="s">
        <v>129</v>
      </c>
      <c r="C4013" s="3" t="s">
        <v>130</v>
      </c>
      <c r="D4013" s="3">
        <v>1</v>
      </c>
      <c r="E4013" s="3">
        <v>6724.2780000000002</v>
      </c>
      <c r="F4013">
        <f t="shared" si="64"/>
        <v>6724.2780000000002</v>
      </c>
    </row>
    <row r="4014" spans="1:6" x14ac:dyDescent="0.2">
      <c r="A4014">
        <v>843</v>
      </c>
      <c r="B4014" s="3">
        <v>4656354</v>
      </c>
      <c r="C4014" s="3" t="s">
        <v>133</v>
      </c>
      <c r="D4014" s="3">
        <v>3</v>
      </c>
      <c r="E4014" s="3">
        <v>1168.0260000000001</v>
      </c>
      <c r="F4014">
        <f t="shared" si="64"/>
        <v>3504.0780000000004</v>
      </c>
    </row>
    <row r="4015" spans="1:6" x14ac:dyDescent="0.2">
      <c r="A4015">
        <v>843</v>
      </c>
      <c r="B4015" s="3" t="s">
        <v>110</v>
      </c>
      <c r="C4015" s="3" t="s">
        <v>111</v>
      </c>
      <c r="D4015" s="3">
        <v>1</v>
      </c>
      <c r="E4015" s="3">
        <v>119.83540000000001</v>
      </c>
      <c r="F4015">
        <f t="shared" si="64"/>
        <v>119.83540000000001</v>
      </c>
    </row>
    <row r="4016" spans="1:6" x14ac:dyDescent="0.2">
      <c r="A4016">
        <v>843</v>
      </c>
      <c r="B4016" s="3" t="s">
        <v>112</v>
      </c>
      <c r="C4016" s="3" t="s">
        <v>113</v>
      </c>
      <c r="D4016" s="3">
        <v>1</v>
      </c>
      <c r="E4016" s="3">
        <v>97.646150000000006</v>
      </c>
      <c r="F4016">
        <f t="shared" si="64"/>
        <v>97.646150000000006</v>
      </c>
    </row>
    <row r="4017" spans="1:6" x14ac:dyDescent="0.2">
      <c r="A4017">
        <v>843</v>
      </c>
      <c r="B4017" s="3" t="s">
        <v>110</v>
      </c>
      <c r="C4017" s="3" t="s">
        <v>111</v>
      </c>
      <c r="D4017" s="3">
        <v>3</v>
      </c>
      <c r="E4017" s="3">
        <v>119.83540000000001</v>
      </c>
      <c r="F4017">
        <f t="shared" si="64"/>
        <v>359.50620000000004</v>
      </c>
    </row>
    <row r="4018" spans="1:6" x14ac:dyDescent="0.2">
      <c r="A4018">
        <v>843</v>
      </c>
      <c r="B4018" s="3" t="s">
        <v>112</v>
      </c>
      <c r="C4018" s="3" t="s">
        <v>113</v>
      </c>
      <c r="D4018" s="3">
        <v>2</v>
      </c>
      <c r="E4018" s="3">
        <v>97.646150000000006</v>
      </c>
      <c r="F4018">
        <f t="shared" si="64"/>
        <v>195.29230000000001</v>
      </c>
    </row>
    <row r="4019" spans="1:6" x14ac:dyDescent="0.2">
      <c r="A4019">
        <v>843</v>
      </c>
      <c r="B4019" s="3" t="s">
        <v>97</v>
      </c>
      <c r="C4019" s="3" t="s">
        <v>98</v>
      </c>
      <c r="D4019" s="3">
        <v>1</v>
      </c>
      <c r="E4019" s="3">
        <v>189.87909999999999</v>
      </c>
      <c r="F4019">
        <f t="shared" si="64"/>
        <v>189.87909999999999</v>
      </c>
    </row>
    <row r="4020" spans="1:6" x14ac:dyDescent="0.2">
      <c r="A4020">
        <v>843</v>
      </c>
      <c r="B4020" s="3" t="s">
        <v>99</v>
      </c>
      <c r="C4020" s="3" t="s">
        <v>100</v>
      </c>
      <c r="D4020" s="3">
        <v>5</v>
      </c>
      <c r="E4020" s="3">
        <v>1287.1379999999999</v>
      </c>
      <c r="F4020">
        <f t="shared" si="64"/>
        <v>6435.69</v>
      </c>
    </row>
    <row r="4021" spans="1:6" x14ac:dyDescent="0.2">
      <c r="A4021">
        <v>843</v>
      </c>
      <c r="B4021" s="3" t="s">
        <v>101</v>
      </c>
      <c r="C4021" s="3" t="s">
        <v>102</v>
      </c>
      <c r="D4021" s="3">
        <v>1</v>
      </c>
      <c r="E4021" s="3">
        <v>1363.037</v>
      </c>
      <c r="F4021">
        <f t="shared" si="64"/>
        <v>1363.037</v>
      </c>
    </row>
    <row r="4022" spans="1:6" x14ac:dyDescent="0.2">
      <c r="A4022">
        <v>843</v>
      </c>
      <c r="B4022" s="3" t="s">
        <v>103</v>
      </c>
      <c r="C4022" s="3" t="s">
        <v>104</v>
      </c>
      <c r="D4022" s="3">
        <v>1</v>
      </c>
      <c r="E4022" s="3">
        <v>423.5822</v>
      </c>
      <c r="F4022">
        <f t="shared" si="64"/>
        <v>423.5822</v>
      </c>
    </row>
    <row r="4023" spans="1:6" x14ac:dyDescent="0.2">
      <c r="A4023">
        <v>843</v>
      </c>
      <c r="B4023" s="3" t="s">
        <v>105</v>
      </c>
      <c r="C4023" s="3" t="s">
        <v>106</v>
      </c>
      <c r="D4023" s="3">
        <v>1</v>
      </c>
      <c r="E4023" s="3">
        <v>36.470199999999998</v>
      </c>
      <c r="F4023">
        <f t="shared" si="64"/>
        <v>36.470199999999998</v>
      </c>
    </row>
    <row r="4024" spans="1:6" x14ac:dyDescent="0.2">
      <c r="A4024">
        <v>843</v>
      </c>
      <c r="B4024" s="3" t="s">
        <v>107</v>
      </c>
      <c r="C4024" s="3" t="s">
        <v>108</v>
      </c>
      <c r="D4024" s="3">
        <v>5</v>
      </c>
      <c r="E4024" s="3">
        <v>61.492310000000003</v>
      </c>
      <c r="F4024">
        <f t="shared" si="64"/>
        <v>307.46154999999999</v>
      </c>
    </row>
    <row r="4025" spans="1:6" x14ac:dyDescent="0.2">
      <c r="A4025">
        <v>843</v>
      </c>
      <c r="B4025" s="3" t="s">
        <v>62</v>
      </c>
      <c r="C4025" s="3" t="s">
        <v>323</v>
      </c>
      <c r="D4025" s="3">
        <v>5</v>
      </c>
      <c r="E4025" s="3">
        <v>0.34860000000000002</v>
      </c>
      <c r="F4025">
        <f t="shared" si="64"/>
        <v>1.7430000000000001</v>
      </c>
    </row>
    <row r="4026" spans="1:6" x14ac:dyDescent="0.2">
      <c r="A4026">
        <v>843</v>
      </c>
      <c r="B4026" s="3" t="s">
        <v>324</v>
      </c>
      <c r="C4026" s="3" t="s">
        <v>273</v>
      </c>
      <c r="D4026" s="3">
        <v>1</v>
      </c>
      <c r="E4026" s="3">
        <v>0.95450000000000002</v>
      </c>
      <c r="F4026">
        <f t="shared" si="64"/>
        <v>0.95450000000000002</v>
      </c>
    </row>
    <row r="4027" spans="1:6" x14ac:dyDescent="0.2">
      <c r="A4027">
        <v>843</v>
      </c>
      <c r="B4027" s="3" t="s">
        <v>325</v>
      </c>
      <c r="C4027" s="3" t="s">
        <v>273</v>
      </c>
      <c r="D4027" s="3">
        <v>1</v>
      </c>
      <c r="E4027" s="3">
        <v>3.3692310000000001</v>
      </c>
      <c r="F4027">
        <f t="shared" si="64"/>
        <v>3.3692310000000001</v>
      </c>
    </row>
    <row r="4028" spans="1:6" x14ac:dyDescent="0.2">
      <c r="A4028">
        <v>843</v>
      </c>
      <c r="B4028" s="3" t="s">
        <v>154</v>
      </c>
      <c r="C4028" s="3" t="s">
        <v>278</v>
      </c>
      <c r="D4028" s="3">
        <v>4</v>
      </c>
      <c r="E4028" s="3">
        <v>4.3658000000000001</v>
      </c>
      <c r="F4028">
        <f t="shared" si="64"/>
        <v>17.463200000000001</v>
      </c>
    </row>
    <row r="4029" spans="1:6" x14ac:dyDescent="0.2">
      <c r="A4029">
        <v>843</v>
      </c>
      <c r="B4029" s="3" t="s">
        <v>290</v>
      </c>
      <c r="C4029" s="3" t="s">
        <v>278</v>
      </c>
      <c r="D4029" s="3">
        <v>3</v>
      </c>
      <c r="E4029" s="3">
        <v>43.751809999999999</v>
      </c>
      <c r="F4029">
        <f t="shared" si="64"/>
        <v>131.25542999999999</v>
      </c>
    </row>
    <row r="4030" spans="1:6" x14ac:dyDescent="0.2">
      <c r="A4030">
        <v>843</v>
      </c>
      <c r="B4030" s="3" t="s">
        <v>288</v>
      </c>
      <c r="C4030" s="3" t="s">
        <v>289</v>
      </c>
      <c r="D4030" s="3">
        <v>1</v>
      </c>
      <c r="E4030" s="3">
        <v>7.340122</v>
      </c>
      <c r="F4030">
        <f t="shared" si="64"/>
        <v>7.340122</v>
      </c>
    </row>
    <row r="4031" spans="1:6" x14ac:dyDescent="0.2">
      <c r="A4031">
        <v>843</v>
      </c>
      <c r="B4031" s="3" t="s">
        <v>287</v>
      </c>
      <c r="C4031" s="3" t="s">
        <v>273</v>
      </c>
      <c r="D4031" s="3">
        <v>3</v>
      </c>
      <c r="E4031" s="3">
        <v>100.669</v>
      </c>
      <c r="F4031">
        <f t="shared" si="64"/>
        <v>302.00700000000001</v>
      </c>
    </row>
    <row r="4032" spans="1:6" x14ac:dyDescent="0.2">
      <c r="A4032">
        <v>843</v>
      </c>
      <c r="B4032" s="3" t="s">
        <v>285</v>
      </c>
      <c r="C4032" s="3" t="s">
        <v>286</v>
      </c>
      <c r="D4032" s="3">
        <v>2</v>
      </c>
      <c r="E4032" s="3">
        <v>58.189990000000002</v>
      </c>
      <c r="F4032">
        <f t="shared" si="64"/>
        <v>116.37998</v>
      </c>
    </row>
    <row r="4033" spans="1:6" x14ac:dyDescent="0.2">
      <c r="A4033">
        <v>843</v>
      </c>
      <c r="B4033" s="3" t="s">
        <v>291</v>
      </c>
      <c r="C4033" s="3" t="s">
        <v>278</v>
      </c>
      <c r="D4033" s="3">
        <v>4</v>
      </c>
      <c r="E4033" s="3">
        <v>24.136399999999998</v>
      </c>
      <c r="F4033">
        <f t="shared" si="64"/>
        <v>96.545599999999993</v>
      </c>
    </row>
    <row r="4034" spans="1:6" x14ac:dyDescent="0.2">
      <c r="A4034">
        <v>843</v>
      </c>
      <c r="B4034" s="3" t="s">
        <v>277</v>
      </c>
      <c r="C4034" s="3" t="s">
        <v>278</v>
      </c>
      <c r="D4034" s="3">
        <v>1</v>
      </c>
      <c r="E4034" s="3">
        <v>41.026589999999999</v>
      </c>
      <c r="F4034">
        <f t="shared" si="64"/>
        <v>41.026589999999999</v>
      </c>
    </row>
    <row r="4035" spans="1:6" x14ac:dyDescent="0.2">
      <c r="A4035">
        <v>843</v>
      </c>
      <c r="B4035" s="3" t="s">
        <v>326</v>
      </c>
      <c r="C4035" s="3" t="s">
        <v>278</v>
      </c>
      <c r="D4035" s="3">
        <v>118</v>
      </c>
      <c r="E4035" s="3">
        <v>3.9745979999999999</v>
      </c>
      <c r="F4035">
        <f t="shared" si="64"/>
        <v>469.00256400000001</v>
      </c>
    </row>
    <row r="4036" spans="1:6" x14ac:dyDescent="0.2">
      <c r="A4036">
        <v>843</v>
      </c>
      <c r="B4036" s="3" t="s">
        <v>274</v>
      </c>
      <c r="C4036" s="3" t="s">
        <v>273</v>
      </c>
      <c r="D4036" s="3">
        <v>1</v>
      </c>
      <c r="E4036" s="3">
        <v>149.23089999999999</v>
      </c>
      <c r="F4036">
        <f t="shared" si="64"/>
        <v>149.23089999999999</v>
      </c>
    </row>
    <row r="4037" spans="1:6" x14ac:dyDescent="0.2">
      <c r="A4037">
        <v>843</v>
      </c>
      <c r="B4037" s="3" t="s">
        <v>327</v>
      </c>
      <c r="C4037" s="3" t="s">
        <v>309</v>
      </c>
      <c r="D4037" s="3">
        <v>1</v>
      </c>
      <c r="E4037" s="3">
        <v>1532.5239999999999</v>
      </c>
      <c r="F4037">
        <f t="shared" si="64"/>
        <v>1532.5239999999999</v>
      </c>
    </row>
    <row r="4038" spans="1:6" x14ac:dyDescent="0.2">
      <c r="A4038">
        <v>843</v>
      </c>
      <c r="B4038" s="3" t="s">
        <v>328</v>
      </c>
      <c r="C4038" s="3" t="s">
        <v>329</v>
      </c>
      <c r="D4038" s="3">
        <v>3</v>
      </c>
      <c r="E4038" s="3">
        <v>155.62309999999999</v>
      </c>
      <c r="F4038">
        <f t="shared" si="64"/>
        <v>466.86929999999995</v>
      </c>
    </row>
    <row r="4039" spans="1:6" x14ac:dyDescent="0.2">
      <c r="A4039">
        <v>843</v>
      </c>
      <c r="B4039" s="3" t="s">
        <v>330</v>
      </c>
      <c r="C4039" s="3" t="s">
        <v>331</v>
      </c>
      <c r="D4039" s="3">
        <v>1</v>
      </c>
      <c r="E4039" s="3">
        <v>710.44619999999998</v>
      </c>
      <c r="F4039">
        <f t="shared" si="64"/>
        <v>710.44619999999998</v>
      </c>
    </row>
    <row r="4040" spans="1:6" x14ac:dyDescent="0.2">
      <c r="A4040">
        <v>843</v>
      </c>
      <c r="B4040" s="3" t="s">
        <v>332</v>
      </c>
      <c r="C4040" s="3" t="s">
        <v>333</v>
      </c>
      <c r="D4040" s="3">
        <v>2</v>
      </c>
      <c r="E4040" s="3">
        <v>167.5538</v>
      </c>
      <c r="F4040">
        <f t="shared" si="64"/>
        <v>335.10759999999999</v>
      </c>
    </row>
    <row r="4041" spans="1:6" x14ac:dyDescent="0.2">
      <c r="A4041">
        <v>843</v>
      </c>
      <c r="B4041" s="3" t="s">
        <v>272</v>
      </c>
      <c r="C4041" s="3" t="s">
        <v>273</v>
      </c>
      <c r="D4041" s="3">
        <v>3</v>
      </c>
      <c r="E4041" s="3">
        <v>170.1112</v>
      </c>
      <c r="F4041">
        <f t="shared" si="64"/>
        <v>510.33359999999999</v>
      </c>
    </row>
    <row r="4042" spans="1:6" x14ac:dyDescent="0.2">
      <c r="A4042">
        <v>843</v>
      </c>
      <c r="B4042" s="3" t="s">
        <v>275</v>
      </c>
      <c r="C4042" s="3" t="s">
        <v>276</v>
      </c>
      <c r="D4042" s="3">
        <v>6</v>
      </c>
      <c r="E4042" s="3">
        <v>9.081448</v>
      </c>
      <c r="F4042">
        <f t="shared" si="64"/>
        <v>54.488687999999996</v>
      </c>
    </row>
    <row r="4043" spans="1:6" x14ac:dyDescent="0.2">
      <c r="A4043">
        <v>843</v>
      </c>
      <c r="B4043" s="3" t="s">
        <v>334</v>
      </c>
      <c r="C4043" s="3" t="s">
        <v>329</v>
      </c>
      <c r="D4043" s="3">
        <v>6</v>
      </c>
      <c r="E4043" s="3">
        <v>149.0308</v>
      </c>
      <c r="F4043">
        <f t="shared" si="64"/>
        <v>894.1848</v>
      </c>
    </row>
    <row r="4044" spans="1:6" x14ac:dyDescent="0.2">
      <c r="A4044">
        <v>843</v>
      </c>
      <c r="B4044" s="3" t="s">
        <v>335</v>
      </c>
      <c r="C4044" s="3" t="s">
        <v>331</v>
      </c>
      <c r="D4044" s="3">
        <v>1</v>
      </c>
      <c r="E4044" s="3">
        <v>703.1</v>
      </c>
      <c r="F4044">
        <f t="shared" si="64"/>
        <v>703.1</v>
      </c>
    </row>
    <row r="4045" spans="1:6" x14ac:dyDescent="0.2">
      <c r="A4045">
        <v>843</v>
      </c>
      <c r="B4045" s="3" t="s">
        <v>336</v>
      </c>
      <c r="C4045" s="3" t="s">
        <v>333</v>
      </c>
      <c r="D4045" s="3">
        <v>3</v>
      </c>
      <c r="E4045" s="3">
        <v>288.42309999999998</v>
      </c>
      <c r="F4045">
        <f t="shared" si="64"/>
        <v>865.26929999999993</v>
      </c>
    </row>
    <row r="4046" spans="1:6" x14ac:dyDescent="0.2">
      <c r="A4046">
        <v>843</v>
      </c>
      <c r="B4046" s="3" t="s">
        <v>337</v>
      </c>
      <c r="C4046" s="3" t="s">
        <v>297</v>
      </c>
      <c r="D4046" s="3">
        <v>1</v>
      </c>
      <c r="E4046" s="3">
        <v>11.761100000000001</v>
      </c>
      <c r="F4046">
        <f t="shared" si="64"/>
        <v>11.761100000000001</v>
      </c>
    </row>
    <row r="4047" spans="1:6" x14ac:dyDescent="0.2">
      <c r="A4047">
        <v>843</v>
      </c>
      <c r="B4047" s="3" t="s">
        <v>338</v>
      </c>
      <c r="C4047" s="3" t="s">
        <v>297</v>
      </c>
      <c r="D4047" s="3">
        <v>1</v>
      </c>
      <c r="E4047" s="3">
        <v>11.712960000000001</v>
      </c>
      <c r="F4047">
        <f t="shared" si="64"/>
        <v>11.712960000000001</v>
      </c>
    </row>
    <row r="4048" spans="1:6" x14ac:dyDescent="0.2">
      <c r="A4048">
        <v>843</v>
      </c>
      <c r="B4048" s="3" t="s">
        <v>339</v>
      </c>
      <c r="C4048" s="3" t="s">
        <v>297</v>
      </c>
      <c r="D4048" s="3">
        <v>3</v>
      </c>
      <c r="E4048" s="3">
        <v>20.279039999999998</v>
      </c>
      <c r="F4048">
        <f t="shared" si="64"/>
        <v>60.837119999999999</v>
      </c>
    </row>
    <row r="4049" spans="1:6" x14ac:dyDescent="0.2">
      <c r="A4049">
        <v>843</v>
      </c>
      <c r="B4049" s="3" t="s">
        <v>340</v>
      </c>
      <c r="C4049" s="3" t="s">
        <v>309</v>
      </c>
      <c r="D4049" s="3">
        <v>2</v>
      </c>
      <c r="E4049" s="3">
        <v>1536.3340000000001</v>
      </c>
      <c r="F4049">
        <f t="shared" si="64"/>
        <v>3072.6680000000001</v>
      </c>
    </row>
    <row r="4050" spans="1:6" x14ac:dyDescent="0.2">
      <c r="A4050">
        <v>843</v>
      </c>
      <c r="B4050" s="3" t="s">
        <v>341</v>
      </c>
      <c r="C4050" s="3" t="s">
        <v>342</v>
      </c>
      <c r="D4050" s="3">
        <v>1</v>
      </c>
      <c r="E4050" s="3">
        <v>307.22449999999998</v>
      </c>
      <c r="F4050">
        <f t="shared" si="64"/>
        <v>307.22449999999998</v>
      </c>
    </row>
    <row r="4051" spans="1:6" x14ac:dyDescent="0.2">
      <c r="A4051">
        <v>843</v>
      </c>
      <c r="B4051" s="3" t="s">
        <v>284</v>
      </c>
      <c r="C4051" s="3" t="s">
        <v>273</v>
      </c>
      <c r="D4051" s="3">
        <v>5</v>
      </c>
      <c r="E4051" s="3">
        <v>15.547000000000001</v>
      </c>
      <c r="F4051">
        <f t="shared" si="64"/>
        <v>77.734999999999999</v>
      </c>
    </row>
    <row r="4052" spans="1:6" x14ac:dyDescent="0.2">
      <c r="A4052">
        <v>843</v>
      </c>
      <c r="B4052" s="3" t="s">
        <v>283</v>
      </c>
      <c r="C4052" s="3" t="s">
        <v>278</v>
      </c>
      <c r="D4052" s="3">
        <v>1</v>
      </c>
      <c r="E4052" s="3">
        <v>101.76220000000001</v>
      </c>
      <c r="F4052">
        <f t="shared" si="64"/>
        <v>101.76220000000001</v>
      </c>
    </row>
    <row r="4053" spans="1:6" x14ac:dyDescent="0.2">
      <c r="A4053">
        <v>843</v>
      </c>
      <c r="B4053" s="3" t="s">
        <v>281</v>
      </c>
      <c r="C4053" s="3" t="s">
        <v>282</v>
      </c>
      <c r="D4053" s="3">
        <v>1</v>
      </c>
      <c r="E4053" s="3">
        <v>43.369190000000003</v>
      </c>
      <c r="F4053">
        <f t="shared" si="64"/>
        <v>43.369190000000003</v>
      </c>
    </row>
    <row r="4054" spans="1:6" x14ac:dyDescent="0.2">
      <c r="A4054">
        <v>843</v>
      </c>
      <c r="B4054" s="3" t="s">
        <v>279</v>
      </c>
      <c r="C4054" s="3" t="s">
        <v>280</v>
      </c>
      <c r="D4054" s="3">
        <v>1</v>
      </c>
      <c r="E4054" s="3">
        <v>36.786499999999997</v>
      </c>
      <c r="F4054">
        <f t="shared" si="64"/>
        <v>36.786499999999997</v>
      </c>
    </row>
    <row r="4055" spans="1:6" x14ac:dyDescent="0.2">
      <c r="A4055">
        <v>843</v>
      </c>
      <c r="B4055" s="3" t="s">
        <v>343</v>
      </c>
      <c r="C4055" s="3" t="s">
        <v>282</v>
      </c>
      <c r="D4055" s="3">
        <v>5</v>
      </c>
      <c r="E4055" s="3">
        <v>16.807500000000001</v>
      </c>
      <c r="F4055">
        <f t="shared" si="64"/>
        <v>84.037500000000009</v>
      </c>
    </row>
    <row r="4056" spans="1:6" x14ac:dyDescent="0.2">
      <c r="A4056">
        <v>843</v>
      </c>
      <c r="B4056" s="3" t="s">
        <v>344</v>
      </c>
      <c r="C4056" s="3" t="s">
        <v>282</v>
      </c>
      <c r="D4056" s="3">
        <v>5</v>
      </c>
      <c r="E4056" s="3">
        <v>12.76713</v>
      </c>
      <c r="F4056">
        <f t="shared" si="64"/>
        <v>63.835650000000001</v>
      </c>
    </row>
    <row r="4057" spans="1:6" x14ac:dyDescent="0.2">
      <c r="A4057">
        <v>843</v>
      </c>
      <c r="B4057" s="3" t="s">
        <v>270</v>
      </c>
      <c r="C4057" s="3" t="s">
        <v>271</v>
      </c>
      <c r="D4057" s="3">
        <v>1</v>
      </c>
      <c r="E4057" s="3">
        <v>3027.0970000000002</v>
      </c>
      <c r="F4057">
        <f t="shared" si="64"/>
        <v>3027.0970000000002</v>
      </c>
    </row>
    <row r="4058" spans="1:6" x14ac:dyDescent="0.2">
      <c r="A4058">
        <v>843</v>
      </c>
      <c r="B4058" s="3" t="s">
        <v>272</v>
      </c>
      <c r="C4058" s="3" t="s">
        <v>273</v>
      </c>
      <c r="D4058" s="3">
        <v>1</v>
      </c>
      <c r="E4058" s="3">
        <v>170.1112</v>
      </c>
      <c r="F4058">
        <f t="shared" si="64"/>
        <v>170.1112</v>
      </c>
    </row>
    <row r="4059" spans="1:6" x14ac:dyDescent="0.2">
      <c r="A4059">
        <v>843</v>
      </c>
      <c r="B4059" s="3" t="s">
        <v>274</v>
      </c>
      <c r="C4059" s="3" t="s">
        <v>273</v>
      </c>
      <c r="D4059" s="3">
        <v>4</v>
      </c>
      <c r="E4059" s="3">
        <v>149.23089999999999</v>
      </c>
      <c r="F4059">
        <f t="shared" si="64"/>
        <v>596.92359999999996</v>
      </c>
    </row>
    <row r="4060" spans="1:6" x14ac:dyDescent="0.2">
      <c r="A4060">
        <v>843</v>
      </c>
      <c r="B4060" s="3" t="s">
        <v>275</v>
      </c>
      <c r="C4060" s="3" t="s">
        <v>276</v>
      </c>
      <c r="D4060" s="3">
        <v>3</v>
      </c>
      <c r="E4060" s="3">
        <v>9.081448</v>
      </c>
      <c r="F4060">
        <f t="shared" si="64"/>
        <v>27.244343999999998</v>
      </c>
    </row>
    <row r="4061" spans="1:6" x14ac:dyDescent="0.2">
      <c r="A4061">
        <v>843</v>
      </c>
      <c r="B4061" s="3" t="s">
        <v>277</v>
      </c>
      <c r="C4061" s="3" t="s">
        <v>278</v>
      </c>
      <c r="D4061" s="3">
        <v>1</v>
      </c>
      <c r="E4061" s="3">
        <v>41.026589999999999</v>
      </c>
      <c r="F4061">
        <f t="shared" si="64"/>
        <v>41.026589999999999</v>
      </c>
    </row>
    <row r="4062" spans="1:6" x14ac:dyDescent="0.2">
      <c r="A4062">
        <v>843</v>
      </c>
      <c r="B4062" s="3" t="s">
        <v>279</v>
      </c>
      <c r="C4062" s="3" t="s">
        <v>280</v>
      </c>
      <c r="D4062" s="3">
        <v>3</v>
      </c>
      <c r="E4062" s="3">
        <v>36.786499999999997</v>
      </c>
      <c r="F4062">
        <f t="shared" si="64"/>
        <v>110.3595</v>
      </c>
    </row>
    <row r="4063" spans="1:6" x14ac:dyDescent="0.2">
      <c r="A4063">
        <v>843</v>
      </c>
      <c r="B4063" s="3" t="s">
        <v>281</v>
      </c>
      <c r="C4063" s="3" t="s">
        <v>282</v>
      </c>
      <c r="D4063" s="3">
        <v>2</v>
      </c>
      <c r="E4063" s="3">
        <v>43.369190000000003</v>
      </c>
      <c r="F4063">
        <f t="shared" si="64"/>
        <v>86.738380000000006</v>
      </c>
    </row>
    <row r="4064" spans="1:6" x14ac:dyDescent="0.2">
      <c r="A4064">
        <v>843</v>
      </c>
      <c r="B4064" s="3" t="s">
        <v>283</v>
      </c>
      <c r="C4064" s="3" t="s">
        <v>278</v>
      </c>
      <c r="D4064" s="3">
        <v>4</v>
      </c>
      <c r="E4064" s="3">
        <v>101.76220000000001</v>
      </c>
      <c r="F4064">
        <f t="shared" si="64"/>
        <v>407.04880000000003</v>
      </c>
    </row>
    <row r="4065" spans="1:6" x14ac:dyDescent="0.2">
      <c r="A4065">
        <v>843</v>
      </c>
      <c r="B4065" s="3" t="s">
        <v>284</v>
      </c>
      <c r="C4065" s="3" t="s">
        <v>273</v>
      </c>
      <c r="D4065" s="3">
        <v>1</v>
      </c>
      <c r="E4065" s="3">
        <v>15.547000000000001</v>
      </c>
      <c r="F4065">
        <f t="shared" si="64"/>
        <v>15.547000000000001</v>
      </c>
    </row>
    <row r="4066" spans="1:6" x14ac:dyDescent="0.2">
      <c r="A4066">
        <v>843</v>
      </c>
      <c r="B4066" s="3" t="s">
        <v>285</v>
      </c>
      <c r="C4066" s="3" t="s">
        <v>286</v>
      </c>
      <c r="D4066" s="3">
        <v>118</v>
      </c>
      <c r="E4066" s="3">
        <v>58.189990000000002</v>
      </c>
      <c r="F4066">
        <f t="shared" si="64"/>
        <v>6866.4188199999999</v>
      </c>
    </row>
    <row r="4067" spans="1:6" x14ac:dyDescent="0.2">
      <c r="A4067">
        <v>843</v>
      </c>
      <c r="B4067" s="3" t="s">
        <v>287</v>
      </c>
      <c r="C4067" s="3" t="s">
        <v>273</v>
      </c>
      <c r="D4067" s="3">
        <v>1</v>
      </c>
      <c r="E4067" s="3">
        <v>100.669</v>
      </c>
      <c r="F4067">
        <f t="shared" si="64"/>
        <v>100.669</v>
      </c>
    </row>
    <row r="4068" spans="1:6" x14ac:dyDescent="0.2">
      <c r="A4068">
        <v>843</v>
      </c>
      <c r="B4068" s="3" t="s">
        <v>288</v>
      </c>
      <c r="C4068" s="3" t="s">
        <v>289</v>
      </c>
      <c r="D4068" s="3">
        <v>1</v>
      </c>
      <c r="E4068" s="3">
        <v>7.340122</v>
      </c>
      <c r="F4068">
        <f t="shared" si="64"/>
        <v>7.340122</v>
      </c>
    </row>
    <row r="4069" spans="1:6" x14ac:dyDescent="0.2">
      <c r="A4069">
        <v>843</v>
      </c>
      <c r="B4069" s="3" t="s">
        <v>290</v>
      </c>
      <c r="C4069" s="3" t="s">
        <v>278</v>
      </c>
      <c r="D4069" s="3">
        <v>3</v>
      </c>
      <c r="E4069" s="3">
        <v>43.751809999999999</v>
      </c>
      <c r="F4069">
        <f t="shared" si="64"/>
        <v>131.25542999999999</v>
      </c>
    </row>
    <row r="4070" spans="1:6" x14ac:dyDescent="0.2">
      <c r="A4070">
        <v>843</v>
      </c>
      <c r="B4070" s="3" t="s">
        <v>277</v>
      </c>
      <c r="C4070" s="3" t="s">
        <v>278</v>
      </c>
      <c r="D4070" s="3">
        <v>1</v>
      </c>
      <c r="E4070" s="3">
        <v>41.026589999999999</v>
      </c>
      <c r="F4070">
        <f t="shared" si="64"/>
        <v>41.026589999999999</v>
      </c>
    </row>
    <row r="4071" spans="1:6" x14ac:dyDescent="0.2">
      <c r="A4071">
        <v>843</v>
      </c>
      <c r="B4071" s="3" t="s">
        <v>291</v>
      </c>
      <c r="C4071" s="3" t="s">
        <v>278</v>
      </c>
      <c r="D4071" s="3">
        <v>2</v>
      </c>
      <c r="E4071" s="3">
        <v>24.136399999999998</v>
      </c>
      <c r="F4071">
        <f t="shared" si="64"/>
        <v>48.272799999999997</v>
      </c>
    </row>
    <row r="4072" spans="1:6" x14ac:dyDescent="0.2">
      <c r="A4072">
        <v>843</v>
      </c>
      <c r="B4072" s="3" t="s">
        <v>292</v>
      </c>
      <c r="C4072" s="3" t="s">
        <v>293</v>
      </c>
      <c r="D4072" s="3">
        <v>3</v>
      </c>
      <c r="E4072" s="3">
        <v>96.852699999999999</v>
      </c>
      <c r="F4072">
        <f t="shared" si="64"/>
        <v>290.55809999999997</v>
      </c>
    </row>
    <row r="4073" spans="1:6" x14ac:dyDescent="0.2">
      <c r="A4073">
        <v>843</v>
      </c>
      <c r="B4073" s="3" t="s">
        <v>294</v>
      </c>
      <c r="C4073" s="3" t="s">
        <v>278</v>
      </c>
      <c r="D4073" s="3">
        <v>6</v>
      </c>
      <c r="E4073" s="3">
        <v>26.221409999999999</v>
      </c>
      <c r="F4073">
        <f t="shared" ref="F4073:F4136" si="65">D4073*E4073</f>
        <v>157.32846000000001</v>
      </c>
    </row>
    <row r="4074" spans="1:6" x14ac:dyDescent="0.2">
      <c r="A4074">
        <v>843</v>
      </c>
      <c r="B4074" s="3" t="s">
        <v>295</v>
      </c>
      <c r="C4074" s="3" t="s">
        <v>273</v>
      </c>
      <c r="D4074" s="3">
        <v>6</v>
      </c>
      <c r="E4074" s="3">
        <v>54.88693</v>
      </c>
      <c r="F4074">
        <f t="shared" si="65"/>
        <v>329.32157999999998</v>
      </c>
    </row>
    <row r="4075" spans="1:6" x14ac:dyDescent="0.2">
      <c r="A4075">
        <v>843</v>
      </c>
      <c r="B4075" s="3" t="s">
        <v>296</v>
      </c>
      <c r="C4075" s="3" t="s">
        <v>297</v>
      </c>
      <c r="D4075" s="3">
        <v>1</v>
      </c>
      <c r="E4075" s="3">
        <v>5.5029000000000003</v>
      </c>
      <c r="F4075">
        <f t="shared" si="65"/>
        <v>5.5029000000000003</v>
      </c>
    </row>
    <row r="4076" spans="1:6" x14ac:dyDescent="0.2">
      <c r="A4076">
        <v>843</v>
      </c>
      <c r="B4076" s="3" t="s">
        <v>298</v>
      </c>
      <c r="C4076" s="3" t="s">
        <v>297</v>
      </c>
      <c r="D4076" s="3">
        <v>3</v>
      </c>
      <c r="E4076" s="3">
        <v>5.9344999999999999</v>
      </c>
      <c r="F4076">
        <f t="shared" si="65"/>
        <v>17.8035</v>
      </c>
    </row>
    <row r="4077" spans="1:6" x14ac:dyDescent="0.2">
      <c r="A4077">
        <v>843</v>
      </c>
      <c r="B4077" s="3" t="s">
        <v>299</v>
      </c>
      <c r="C4077" s="3" t="s">
        <v>297</v>
      </c>
      <c r="D4077" s="3">
        <v>1</v>
      </c>
      <c r="E4077" s="3">
        <v>4.3574999999999999</v>
      </c>
      <c r="F4077">
        <f t="shared" si="65"/>
        <v>4.3574999999999999</v>
      </c>
    </row>
    <row r="4078" spans="1:6" x14ac:dyDescent="0.2">
      <c r="A4078">
        <v>843</v>
      </c>
      <c r="B4078" s="3" t="s">
        <v>122</v>
      </c>
      <c r="C4078" s="3" t="s">
        <v>276</v>
      </c>
      <c r="D4078" s="3">
        <v>1</v>
      </c>
      <c r="E4078" s="3">
        <v>14.915100000000001</v>
      </c>
      <c r="F4078">
        <f t="shared" si="65"/>
        <v>14.915100000000001</v>
      </c>
    </row>
    <row r="4079" spans="1:6" x14ac:dyDescent="0.2">
      <c r="A4079">
        <v>843</v>
      </c>
      <c r="B4079" s="3" t="s">
        <v>120</v>
      </c>
      <c r="C4079" s="3" t="s">
        <v>278</v>
      </c>
      <c r="D4079" s="3">
        <v>3</v>
      </c>
      <c r="E4079" s="3">
        <v>1.5604</v>
      </c>
      <c r="F4079">
        <f t="shared" si="65"/>
        <v>4.6812000000000005</v>
      </c>
    </row>
    <row r="4080" spans="1:6" x14ac:dyDescent="0.2">
      <c r="A4080">
        <v>843</v>
      </c>
      <c r="B4080" s="3" t="s">
        <v>300</v>
      </c>
      <c r="C4080" s="3" t="s">
        <v>273</v>
      </c>
      <c r="D4080" s="3">
        <v>2</v>
      </c>
      <c r="E4080" s="3">
        <v>60.59</v>
      </c>
      <c r="F4080">
        <f t="shared" si="65"/>
        <v>121.18</v>
      </c>
    </row>
    <row r="4081" spans="1:6" x14ac:dyDescent="0.2">
      <c r="A4081">
        <v>843</v>
      </c>
      <c r="B4081" s="3" t="s">
        <v>301</v>
      </c>
      <c r="C4081" s="3" t="s">
        <v>302</v>
      </c>
      <c r="D4081" s="3">
        <v>1</v>
      </c>
      <c r="E4081" s="3">
        <v>104.8857</v>
      </c>
      <c r="F4081">
        <f t="shared" si="65"/>
        <v>104.8857</v>
      </c>
    </row>
    <row r="4082" spans="1:6" x14ac:dyDescent="0.2">
      <c r="A4082">
        <v>843</v>
      </c>
      <c r="B4082" s="3" t="s">
        <v>303</v>
      </c>
      <c r="C4082" s="3" t="s">
        <v>304</v>
      </c>
      <c r="D4082" s="3">
        <v>5</v>
      </c>
      <c r="E4082" s="3">
        <v>683.94489999999996</v>
      </c>
      <c r="F4082">
        <f t="shared" si="65"/>
        <v>3419.7244999999998</v>
      </c>
    </row>
    <row r="4083" spans="1:6" x14ac:dyDescent="0.2">
      <c r="A4083">
        <v>843</v>
      </c>
      <c r="B4083" s="3" t="s">
        <v>305</v>
      </c>
      <c r="C4083" s="3" t="s">
        <v>273</v>
      </c>
      <c r="D4083" s="3">
        <v>1</v>
      </c>
      <c r="E4083" s="3">
        <v>71.189099999999996</v>
      </c>
      <c r="F4083">
        <f t="shared" si="65"/>
        <v>71.189099999999996</v>
      </c>
    </row>
    <row r="4084" spans="1:6" x14ac:dyDescent="0.2">
      <c r="A4084">
        <v>843</v>
      </c>
      <c r="B4084" s="3" t="s">
        <v>294</v>
      </c>
      <c r="C4084" s="3" t="s">
        <v>278</v>
      </c>
      <c r="D4084" s="3">
        <v>1</v>
      </c>
      <c r="E4084" s="3">
        <v>26.221409999999999</v>
      </c>
      <c r="F4084">
        <f t="shared" si="65"/>
        <v>26.221409999999999</v>
      </c>
    </row>
    <row r="4085" spans="1:6" x14ac:dyDescent="0.2">
      <c r="A4085">
        <v>843</v>
      </c>
      <c r="B4085" s="3" t="s">
        <v>306</v>
      </c>
      <c r="C4085" s="3" t="s">
        <v>273</v>
      </c>
      <c r="D4085" s="3">
        <v>1</v>
      </c>
      <c r="E4085" s="3">
        <v>99.575779999999995</v>
      </c>
      <c r="F4085">
        <f t="shared" si="65"/>
        <v>99.575779999999995</v>
      </c>
    </row>
    <row r="4086" spans="1:6" x14ac:dyDescent="0.2">
      <c r="A4086">
        <v>843</v>
      </c>
      <c r="B4086" s="3" t="s">
        <v>294</v>
      </c>
      <c r="C4086" s="3" t="s">
        <v>278</v>
      </c>
      <c r="D4086" s="3">
        <v>5</v>
      </c>
      <c r="E4086" s="3">
        <v>26.221409999999999</v>
      </c>
      <c r="F4086">
        <f t="shared" si="65"/>
        <v>131.10704999999999</v>
      </c>
    </row>
    <row r="4087" spans="1:6" x14ac:dyDescent="0.2">
      <c r="A4087">
        <v>843</v>
      </c>
      <c r="B4087" s="3" t="s">
        <v>306</v>
      </c>
      <c r="C4087" s="3" t="s">
        <v>273</v>
      </c>
      <c r="D4087" s="3">
        <v>5</v>
      </c>
      <c r="E4087" s="3">
        <v>99.575779999999995</v>
      </c>
      <c r="F4087">
        <f t="shared" si="65"/>
        <v>497.87889999999999</v>
      </c>
    </row>
    <row r="4088" spans="1:6" x14ac:dyDescent="0.2">
      <c r="A4088">
        <v>843</v>
      </c>
      <c r="B4088" s="3" t="s">
        <v>308</v>
      </c>
      <c r="C4088" s="3" t="s">
        <v>309</v>
      </c>
      <c r="D4088" s="3">
        <v>1</v>
      </c>
      <c r="E4088" s="3">
        <v>167.62309999999999</v>
      </c>
      <c r="F4088">
        <f t="shared" si="65"/>
        <v>167.62309999999999</v>
      </c>
    </row>
    <row r="4089" spans="1:6" x14ac:dyDescent="0.2">
      <c r="A4089">
        <v>843</v>
      </c>
      <c r="B4089" s="3" t="s">
        <v>310</v>
      </c>
      <c r="C4089" s="3" t="s">
        <v>273</v>
      </c>
      <c r="D4089" s="3">
        <v>1</v>
      </c>
      <c r="E4089" s="3">
        <v>0.33200000000000002</v>
      </c>
      <c r="F4089">
        <f t="shared" si="65"/>
        <v>0.33200000000000002</v>
      </c>
    </row>
    <row r="4090" spans="1:6" x14ac:dyDescent="0.2">
      <c r="A4090">
        <v>843</v>
      </c>
      <c r="B4090" s="3" t="s">
        <v>197</v>
      </c>
      <c r="C4090" s="3" t="s">
        <v>278</v>
      </c>
      <c r="D4090" s="3">
        <v>4</v>
      </c>
      <c r="E4090" s="3">
        <v>7.4700000000000003E-2</v>
      </c>
      <c r="F4090">
        <f t="shared" si="65"/>
        <v>0.29880000000000001</v>
      </c>
    </row>
    <row r="4091" spans="1:6" x14ac:dyDescent="0.2">
      <c r="A4091">
        <v>843</v>
      </c>
      <c r="B4091" s="3" t="s">
        <v>311</v>
      </c>
      <c r="C4091" s="3" t="s">
        <v>273</v>
      </c>
      <c r="D4091" s="3">
        <v>3</v>
      </c>
      <c r="E4091" s="3">
        <v>1.5935999999999999</v>
      </c>
      <c r="F4091">
        <f t="shared" si="65"/>
        <v>4.7807999999999993</v>
      </c>
    </row>
    <row r="4092" spans="1:6" x14ac:dyDescent="0.2">
      <c r="A4092">
        <v>843</v>
      </c>
      <c r="B4092" s="3" t="s">
        <v>312</v>
      </c>
      <c r="C4092" s="3" t="s">
        <v>278</v>
      </c>
      <c r="D4092" s="3">
        <v>1</v>
      </c>
      <c r="E4092" s="3">
        <v>21.040500000000002</v>
      </c>
      <c r="F4092">
        <f t="shared" si="65"/>
        <v>21.040500000000002</v>
      </c>
    </row>
    <row r="4093" spans="1:6" x14ac:dyDescent="0.2">
      <c r="A4093">
        <v>843</v>
      </c>
      <c r="B4093" s="3" t="s">
        <v>75</v>
      </c>
      <c r="C4093" s="3" t="s">
        <v>313</v>
      </c>
      <c r="D4093" s="3">
        <v>3</v>
      </c>
      <c r="E4093" s="3">
        <v>0.115385</v>
      </c>
      <c r="F4093">
        <f t="shared" si="65"/>
        <v>0.34615499999999999</v>
      </c>
    </row>
    <row r="4094" spans="1:6" x14ac:dyDescent="0.2">
      <c r="A4094">
        <v>843</v>
      </c>
      <c r="B4094" s="3" t="s">
        <v>314</v>
      </c>
      <c r="C4094" s="3" t="s">
        <v>273</v>
      </c>
      <c r="D4094" s="3">
        <v>2</v>
      </c>
      <c r="E4094" s="3">
        <v>0.45650000000000002</v>
      </c>
      <c r="F4094">
        <f t="shared" si="65"/>
        <v>0.91300000000000003</v>
      </c>
    </row>
    <row r="4095" spans="1:6" x14ac:dyDescent="0.2">
      <c r="A4095">
        <v>843</v>
      </c>
      <c r="B4095" s="3" t="s">
        <v>314</v>
      </c>
      <c r="C4095" s="3" t="s">
        <v>315</v>
      </c>
      <c r="D4095" s="3">
        <v>4</v>
      </c>
      <c r="E4095" s="3">
        <v>0.45650000000000002</v>
      </c>
      <c r="F4095">
        <f t="shared" si="65"/>
        <v>1.8260000000000001</v>
      </c>
    </row>
    <row r="4096" spans="1:6" x14ac:dyDescent="0.2">
      <c r="A4096">
        <v>843</v>
      </c>
      <c r="B4096" s="3" t="s">
        <v>316</v>
      </c>
      <c r="C4096" s="3" t="s">
        <v>317</v>
      </c>
      <c r="D4096" s="3">
        <v>1</v>
      </c>
      <c r="E4096" s="3">
        <v>92.206620000000001</v>
      </c>
      <c r="F4096">
        <f t="shared" si="65"/>
        <v>92.206620000000001</v>
      </c>
    </row>
    <row r="4097" spans="1:6" x14ac:dyDescent="0.2">
      <c r="A4097">
        <v>843</v>
      </c>
      <c r="B4097" s="3" t="s">
        <v>318</v>
      </c>
      <c r="C4097" s="3" t="s">
        <v>319</v>
      </c>
      <c r="D4097" s="3">
        <v>118</v>
      </c>
      <c r="E4097" s="3">
        <v>85.453850000000003</v>
      </c>
      <c r="F4097">
        <f t="shared" si="65"/>
        <v>10083.5543</v>
      </c>
    </row>
    <row r="4098" spans="1:6" x14ac:dyDescent="0.2">
      <c r="A4098">
        <v>843</v>
      </c>
      <c r="B4098" s="3" t="s">
        <v>320</v>
      </c>
      <c r="C4098" s="3" t="s">
        <v>321</v>
      </c>
      <c r="D4098" s="3">
        <v>1</v>
      </c>
      <c r="E4098" s="3">
        <v>92.206620000000001</v>
      </c>
      <c r="F4098">
        <f t="shared" si="65"/>
        <v>92.206620000000001</v>
      </c>
    </row>
    <row r="4099" spans="1:6" x14ac:dyDescent="0.2">
      <c r="A4099">
        <v>843</v>
      </c>
      <c r="B4099" s="3" t="s">
        <v>267</v>
      </c>
      <c r="C4099" s="3" t="s">
        <v>268</v>
      </c>
      <c r="D4099" s="3">
        <v>1</v>
      </c>
      <c r="E4099" s="3">
        <v>84863.13</v>
      </c>
      <c r="F4099">
        <f t="shared" si="65"/>
        <v>84863.13</v>
      </c>
    </row>
    <row r="4100" spans="1:6" x14ac:dyDescent="0.2">
      <c r="A4100">
        <v>843</v>
      </c>
      <c r="B4100" s="3" t="s">
        <v>260</v>
      </c>
      <c r="C4100" s="3" t="s">
        <v>261</v>
      </c>
      <c r="D4100" s="3">
        <v>3</v>
      </c>
      <c r="E4100" s="3">
        <v>2908.2939999999999</v>
      </c>
      <c r="F4100">
        <f t="shared" si="65"/>
        <v>8724.8819999999996</v>
      </c>
    </row>
    <row r="4101" spans="1:6" x14ac:dyDescent="0.2">
      <c r="A4101">
        <v>843</v>
      </c>
      <c r="B4101" s="3" t="s">
        <v>262</v>
      </c>
      <c r="C4101" s="3" t="s">
        <v>263</v>
      </c>
      <c r="D4101" s="3">
        <v>1</v>
      </c>
      <c r="E4101" s="3">
        <v>3207.1970000000001</v>
      </c>
      <c r="F4101">
        <f t="shared" si="65"/>
        <v>3207.1970000000001</v>
      </c>
    </row>
    <row r="4102" spans="1:6" x14ac:dyDescent="0.2">
      <c r="A4102">
        <v>843</v>
      </c>
      <c r="B4102" s="3" t="s">
        <v>264</v>
      </c>
      <c r="C4102" s="3" t="s">
        <v>265</v>
      </c>
      <c r="D4102" s="3">
        <v>2</v>
      </c>
      <c r="E4102" s="3">
        <v>3466.7310000000002</v>
      </c>
      <c r="F4102">
        <f t="shared" si="65"/>
        <v>6933.4620000000004</v>
      </c>
    </row>
    <row r="4103" spans="1:6" x14ac:dyDescent="0.2">
      <c r="A4103">
        <v>843</v>
      </c>
      <c r="B4103" s="3" t="s">
        <v>259</v>
      </c>
      <c r="C4103" s="3" t="s">
        <v>258</v>
      </c>
      <c r="D4103" s="3">
        <v>3</v>
      </c>
      <c r="E4103" s="3">
        <v>3325.9760000000001</v>
      </c>
      <c r="F4103">
        <f t="shared" si="65"/>
        <v>9977.9279999999999</v>
      </c>
    </row>
    <row r="4104" spans="1:6" x14ac:dyDescent="0.2">
      <c r="A4104">
        <v>843</v>
      </c>
      <c r="B4104" s="3" t="s">
        <v>257</v>
      </c>
      <c r="C4104" s="3" t="s">
        <v>258</v>
      </c>
      <c r="D4104" s="3">
        <v>6</v>
      </c>
      <c r="E4104" s="3">
        <v>3325.9760000000001</v>
      </c>
      <c r="F4104">
        <f t="shared" si="65"/>
        <v>19955.856</v>
      </c>
    </row>
    <row r="4105" spans="1:6" x14ac:dyDescent="0.2">
      <c r="A4105">
        <v>843</v>
      </c>
      <c r="B4105" s="3" t="s">
        <v>359</v>
      </c>
      <c r="C4105" s="3" t="s">
        <v>360</v>
      </c>
      <c r="D4105" s="3">
        <v>6</v>
      </c>
      <c r="E4105" s="3">
        <v>1844.9380000000001</v>
      </c>
      <c r="F4105">
        <f t="shared" si="65"/>
        <v>11069.628000000001</v>
      </c>
    </row>
    <row r="4106" spans="1:6" x14ac:dyDescent="0.2">
      <c r="A4106">
        <v>843</v>
      </c>
      <c r="B4106" s="3" t="s">
        <v>389</v>
      </c>
      <c r="C4106" s="3" t="s">
        <v>390</v>
      </c>
      <c r="D4106">
        <v>1</v>
      </c>
      <c r="E4106" s="3">
        <v>4906</v>
      </c>
      <c r="F4106">
        <f t="shared" si="65"/>
        <v>4906</v>
      </c>
    </row>
    <row r="4107" spans="1:6" x14ac:dyDescent="0.2">
      <c r="A4107">
        <v>844</v>
      </c>
      <c r="B4107" s="3" t="s">
        <v>62</v>
      </c>
      <c r="C4107" s="3" t="s">
        <v>63</v>
      </c>
      <c r="D4107" s="3">
        <v>3</v>
      </c>
      <c r="E4107" s="3">
        <v>0.34860000000000002</v>
      </c>
      <c r="F4107">
        <f t="shared" si="65"/>
        <v>1.0458000000000001</v>
      </c>
    </row>
    <row r="4108" spans="1:6" x14ac:dyDescent="0.2">
      <c r="A4108">
        <v>844</v>
      </c>
      <c r="B4108" s="3" t="s">
        <v>64</v>
      </c>
      <c r="C4108" s="3" t="s">
        <v>65</v>
      </c>
      <c r="D4108" s="3">
        <v>1</v>
      </c>
      <c r="E4108" s="3">
        <v>803.07690000000002</v>
      </c>
      <c r="F4108">
        <f t="shared" si="65"/>
        <v>803.07690000000002</v>
      </c>
    </row>
    <row r="4109" spans="1:6" x14ac:dyDescent="0.2">
      <c r="A4109">
        <v>844</v>
      </c>
      <c r="B4109" s="3" t="s">
        <v>67</v>
      </c>
      <c r="C4109" s="3" t="s">
        <v>68</v>
      </c>
      <c r="D4109" s="3">
        <v>1</v>
      </c>
      <c r="E4109" s="3">
        <v>49.678570000000001</v>
      </c>
      <c r="F4109">
        <f t="shared" si="65"/>
        <v>49.678570000000001</v>
      </c>
    </row>
    <row r="4110" spans="1:6" x14ac:dyDescent="0.2">
      <c r="A4110">
        <v>844</v>
      </c>
      <c r="B4110" s="3" t="s">
        <v>70</v>
      </c>
      <c r="C4110" s="3" t="s">
        <v>71</v>
      </c>
      <c r="D4110" s="3">
        <v>3</v>
      </c>
      <c r="E4110" s="3">
        <v>407.98649999999998</v>
      </c>
      <c r="F4110">
        <f t="shared" si="65"/>
        <v>1223.9594999999999</v>
      </c>
    </row>
    <row r="4111" spans="1:6" x14ac:dyDescent="0.2">
      <c r="A4111">
        <v>844</v>
      </c>
      <c r="B4111" s="3" t="s">
        <v>73</v>
      </c>
      <c r="C4111" s="3" t="s">
        <v>74</v>
      </c>
      <c r="D4111" s="3">
        <v>2</v>
      </c>
      <c r="E4111" s="3">
        <v>0.57783899999999999</v>
      </c>
      <c r="F4111">
        <f t="shared" si="65"/>
        <v>1.155678</v>
      </c>
    </row>
    <row r="4112" spans="1:6" x14ac:dyDescent="0.2">
      <c r="A4112">
        <v>844</v>
      </c>
      <c r="B4112" s="3" t="s">
        <v>75</v>
      </c>
      <c r="C4112" s="3" t="s">
        <v>76</v>
      </c>
      <c r="D4112" s="3">
        <v>1</v>
      </c>
      <c r="E4112" s="3">
        <v>0.115385</v>
      </c>
      <c r="F4112">
        <f t="shared" si="65"/>
        <v>0.115385</v>
      </c>
    </row>
    <row r="4113" spans="1:6" x14ac:dyDescent="0.2">
      <c r="A4113">
        <v>844</v>
      </c>
      <c r="B4113" s="3" t="s">
        <v>77</v>
      </c>
      <c r="C4113" s="3" t="s">
        <v>74</v>
      </c>
      <c r="D4113" s="3">
        <v>5</v>
      </c>
      <c r="E4113" s="3">
        <v>1.3944000000000001</v>
      </c>
      <c r="F4113">
        <f t="shared" si="65"/>
        <v>6.9720000000000004</v>
      </c>
    </row>
    <row r="4114" spans="1:6" x14ac:dyDescent="0.2">
      <c r="A4114">
        <v>844</v>
      </c>
      <c r="B4114" s="3" t="s">
        <v>78</v>
      </c>
      <c r="C4114" s="3" t="s">
        <v>76</v>
      </c>
      <c r="D4114" s="3">
        <v>1</v>
      </c>
      <c r="E4114" s="3">
        <v>0.71839500000000001</v>
      </c>
      <c r="F4114">
        <f t="shared" si="65"/>
        <v>0.71839500000000001</v>
      </c>
    </row>
    <row r="4115" spans="1:6" x14ac:dyDescent="0.2">
      <c r="A4115">
        <v>844</v>
      </c>
      <c r="B4115" s="3" t="s">
        <v>79</v>
      </c>
      <c r="C4115" s="3" t="s">
        <v>74</v>
      </c>
      <c r="D4115" s="3">
        <v>1</v>
      </c>
      <c r="E4115" s="3">
        <v>1.930769</v>
      </c>
      <c r="F4115">
        <f t="shared" si="65"/>
        <v>1.930769</v>
      </c>
    </row>
    <row r="4116" spans="1:6" x14ac:dyDescent="0.2">
      <c r="A4116">
        <v>844</v>
      </c>
      <c r="B4116" s="3" t="s">
        <v>80</v>
      </c>
      <c r="C4116" s="3" t="s">
        <v>74</v>
      </c>
      <c r="D4116" s="3">
        <v>1</v>
      </c>
      <c r="E4116" s="3">
        <v>0.95450000000000002</v>
      </c>
      <c r="F4116">
        <f t="shared" si="65"/>
        <v>0.95450000000000002</v>
      </c>
    </row>
    <row r="4117" spans="1:6" x14ac:dyDescent="0.2">
      <c r="A4117">
        <v>844</v>
      </c>
      <c r="B4117" s="3" t="s">
        <v>81</v>
      </c>
      <c r="C4117" s="3" t="s">
        <v>74</v>
      </c>
      <c r="D4117" s="3">
        <v>5</v>
      </c>
      <c r="E4117" s="3">
        <v>0.76359999999999995</v>
      </c>
      <c r="F4117">
        <f t="shared" si="65"/>
        <v>3.8179999999999996</v>
      </c>
    </row>
    <row r="4118" spans="1:6" x14ac:dyDescent="0.2">
      <c r="A4118">
        <v>844</v>
      </c>
      <c r="B4118" s="3" t="s">
        <v>82</v>
      </c>
      <c r="C4118" s="3" t="s">
        <v>83</v>
      </c>
      <c r="D4118" s="3">
        <v>5</v>
      </c>
      <c r="E4118" s="3">
        <v>20.351600000000001</v>
      </c>
      <c r="F4118">
        <f t="shared" si="65"/>
        <v>101.75800000000001</v>
      </c>
    </row>
    <row r="4119" spans="1:6" x14ac:dyDescent="0.2">
      <c r="A4119">
        <v>844</v>
      </c>
      <c r="B4119" s="3" t="s">
        <v>84</v>
      </c>
      <c r="C4119" s="3" t="s">
        <v>85</v>
      </c>
      <c r="D4119" s="3">
        <v>1</v>
      </c>
      <c r="E4119" s="3">
        <v>102.3322</v>
      </c>
      <c r="F4119">
        <f t="shared" si="65"/>
        <v>102.3322</v>
      </c>
    </row>
    <row r="4120" spans="1:6" x14ac:dyDescent="0.2">
      <c r="A4120">
        <v>844</v>
      </c>
      <c r="B4120" s="3" t="s">
        <v>86</v>
      </c>
      <c r="C4120" s="3" t="s">
        <v>85</v>
      </c>
      <c r="D4120" s="3">
        <v>1</v>
      </c>
      <c r="E4120" s="3">
        <v>144.2646</v>
      </c>
      <c r="F4120">
        <f t="shared" si="65"/>
        <v>144.2646</v>
      </c>
    </row>
    <row r="4121" spans="1:6" x14ac:dyDescent="0.2">
      <c r="A4121">
        <v>844</v>
      </c>
      <c r="B4121" s="3" t="s">
        <v>87</v>
      </c>
      <c r="C4121" s="3" t="s">
        <v>88</v>
      </c>
      <c r="D4121" s="3">
        <v>4</v>
      </c>
      <c r="E4121" s="3">
        <v>162.0215</v>
      </c>
      <c r="F4121">
        <f t="shared" si="65"/>
        <v>648.08600000000001</v>
      </c>
    </row>
    <row r="4122" spans="1:6" x14ac:dyDescent="0.2">
      <c r="A4122">
        <v>844</v>
      </c>
      <c r="B4122" s="3" t="s">
        <v>89</v>
      </c>
      <c r="C4122" s="3" t="s">
        <v>85</v>
      </c>
      <c r="D4122" s="3">
        <v>3</v>
      </c>
      <c r="E4122" s="3">
        <v>211.0129</v>
      </c>
      <c r="F4122">
        <f t="shared" si="65"/>
        <v>633.03870000000006</v>
      </c>
    </row>
    <row r="4123" spans="1:6" x14ac:dyDescent="0.2">
      <c r="A4123">
        <v>844</v>
      </c>
      <c r="B4123" s="3" t="s">
        <v>90</v>
      </c>
      <c r="C4123" s="3" t="s">
        <v>88</v>
      </c>
      <c r="D4123" s="3">
        <v>1</v>
      </c>
      <c r="E4123" s="3">
        <v>238.1635</v>
      </c>
      <c r="F4123">
        <f t="shared" si="65"/>
        <v>238.1635</v>
      </c>
    </row>
    <row r="4124" spans="1:6" x14ac:dyDescent="0.2">
      <c r="A4124">
        <v>844</v>
      </c>
      <c r="B4124" s="3" t="s">
        <v>92</v>
      </c>
      <c r="C4124" s="3" t="s">
        <v>93</v>
      </c>
      <c r="D4124" s="3">
        <v>3</v>
      </c>
      <c r="E4124" s="3">
        <v>19.297499999999999</v>
      </c>
      <c r="F4124">
        <f t="shared" si="65"/>
        <v>57.892499999999998</v>
      </c>
    </row>
    <row r="4125" spans="1:6" x14ac:dyDescent="0.2">
      <c r="A4125">
        <v>844</v>
      </c>
      <c r="B4125" s="3" t="s">
        <v>94</v>
      </c>
      <c r="C4125" s="3" t="s">
        <v>95</v>
      </c>
      <c r="D4125" s="3">
        <v>2</v>
      </c>
      <c r="E4125" s="3">
        <v>644.46270000000004</v>
      </c>
      <c r="F4125">
        <f t="shared" si="65"/>
        <v>1288.9254000000001</v>
      </c>
    </row>
    <row r="4126" spans="1:6" x14ac:dyDescent="0.2">
      <c r="A4126">
        <v>844</v>
      </c>
      <c r="B4126" s="3" t="s">
        <v>236</v>
      </c>
      <c r="C4126" s="3" t="s">
        <v>237</v>
      </c>
      <c r="D4126" s="3">
        <v>4</v>
      </c>
      <c r="E4126" s="3">
        <v>132.80000000000001</v>
      </c>
      <c r="F4126">
        <f t="shared" si="65"/>
        <v>531.20000000000005</v>
      </c>
    </row>
    <row r="4127" spans="1:6" x14ac:dyDescent="0.2">
      <c r="A4127">
        <v>844</v>
      </c>
      <c r="B4127" s="3" t="s">
        <v>238</v>
      </c>
      <c r="C4127" s="3" t="s">
        <v>239</v>
      </c>
      <c r="D4127" s="3">
        <v>1</v>
      </c>
      <c r="E4127" s="3">
        <v>340.93849999999998</v>
      </c>
      <c r="F4127">
        <f t="shared" si="65"/>
        <v>340.93849999999998</v>
      </c>
    </row>
    <row r="4128" spans="1:6" x14ac:dyDescent="0.2">
      <c r="A4128">
        <v>844</v>
      </c>
      <c r="B4128" s="3" t="s">
        <v>240</v>
      </c>
      <c r="C4128" s="3" t="s">
        <v>241</v>
      </c>
      <c r="D4128" s="3">
        <v>118</v>
      </c>
      <c r="E4128" s="3">
        <v>309.0154</v>
      </c>
      <c r="F4128">
        <f t="shared" si="65"/>
        <v>36463.817199999998</v>
      </c>
    </row>
    <row r="4129" spans="1:6" x14ac:dyDescent="0.2">
      <c r="A4129">
        <v>844</v>
      </c>
      <c r="B4129" s="3" t="s">
        <v>242</v>
      </c>
      <c r="C4129" s="3" t="s">
        <v>243</v>
      </c>
      <c r="D4129" s="3">
        <v>1</v>
      </c>
      <c r="E4129" s="3">
        <v>427.76920000000001</v>
      </c>
      <c r="F4129">
        <f t="shared" si="65"/>
        <v>427.76920000000001</v>
      </c>
    </row>
    <row r="4130" spans="1:6" x14ac:dyDescent="0.2">
      <c r="A4130">
        <v>844</v>
      </c>
      <c r="B4130" s="3" t="s">
        <v>244</v>
      </c>
      <c r="C4130" s="3" t="s">
        <v>184</v>
      </c>
      <c r="D4130" s="3">
        <v>1</v>
      </c>
      <c r="E4130" s="3">
        <v>18.643080000000001</v>
      </c>
      <c r="F4130">
        <f t="shared" si="65"/>
        <v>18.643080000000001</v>
      </c>
    </row>
    <row r="4131" spans="1:6" x14ac:dyDescent="0.2">
      <c r="A4131">
        <v>844</v>
      </c>
      <c r="B4131" s="3" t="s">
        <v>245</v>
      </c>
      <c r="C4131" s="3" t="s">
        <v>246</v>
      </c>
      <c r="D4131" s="3">
        <v>3</v>
      </c>
      <c r="E4131" s="3">
        <v>0.44819999999999999</v>
      </c>
      <c r="F4131">
        <f t="shared" si="65"/>
        <v>1.3446</v>
      </c>
    </row>
    <row r="4132" spans="1:6" x14ac:dyDescent="0.2">
      <c r="A4132">
        <v>844</v>
      </c>
      <c r="B4132" s="3" t="s">
        <v>75</v>
      </c>
      <c r="C4132" s="3" t="s">
        <v>247</v>
      </c>
      <c r="D4132" s="3">
        <v>1</v>
      </c>
      <c r="E4132" s="3">
        <v>0.115385</v>
      </c>
      <c r="F4132">
        <f t="shared" si="65"/>
        <v>0.115385</v>
      </c>
    </row>
    <row r="4133" spans="1:6" x14ac:dyDescent="0.2">
      <c r="A4133">
        <v>844</v>
      </c>
      <c r="B4133" s="3" t="s">
        <v>197</v>
      </c>
      <c r="C4133" s="3" t="s">
        <v>117</v>
      </c>
      <c r="D4133" s="3">
        <v>2</v>
      </c>
      <c r="E4133" s="3">
        <v>7.4700000000000003E-2</v>
      </c>
      <c r="F4133">
        <f t="shared" si="65"/>
        <v>0.14940000000000001</v>
      </c>
    </row>
    <row r="4134" spans="1:6" x14ac:dyDescent="0.2">
      <c r="A4134">
        <v>844</v>
      </c>
      <c r="B4134" s="3" t="s">
        <v>248</v>
      </c>
      <c r="C4134" s="3" t="s">
        <v>249</v>
      </c>
      <c r="D4134" s="3">
        <v>3</v>
      </c>
      <c r="E4134" s="3">
        <v>31064.98</v>
      </c>
      <c r="F4134">
        <f t="shared" si="65"/>
        <v>93194.94</v>
      </c>
    </row>
    <row r="4135" spans="1:6" x14ac:dyDescent="0.2">
      <c r="A4135">
        <v>844</v>
      </c>
      <c r="B4135" s="3" t="s">
        <v>250</v>
      </c>
      <c r="C4135" s="3" t="s">
        <v>251</v>
      </c>
      <c r="D4135" s="3">
        <v>6</v>
      </c>
      <c r="E4135" s="3">
        <v>564.5412</v>
      </c>
      <c r="F4135">
        <f t="shared" si="65"/>
        <v>3387.2471999999998</v>
      </c>
    </row>
    <row r="4136" spans="1:6" x14ac:dyDescent="0.2">
      <c r="A4136">
        <v>844</v>
      </c>
      <c r="B4136" s="3" t="s">
        <v>146</v>
      </c>
      <c r="C4136" s="3" t="s">
        <v>147</v>
      </c>
      <c r="D4136" s="3">
        <v>6</v>
      </c>
      <c r="E4136" s="3">
        <v>8021.5770000000002</v>
      </c>
      <c r="F4136">
        <f t="shared" si="65"/>
        <v>48129.462</v>
      </c>
    </row>
    <row r="4137" spans="1:6" x14ac:dyDescent="0.2">
      <c r="A4137">
        <v>844</v>
      </c>
      <c r="B4137" s="3" t="s">
        <v>215</v>
      </c>
      <c r="C4137" s="3" t="s">
        <v>208</v>
      </c>
      <c r="D4137" s="3">
        <v>1</v>
      </c>
      <c r="E4137" s="3">
        <v>1.4289810000000001</v>
      </c>
      <c r="F4137">
        <f t="shared" ref="F4137:F4170" si="66">D4137*E4137</f>
        <v>1.4289810000000001</v>
      </c>
    </row>
    <row r="4138" spans="1:6" x14ac:dyDescent="0.2">
      <c r="A4138">
        <v>844</v>
      </c>
      <c r="B4138" s="3" t="s">
        <v>200</v>
      </c>
      <c r="C4138" s="3" t="s">
        <v>199</v>
      </c>
      <c r="D4138" s="3">
        <v>3</v>
      </c>
      <c r="E4138" s="3">
        <v>0.66373400000000005</v>
      </c>
      <c r="F4138">
        <f t="shared" si="66"/>
        <v>1.9912020000000001</v>
      </c>
    </row>
    <row r="4139" spans="1:6" x14ac:dyDescent="0.2">
      <c r="A4139">
        <v>844</v>
      </c>
      <c r="B4139" s="3" t="s">
        <v>216</v>
      </c>
      <c r="C4139" s="3" t="s">
        <v>199</v>
      </c>
      <c r="D4139" s="3">
        <v>1</v>
      </c>
      <c r="E4139" s="3">
        <v>0.66400000000000003</v>
      </c>
      <c r="F4139">
        <f t="shared" si="66"/>
        <v>0.66400000000000003</v>
      </c>
    </row>
    <row r="4140" spans="1:6" x14ac:dyDescent="0.2">
      <c r="A4140">
        <v>844</v>
      </c>
      <c r="B4140" s="3" t="s">
        <v>217</v>
      </c>
      <c r="C4140" s="3" t="s">
        <v>199</v>
      </c>
      <c r="D4140" s="3">
        <v>1</v>
      </c>
      <c r="E4140" s="3">
        <v>4.2164000000000001</v>
      </c>
      <c r="F4140">
        <f t="shared" si="66"/>
        <v>4.2164000000000001</v>
      </c>
    </row>
    <row r="4141" spans="1:6" x14ac:dyDescent="0.2">
      <c r="A4141">
        <v>844</v>
      </c>
      <c r="B4141" s="3" t="s">
        <v>218</v>
      </c>
      <c r="C4141" s="3" t="s">
        <v>208</v>
      </c>
      <c r="D4141" s="3">
        <v>3</v>
      </c>
      <c r="E4141" s="3">
        <v>7.3455000000000004</v>
      </c>
      <c r="F4141">
        <f t="shared" si="66"/>
        <v>22.0365</v>
      </c>
    </row>
    <row r="4142" spans="1:6" x14ac:dyDescent="0.2">
      <c r="A4142">
        <v>844</v>
      </c>
      <c r="B4142" s="3" t="s">
        <v>219</v>
      </c>
      <c r="C4142" s="3" t="s">
        <v>199</v>
      </c>
      <c r="D4142" s="3">
        <v>2</v>
      </c>
      <c r="E4142" s="3">
        <v>1.4774</v>
      </c>
      <c r="F4142">
        <f t="shared" si="66"/>
        <v>2.9548000000000001</v>
      </c>
    </row>
    <row r="4143" spans="1:6" x14ac:dyDescent="0.2">
      <c r="A4143">
        <v>844</v>
      </c>
      <c r="B4143" s="3" t="s">
        <v>220</v>
      </c>
      <c r="C4143" s="3" t="s">
        <v>208</v>
      </c>
      <c r="D4143" s="3">
        <v>1</v>
      </c>
      <c r="E4143" s="3">
        <v>3.7267000000000001</v>
      </c>
      <c r="F4143">
        <f t="shared" si="66"/>
        <v>3.7267000000000001</v>
      </c>
    </row>
    <row r="4144" spans="1:6" x14ac:dyDescent="0.2">
      <c r="A4144">
        <v>844</v>
      </c>
      <c r="B4144" s="3" t="s">
        <v>221</v>
      </c>
      <c r="C4144" s="3" t="s">
        <v>199</v>
      </c>
      <c r="D4144" s="3">
        <v>5</v>
      </c>
      <c r="E4144" s="3">
        <v>0.97940000000000005</v>
      </c>
      <c r="F4144">
        <f t="shared" si="66"/>
        <v>4.8970000000000002</v>
      </c>
    </row>
    <row r="4145" spans="1:6" x14ac:dyDescent="0.2">
      <c r="A4145">
        <v>844</v>
      </c>
      <c r="B4145" s="3" t="s">
        <v>222</v>
      </c>
      <c r="C4145" s="3" t="s">
        <v>208</v>
      </c>
      <c r="D4145" s="3">
        <v>1</v>
      </c>
      <c r="E4145" s="3">
        <v>6.0673000000000004</v>
      </c>
      <c r="F4145">
        <f t="shared" si="66"/>
        <v>6.0673000000000004</v>
      </c>
    </row>
    <row r="4146" spans="1:6" x14ac:dyDescent="0.2">
      <c r="A4146">
        <v>844</v>
      </c>
      <c r="B4146" s="3" t="s">
        <v>223</v>
      </c>
      <c r="C4146" s="3" t="s">
        <v>224</v>
      </c>
      <c r="D4146" s="3">
        <v>3</v>
      </c>
      <c r="E4146" s="3">
        <v>19.4635</v>
      </c>
      <c r="F4146">
        <f t="shared" si="66"/>
        <v>58.390500000000003</v>
      </c>
    </row>
    <row r="4147" spans="1:6" x14ac:dyDescent="0.2">
      <c r="A4147">
        <v>844</v>
      </c>
      <c r="B4147" s="3" t="s">
        <v>225</v>
      </c>
      <c r="C4147" s="3" t="s">
        <v>226</v>
      </c>
      <c r="D4147" s="3">
        <v>6</v>
      </c>
      <c r="E4147" s="3">
        <v>10.22151</v>
      </c>
      <c r="F4147">
        <f t="shared" si="66"/>
        <v>61.329059999999998</v>
      </c>
    </row>
    <row r="4148" spans="1:6" x14ac:dyDescent="0.2">
      <c r="A4148">
        <v>844</v>
      </c>
      <c r="B4148" s="3" t="s">
        <v>227</v>
      </c>
      <c r="C4148" s="3" t="s">
        <v>208</v>
      </c>
      <c r="D4148" s="3">
        <v>6</v>
      </c>
      <c r="E4148" s="3">
        <v>3.6307689999999999</v>
      </c>
      <c r="F4148">
        <f t="shared" si="66"/>
        <v>21.784613999999998</v>
      </c>
    </row>
    <row r="4149" spans="1:6" x14ac:dyDescent="0.2">
      <c r="A4149">
        <v>844</v>
      </c>
      <c r="B4149" s="3" t="s">
        <v>228</v>
      </c>
      <c r="C4149" s="3" t="s">
        <v>229</v>
      </c>
      <c r="D4149" s="3">
        <v>1</v>
      </c>
      <c r="E4149" s="3">
        <v>306.94979999999998</v>
      </c>
      <c r="F4149">
        <f t="shared" si="66"/>
        <v>306.94979999999998</v>
      </c>
    </row>
    <row r="4150" spans="1:6" x14ac:dyDescent="0.2">
      <c r="A4150">
        <v>844</v>
      </c>
      <c r="B4150" s="3" t="s">
        <v>116</v>
      </c>
      <c r="C4150" s="3" t="s">
        <v>117</v>
      </c>
      <c r="D4150" s="3">
        <v>3</v>
      </c>
      <c r="E4150" s="3">
        <v>0.25729999999999997</v>
      </c>
      <c r="F4150">
        <f t="shared" si="66"/>
        <v>0.77189999999999992</v>
      </c>
    </row>
    <row r="4151" spans="1:6" x14ac:dyDescent="0.2">
      <c r="A4151">
        <v>844</v>
      </c>
      <c r="B4151" s="3" t="s">
        <v>78</v>
      </c>
      <c r="C4151" s="3" t="s">
        <v>76</v>
      </c>
      <c r="D4151" s="3">
        <v>1</v>
      </c>
      <c r="E4151" s="3">
        <v>0.71839500000000001</v>
      </c>
      <c r="F4151">
        <f t="shared" si="66"/>
        <v>0.71839500000000001</v>
      </c>
    </row>
    <row r="4152" spans="1:6" x14ac:dyDescent="0.2">
      <c r="A4152">
        <v>844</v>
      </c>
      <c r="B4152" s="3" t="s">
        <v>231</v>
      </c>
      <c r="C4152" s="3" t="s">
        <v>208</v>
      </c>
      <c r="D4152" s="3">
        <v>1</v>
      </c>
      <c r="E4152" s="3">
        <v>2.0832999999999999</v>
      </c>
      <c r="F4152">
        <f t="shared" si="66"/>
        <v>2.0832999999999999</v>
      </c>
    </row>
    <row r="4153" spans="1:6" x14ac:dyDescent="0.2">
      <c r="A4153">
        <v>844</v>
      </c>
      <c r="B4153" s="3" t="s">
        <v>232</v>
      </c>
      <c r="C4153" s="3" t="s">
        <v>119</v>
      </c>
      <c r="D4153" s="3">
        <v>3</v>
      </c>
      <c r="E4153" s="3">
        <v>1.5935999999999999</v>
      </c>
      <c r="F4153">
        <f t="shared" si="66"/>
        <v>4.7807999999999993</v>
      </c>
    </row>
    <row r="4154" spans="1:6" x14ac:dyDescent="0.2">
      <c r="A4154">
        <v>844</v>
      </c>
      <c r="B4154" s="3" t="s">
        <v>233</v>
      </c>
      <c r="C4154" s="3" t="s">
        <v>234</v>
      </c>
      <c r="D4154" s="3">
        <v>2</v>
      </c>
      <c r="E4154" s="3">
        <v>3989.2950000000001</v>
      </c>
      <c r="F4154">
        <f t="shared" si="66"/>
        <v>7978.59</v>
      </c>
    </row>
    <row r="4155" spans="1:6" x14ac:dyDescent="0.2">
      <c r="A4155">
        <v>844</v>
      </c>
      <c r="B4155" s="3" t="s">
        <v>142</v>
      </c>
      <c r="C4155" s="3" t="s">
        <v>143</v>
      </c>
      <c r="D4155" s="3">
        <v>1</v>
      </c>
      <c r="E4155" s="3">
        <v>18141.64</v>
      </c>
      <c r="F4155">
        <f t="shared" si="66"/>
        <v>18141.64</v>
      </c>
    </row>
    <row r="4156" spans="1:6" x14ac:dyDescent="0.2">
      <c r="A4156">
        <v>844</v>
      </c>
      <c r="B4156" s="3" t="s">
        <v>144</v>
      </c>
      <c r="C4156" s="3" t="s">
        <v>145</v>
      </c>
      <c r="D4156" s="3">
        <v>5</v>
      </c>
      <c r="E4156" s="3">
        <v>7346.6769999999997</v>
      </c>
      <c r="F4156">
        <f t="shared" si="66"/>
        <v>36733.384999999995</v>
      </c>
    </row>
    <row r="4157" spans="1:6" x14ac:dyDescent="0.2">
      <c r="A4157">
        <v>844</v>
      </c>
      <c r="B4157" s="3" t="s">
        <v>197</v>
      </c>
      <c r="C4157" s="3" t="s">
        <v>117</v>
      </c>
      <c r="D4157" s="3">
        <v>1</v>
      </c>
      <c r="E4157" s="3">
        <v>7.4700000000000003E-2</v>
      </c>
      <c r="F4157">
        <f t="shared" si="66"/>
        <v>7.4700000000000003E-2</v>
      </c>
    </row>
    <row r="4158" spans="1:6" x14ac:dyDescent="0.2">
      <c r="A4158">
        <v>844</v>
      </c>
      <c r="B4158" s="3" t="s">
        <v>198</v>
      </c>
      <c r="C4158" s="3" t="s">
        <v>199</v>
      </c>
      <c r="D4158" s="3">
        <v>1</v>
      </c>
      <c r="E4158" s="3">
        <v>0.66373400000000005</v>
      </c>
      <c r="F4158">
        <f t="shared" si="66"/>
        <v>0.66373400000000005</v>
      </c>
    </row>
    <row r="4159" spans="1:6" x14ac:dyDescent="0.2">
      <c r="A4159">
        <v>844</v>
      </c>
      <c r="B4159" s="3" t="s">
        <v>200</v>
      </c>
      <c r="C4159" s="3" t="s">
        <v>199</v>
      </c>
      <c r="D4159" s="3">
        <v>1</v>
      </c>
      <c r="E4159" s="3">
        <v>0.66373400000000005</v>
      </c>
      <c r="F4159">
        <f t="shared" si="66"/>
        <v>0.66373400000000005</v>
      </c>
    </row>
    <row r="4160" spans="1:6" x14ac:dyDescent="0.2">
      <c r="A4160">
        <v>844</v>
      </c>
      <c r="B4160" s="3" t="s">
        <v>201</v>
      </c>
      <c r="C4160" s="3" t="s">
        <v>76</v>
      </c>
      <c r="D4160" s="3">
        <v>5</v>
      </c>
      <c r="E4160" s="3">
        <v>0.22645100000000001</v>
      </c>
      <c r="F4160">
        <f t="shared" si="66"/>
        <v>1.132255</v>
      </c>
    </row>
    <row r="4161" spans="1:6" x14ac:dyDescent="0.2">
      <c r="A4161">
        <v>844</v>
      </c>
      <c r="B4161" s="3" t="s">
        <v>202</v>
      </c>
      <c r="C4161" s="3" t="s">
        <v>203</v>
      </c>
      <c r="D4161" s="3">
        <v>5</v>
      </c>
      <c r="E4161" s="3">
        <v>12.45</v>
      </c>
      <c r="F4161">
        <f t="shared" si="66"/>
        <v>62.25</v>
      </c>
    </row>
    <row r="4162" spans="1:6" x14ac:dyDescent="0.2">
      <c r="A4162">
        <v>844</v>
      </c>
      <c r="B4162" s="3" t="s">
        <v>204</v>
      </c>
      <c r="C4162" s="3" t="s">
        <v>205</v>
      </c>
      <c r="D4162" s="3">
        <v>1</v>
      </c>
      <c r="E4162" s="3">
        <v>103.7222</v>
      </c>
      <c r="F4162">
        <f t="shared" si="66"/>
        <v>103.7222</v>
      </c>
    </row>
    <row r="4163" spans="1:6" x14ac:dyDescent="0.2">
      <c r="A4163">
        <v>844</v>
      </c>
      <c r="B4163" s="3" t="s">
        <v>116</v>
      </c>
      <c r="C4163" s="3" t="s">
        <v>117</v>
      </c>
      <c r="D4163" s="3">
        <v>1</v>
      </c>
      <c r="E4163" s="3">
        <v>0.25729999999999997</v>
      </c>
      <c r="F4163">
        <f t="shared" si="66"/>
        <v>0.25729999999999997</v>
      </c>
    </row>
    <row r="4164" spans="1:6" x14ac:dyDescent="0.2">
      <c r="A4164">
        <v>844</v>
      </c>
      <c r="B4164" s="3" t="s">
        <v>78</v>
      </c>
      <c r="C4164" s="3" t="s">
        <v>76</v>
      </c>
      <c r="D4164" s="3">
        <v>4</v>
      </c>
      <c r="E4164" s="3">
        <v>0.71839500000000001</v>
      </c>
      <c r="F4164">
        <f t="shared" si="66"/>
        <v>2.87358</v>
      </c>
    </row>
    <row r="4165" spans="1:6" x14ac:dyDescent="0.2">
      <c r="A4165">
        <v>844</v>
      </c>
      <c r="B4165" s="3" t="s">
        <v>207</v>
      </c>
      <c r="C4165" s="3" t="s">
        <v>208</v>
      </c>
      <c r="D4165" s="3">
        <v>3</v>
      </c>
      <c r="E4165" s="3">
        <v>4.6314000000000002</v>
      </c>
      <c r="F4165">
        <f t="shared" si="66"/>
        <v>13.894200000000001</v>
      </c>
    </row>
    <row r="4166" spans="1:6" x14ac:dyDescent="0.2">
      <c r="A4166">
        <v>844</v>
      </c>
      <c r="B4166" s="3" t="s">
        <v>209</v>
      </c>
      <c r="C4166" s="3" t="s">
        <v>210</v>
      </c>
      <c r="D4166" s="3">
        <v>1</v>
      </c>
      <c r="E4166" s="3">
        <v>39.550759999999997</v>
      </c>
      <c r="F4166">
        <f t="shared" si="66"/>
        <v>39.550759999999997</v>
      </c>
    </row>
    <row r="4167" spans="1:6" x14ac:dyDescent="0.2">
      <c r="A4167">
        <v>844</v>
      </c>
      <c r="B4167" s="3" t="s">
        <v>211</v>
      </c>
      <c r="C4167" s="3" t="s">
        <v>203</v>
      </c>
      <c r="D4167" s="3">
        <v>3</v>
      </c>
      <c r="E4167" s="3">
        <v>25.754899999999999</v>
      </c>
      <c r="F4167">
        <f t="shared" si="66"/>
        <v>77.264700000000005</v>
      </c>
    </row>
    <row r="4168" spans="1:6" x14ac:dyDescent="0.2">
      <c r="A4168">
        <v>844</v>
      </c>
      <c r="B4168" s="3" t="s">
        <v>212</v>
      </c>
      <c r="C4168" s="3" t="s">
        <v>213</v>
      </c>
      <c r="D4168" s="3">
        <v>2</v>
      </c>
      <c r="E4168" s="3">
        <v>272.92059999999998</v>
      </c>
      <c r="F4168">
        <f t="shared" si="66"/>
        <v>545.84119999999996</v>
      </c>
    </row>
    <row r="4169" spans="1:6" x14ac:dyDescent="0.2">
      <c r="A4169">
        <v>844</v>
      </c>
      <c r="B4169" s="3" t="s">
        <v>135</v>
      </c>
      <c r="C4169" s="3" t="s">
        <v>136</v>
      </c>
      <c r="D4169" s="3">
        <v>4</v>
      </c>
      <c r="E4169" s="3">
        <v>395.04689999999999</v>
      </c>
      <c r="F4169">
        <f t="shared" si="66"/>
        <v>1580.1876</v>
      </c>
    </row>
    <row r="4170" spans="1:6" x14ac:dyDescent="0.2">
      <c r="A4170">
        <v>844</v>
      </c>
      <c r="B4170" s="3" t="s">
        <v>137</v>
      </c>
      <c r="C4170" s="3" t="s">
        <v>138</v>
      </c>
      <c r="D4170" s="3">
        <v>1</v>
      </c>
      <c r="E4170" s="3">
        <v>252.98429999999999</v>
      </c>
      <c r="F4170">
        <f t="shared" si="66"/>
        <v>252.98429999999999</v>
      </c>
    </row>
    <row r="4171" spans="1:6" x14ac:dyDescent="0.2">
      <c r="A4171">
        <v>844</v>
      </c>
      <c r="B4171" s="3" t="s">
        <v>139</v>
      </c>
      <c r="C4171" s="3" t="s">
        <v>140</v>
      </c>
      <c r="D4171" s="3">
        <v>118</v>
      </c>
      <c r="E4171" s="3">
        <v>2054.4580000000001</v>
      </c>
      <c r="F4171">
        <f t="shared" ref="F4171:F4234" si="67">D4171*E4171</f>
        <v>242426.04400000002</v>
      </c>
    </row>
    <row r="4172" spans="1:6" x14ac:dyDescent="0.2">
      <c r="A4172">
        <v>844</v>
      </c>
      <c r="B4172" s="3" t="s">
        <v>116</v>
      </c>
      <c r="C4172" s="3" t="s">
        <v>117</v>
      </c>
      <c r="D4172" s="3">
        <v>1</v>
      </c>
      <c r="E4172" s="3">
        <v>0.25729999999999997</v>
      </c>
      <c r="F4172">
        <f t="shared" si="67"/>
        <v>0.25729999999999997</v>
      </c>
    </row>
    <row r="4173" spans="1:6" x14ac:dyDescent="0.2">
      <c r="A4173">
        <v>844</v>
      </c>
      <c r="B4173" s="3" t="s">
        <v>118</v>
      </c>
      <c r="C4173" s="3" t="s">
        <v>119</v>
      </c>
      <c r="D4173" s="3">
        <v>1</v>
      </c>
      <c r="E4173" s="3">
        <v>0.83</v>
      </c>
      <c r="F4173">
        <f t="shared" si="67"/>
        <v>0.83</v>
      </c>
    </row>
    <row r="4174" spans="1:6" x14ac:dyDescent="0.2">
      <c r="A4174">
        <v>844</v>
      </c>
      <c r="B4174" s="3" t="s">
        <v>120</v>
      </c>
      <c r="C4174" s="3" t="s">
        <v>117</v>
      </c>
      <c r="D4174" s="3">
        <v>3</v>
      </c>
      <c r="E4174" s="3">
        <v>1.5604</v>
      </c>
      <c r="F4174">
        <f t="shared" si="67"/>
        <v>4.6812000000000005</v>
      </c>
    </row>
    <row r="4175" spans="1:6" x14ac:dyDescent="0.2">
      <c r="A4175">
        <v>844</v>
      </c>
      <c r="B4175" s="3" t="s">
        <v>121</v>
      </c>
      <c r="C4175" s="3" t="s">
        <v>117</v>
      </c>
      <c r="D4175" s="3">
        <v>1</v>
      </c>
      <c r="E4175" s="3">
        <v>270.83730000000003</v>
      </c>
      <c r="F4175">
        <f t="shared" si="67"/>
        <v>270.83730000000003</v>
      </c>
    </row>
    <row r="4176" spans="1:6" x14ac:dyDescent="0.2">
      <c r="A4176">
        <v>844</v>
      </c>
      <c r="B4176" s="3" t="s">
        <v>122</v>
      </c>
      <c r="C4176" s="3" t="s">
        <v>76</v>
      </c>
      <c r="D4176" s="3">
        <v>2</v>
      </c>
      <c r="E4176" s="3">
        <v>14.915100000000001</v>
      </c>
      <c r="F4176">
        <f t="shared" si="67"/>
        <v>29.830200000000001</v>
      </c>
    </row>
    <row r="4177" spans="1:6" x14ac:dyDescent="0.2">
      <c r="A4177">
        <v>844</v>
      </c>
      <c r="B4177" s="3" t="s">
        <v>123</v>
      </c>
      <c r="C4177" s="3" t="s">
        <v>119</v>
      </c>
      <c r="D4177" s="3">
        <v>3</v>
      </c>
      <c r="E4177" s="3">
        <v>122.52460000000001</v>
      </c>
      <c r="F4177">
        <f t="shared" si="67"/>
        <v>367.57380000000001</v>
      </c>
    </row>
    <row r="4178" spans="1:6" x14ac:dyDescent="0.2">
      <c r="A4178">
        <v>844</v>
      </c>
      <c r="B4178" s="3" t="s">
        <v>124</v>
      </c>
      <c r="C4178" s="3" t="s">
        <v>119</v>
      </c>
      <c r="D4178" s="3">
        <v>6</v>
      </c>
      <c r="E4178" s="3">
        <v>65.877099999999999</v>
      </c>
      <c r="F4178">
        <f t="shared" si="67"/>
        <v>395.26260000000002</v>
      </c>
    </row>
    <row r="4179" spans="1:6" x14ac:dyDescent="0.2">
      <c r="A4179">
        <v>844</v>
      </c>
      <c r="B4179" s="3" t="s">
        <v>125</v>
      </c>
      <c r="C4179" s="3" t="s">
        <v>117</v>
      </c>
      <c r="D4179" s="3">
        <v>6</v>
      </c>
      <c r="E4179" s="3">
        <v>45.957099999999997</v>
      </c>
      <c r="F4179">
        <f t="shared" si="67"/>
        <v>275.74259999999998</v>
      </c>
    </row>
    <row r="4180" spans="1:6" x14ac:dyDescent="0.2">
      <c r="A4180">
        <v>844</v>
      </c>
      <c r="B4180" s="3" t="s">
        <v>126</v>
      </c>
      <c r="C4180" s="3" t="s">
        <v>127</v>
      </c>
      <c r="D4180" s="3">
        <v>1</v>
      </c>
      <c r="E4180" s="3">
        <v>411.49740000000003</v>
      </c>
      <c r="F4180">
        <f t="shared" si="67"/>
        <v>411.49740000000003</v>
      </c>
    </row>
    <row r="4181" spans="1:6" x14ac:dyDescent="0.2">
      <c r="A4181">
        <v>844</v>
      </c>
      <c r="B4181" s="3" t="s">
        <v>129</v>
      </c>
      <c r="C4181" s="3" t="s">
        <v>130</v>
      </c>
      <c r="D4181" s="3">
        <v>3</v>
      </c>
      <c r="E4181" s="3">
        <v>6724.2780000000002</v>
      </c>
      <c r="F4181">
        <f t="shared" si="67"/>
        <v>20172.834000000003</v>
      </c>
    </row>
    <row r="4182" spans="1:6" x14ac:dyDescent="0.2">
      <c r="A4182">
        <v>844</v>
      </c>
      <c r="B4182" s="3">
        <v>4656354</v>
      </c>
      <c r="C4182" s="3" t="s">
        <v>133</v>
      </c>
      <c r="D4182" s="3">
        <v>1</v>
      </c>
      <c r="E4182" s="3">
        <v>1168.0260000000001</v>
      </c>
      <c r="F4182">
        <f t="shared" si="67"/>
        <v>1168.0260000000001</v>
      </c>
    </row>
    <row r="4183" spans="1:6" x14ac:dyDescent="0.2">
      <c r="A4183">
        <v>844</v>
      </c>
      <c r="B4183" s="3" t="s">
        <v>110</v>
      </c>
      <c r="C4183" s="3" t="s">
        <v>111</v>
      </c>
      <c r="D4183" s="3">
        <v>1</v>
      </c>
      <c r="E4183" s="3">
        <v>119.83540000000001</v>
      </c>
      <c r="F4183">
        <f t="shared" si="67"/>
        <v>119.83540000000001</v>
      </c>
    </row>
    <row r="4184" spans="1:6" x14ac:dyDescent="0.2">
      <c r="A4184">
        <v>844</v>
      </c>
      <c r="B4184" s="3" t="s">
        <v>112</v>
      </c>
      <c r="C4184" s="3" t="s">
        <v>113</v>
      </c>
      <c r="D4184" s="3">
        <v>3</v>
      </c>
      <c r="E4184" s="3">
        <v>97.646150000000006</v>
      </c>
      <c r="F4184">
        <f t="shared" si="67"/>
        <v>292.93844999999999</v>
      </c>
    </row>
    <row r="4185" spans="1:6" x14ac:dyDescent="0.2">
      <c r="A4185">
        <v>844</v>
      </c>
      <c r="B4185" s="3" t="s">
        <v>110</v>
      </c>
      <c r="C4185" s="3" t="s">
        <v>111</v>
      </c>
      <c r="D4185" s="3">
        <v>2</v>
      </c>
      <c r="E4185" s="3">
        <v>119.83540000000001</v>
      </c>
      <c r="F4185">
        <f t="shared" si="67"/>
        <v>239.67080000000001</v>
      </c>
    </row>
    <row r="4186" spans="1:6" x14ac:dyDescent="0.2">
      <c r="A4186">
        <v>844</v>
      </c>
      <c r="B4186" s="3" t="s">
        <v>112</v>
      </c>
      <c r="C4186" s="3" t="s">
        <v>113</v>
      </c>
      <c r="D4186" s="3">
        <v>1</v>
      </c>
      <c r="E4186" s="3">
        <v>97.646150000000006</v>
      </c>
      <c r="F4186">
        <f t="shared" si="67"/>
        <v>97.646150000000006</v>
      </c>
    </row>
    <row r="4187" spans="1:6" x14ac:dyDescent="0.2">
      <c r="A4187">
        <v>844</v>
      </c>
      <c r="B4187" s="3" t="s">
        <v>97</v>
      </c>
      <c r="C4187" s="3" t="s">
        <v>98</v>
      </c>
      <c r="D4187" s="3">
        <v>5</v>
      </c>
      <c r="E4187" s="3">
        <v>189.87909999999999</v>
      </c>
      <c r="F4187">
        <f t="shared" si="67"/>
        <v>949.39549999999997</v>
      </c>
    </row>
    <row r="4188" spans="1:6" x14ac:dyDescent="0.2">
      <c r="A4188">
        <v>844</v>
      </c>
      <c r="B4188" s="3" t="s">
        <v>99</v>
      </c>
      <c r="C4188" s="3" t="s">
        <v>100</v>
      </c>
      <c r="D4188" s="3">
        <v>1</v>
      </c>
      <c r="E4188" s="3">
        <v>1287.1379999999999</v>
      </c>
      <c r="F4188">
        <f t="shared" si="67"/>
        <v>1287.1379999999999</v>
      </c>
    </row>
    <row r="4189" spans="1:6" x14ac:dyDescent="0.2">
      <c r="A4189">
        <v>844</v>
      </c>
      <c r="B4189" s="3" t="s">
        <v>101</v>
      </c>
      <c r="C4189" s="3" t="s">
        <v>102</v>
      </c>
      <c r="D4189" s="3">
        <v>1</v>
      </c>
      <c r="E4189" s="3">
        <v>1363.037</v>
      </c>
      <c r="F4189">
        <f t="shared" si="67"/>
        <v>1363.037</v>
      </c>
    </row>
    <row r="4190" spans="1:6" x14ac:dyDescent="0.2">
      <c r="A4190">
        <v>844</v>
      </c>
      <c r="B4190" s="3" t="s">
        <v>103</v>
      </c>
      <c r="C4190" s="3" t="s">
        <v>104</v>
      </c>
      <c r="D4190" s="3">
        <v>1</v>
      </c>
      <c r="E4190" s="3">
        <v>423.5822</v>
      </c>
      <c r="F4190">
        <f t="shared" si="67"/>
        <v>423.5822</v>
      </c>
    </row>
    <row r="4191" spans="1:6" x14ac:dyDescent="0.2">
      <c r="A4191">
        <v>844</v>
      </c>
      <c r="B4191" s="3" t="s">
        <v>105</v>
      </c>
      <c r="C4191" s="3" t="s">
        <v>106</v>
      </c>
      <c r="D4191" s="3">
        <v>5</v>
      </c>
      <c r="E4191" s="3">
        <v>36.470199999999998</v>
      </c>
      <c r="F4191">
        <f t="shared" si="67"/>
        <v>182.351</v>
      </c>
    </row>
    <row r="4192" spans="1:6" x14ac:dyDescent="0.2">
      <c r="A4192">
        <v>844</v>
      </c>
      <c r="B4192" s="3" t="s">
        <v>107</v>
      </c>
      <c r="C4192" s="3" t="s">
        <v>108</v>
      </c>
      <c r="D4192" s="3">
        <v>5</v>
      </c>
      <c r="E4192" s="3">
        <v>61.492310000000003</v>
      </c>
      <c r="F4192">
        <f t="shared" si="67"/>
        <v>307.46154999999999</v>
      </c>
    </row>
    <row r="4193" spans="1:6" x14ac:dyDescent="0.2">
      <c r="A4193">
        <v>844</v>
      </c>
      <c r="B4193" s="3" t="s">
        <v>62</v>
      </c>
      <c r="C4193" s="3" t="s">
        <v>323</v>
      </c>
      <c r="D4193" s="3">
        <v>1</v>
      </c>
      <c r="E4193" s="3">
        <v>0.34860000000000002</v>
      </c>
      <c r="F4193">
        <f t="shared" si="67"/>
        <v>0.34860000000000002</v>
      </c>
    </row>
    <row r="4194" spans="1:6" x14ac:dyDescent="0.2">
      <c r="A4194">
        <v>844</v>
      </c>
      <c r="B4194" s="3" t="s">
        <v>324</v>
      </c>
      <c r="C4194" s="3" t="s">
        <v>273</v>
      </c>
      <c r="D4194" s="3">
        <v>1</v>
      </c>
      <c r="E4194" s="3">
        <v>0.95450000000000002</v>
      </c>
      <c r="F4194">
        <f t="shared" si="67"/>
        <v>0.95450000000000002</v>
      </c>
    </row>
    <row r="4195" spans="1:6" x14ac:dyDescent="0.2">
      <c r="A4195">
        <v>844</v>
      </c>
      <c r="B4195" s="3" t="s">
        <v>325</v>
      </c>
      <c r="C4195" s="3" t="s">
        <v>273</v>
      </c>
      <c r="D4195" s="3">
        <v>4</v>
      </c>
      <c r="E4195" s="3">
        <v>3.3692310000000001</v>
      </c>
      <c r="F4195">
        <f t="shared" si="67"/>
        <v>13.476924</v>
      </c>
    </row>
    <row r="4196" spans="1:6" x14ac:dyDescent="0.2">
      <c r="A4196">
        <v>844</v>
      </c>
      <c r="B4196" s="3" t="s">
        <v>154</v>
      </c>
      <c r="C4196" s="3" t="s">
        <v>278</v>
      </c>
      <c r="D4196" s="3">
        <v>3</v>
      </c>
      <c r="E4196" s="3">
        <v>4.3658000000000001</v>
      </c>
      <c r="F4196">
        <f t="shared" si="67"/>
        <v>13.0974</v>
      </c>
    </row>
    <row r="4197" spans="1:6" x14ac:dyDescent="0.2">
      <c r="A4197">
        <v>844</v>
      </c>
      <c r="B4197" s="3" t="s">
        <v>290</v>
      </c>
      <c r="C4197" s="3" t="s">
        <v>278</v>
      </c>
      <c r="D4197" s="3">
        <v>1</v>
      </c>
      <c r="E4197" s="3">
        <v>43.751809999999999</v>
      </c>
      <c r="F4197">
        <f t="shared" si="67"/>
        <v>43.751809999999999</v>
      </c>
    </row>
    <row r="4198" spans="1:6" x14ac:dyDescent="0.2">
      <c r="A4198">
        <v>844</v>
      </c>
      <c r="B4198" s="3" t="s">
        <v>288</v>
      </c>
      <c r="C4198" s="3" t="s">
        <v>289</v>
      </c>
      <c r="D4198" s="3">
        <v>3</v>
      </c>
      <c r="E4198" s="3">
        <v>7.340122</v>
      </c>
      <c r="F4198">
        <f t="shared" si="67"/>
        <v>22.020365999999999</v>
      </c>
    </row>
    <row r="4199" spans="1:6" x14ac:dyDescent="0.2">
      <c r="A4199">
        <v>844</v>
      </c>
      <c r="B4199" s="3" t="s">
        <v>287</v>
      </c>
      <c r="C4199" s="3" t="s">
        <v>273</v>
      </c>
      <c r="D4199" s="3">
        <v>2</v>
      </c>
      <c r="E4199" s="3">
        <v>100.669</v>
      </c>
      <c r="F4199">
        <f t="shared" si="67"/>
        <v>201.33799999999999</v>
      </c>
    </row>
    <row r="4200" spans="1:6" x14ac:dyDescent="0.2">
      <c r="A4200">
        <v>844</v>
      </c>
      <c r="B4200" s="3" t="s">
        <v>285</v>
      </c>
      <c r="C4200" s="3" t="s">
        <v>286</v>
      </c>
      <c r="D4200" s="3">
        <v>4</v>
      </c>
      <c r="E4200" s="3">
        <v>58.189990000000002</v>
      </c>
      <c r="F4200">
        <f t="shared" si="67"/>
        <v>232.75996000000001</v>
      </c>
    </row>
    <row r="4201" spans="1:6" x14ac:dyDescent="0.2">
      <c r="A4201">
        <v>844</v>
      </c>
      <c r="B4201" s="3" t="s">
        <v>291</v>
      </c>
      <c r="C4201" s="3" t="s">
        <v>278</v>
      </c>
      <c r="D4201" s="3">
        <v>1</v>
      </c>
      <c r="E4201" s="3">
        <v>24.136399999999998</v>
      </c>
      <c r="F4201">
        <f t="shared" si="67"/>
        <v>24.136399999999998</v>
      </c>
    </row>
    <row r="4202" spans="1:6" x14ac:dyDescent="0.2">
      <c r="A4202">
        <v>844</v>
      </c>
      <c r="B4202" s="3" t="s">
        <v>277</v>
      </c>
      <c r="C4202" s="3" t="s">
        <v>278</v>
      </c>
      <c r="D4202" s="3">
        <v>118</v>
      </c>
      <c r="E4202" s="3">
        <v>41.026589999999999</v>
      </c>
      <c r="F4202">
        <f t="shared" si="67"/>
        <v>4841.1376199999995</v>
      </c>
    </row>
    <row r="4203" spans="1:6" x14ac:dyDescent="0.2">
      <c r="A4203">
        <v>844</v>
      </c>
      <c r="B4203" s="3" t="s">
        <v>326</v>
      </c>
      <c r="C4203" s="3" t="s">
        <v>278</v>
      </c>
      <c r="D4203" s="3">
        <v>1</v>
      </c>
      <c r="E4203" s="3">
        <v>3.9745979999999999</v>
      </c>
      <c r="F4203">
        <f t="shared" si="67"/>
        <v>3.9745979999999999</v>
      </c>
    </row>
    <row r="4204" spans="1:6" x14ac:dyDescent="0.2">
      <c r="A4204">
        <v>844</v>
      </c>
      <c r="B4204" s="3" t="s">
        <v>274</v>
      </c>
      <c r="C4204" s="3" t="s">
        <v>273</v>
      </c>
      <c r="D4204" s="3">
        <v>1</v>
      </c>
      <c r="E4204" s="3">
        <v>149.23089999999999</v>
      </c>
      <c r="F4204">
        <f t="shared" si="67"/>
        <v>149.23089999999999</v>
      </c>
    </row>
    <row r="4205" spans="1:6" x14ac:dyDescent="0.2">
      <c r="A4205">
        <v>844</v>
      </c>
      <c r="B4205" s="3" t="s">
        <v>327</v>
      </c>
      <c r="C4205" s="3" t="s">
        <v>309</v>
      </c>
      <c r="D4205" s="3">
        <v>3</v>
      </c>
      <c r="E4205" s="3">
        <v>1532.5239999999999</v>
      </c>
      <c r="F4205">
        <f t="shared" si="67"/>
        <v>4597.5720000000001</v>
      </c>
    </row>
    <row r="4206" spans="1:6" x14ac:dyDescent="0.2">
      <c r="A4206">
        <v>844</v>
      </c>
      <c r="B4206" s="3" t="s">
        <v>328</v>
      </c>
      <c r="C4206" s="3" t="s">
        <v>329</v>
      </c>
      <c r="D4206" s="3">
        <v>1</v>
      </c>
      <c r="E4206" s="3">
        <v>155.62309999999999</v>
      </c>
      <c r="F4206">
        <f t="shared" si="67"/>
        <v>155.62309999999999</v>
      </c>
    </row>
    <row r="4207" spans="1:6" x14ac:dyDescent="0.2">
      <c r="A4207">
        <v>844</v>
      </c>
      <c r="B4207" s="3" t="s">
        <v>330</v>
      </c>
      <c r="C4207" s="3" t="s">
        <v>331</v>
      </c>
      <c r="D4207" s="3">
        <v>2</v>
      </c>
      <c r="E4207" s="3">
        <v>710.44619999999998</v>
      </c>
      <c r="F4207">
        <f t="shared" si="67"/>
        <v>1420.8924</v>
      </c>
    </row>
    <row r="4208" spans="1:6" x14ac:dyDescent="0.2">
      <c r="A4208">
        <v>844</v>
      </c>
      <c r="B4208" s="3" t="s">
        <v>332</v>
      </c>
      <c r="C4208" s="3" t="s">
        <v>333</v>
      </c>
      <c r="D4208" s="3">
        <v>3</v>
      </c>
      <c r="E4208" s="3">
        <v>167.5538</v>
      </c>
      <c r="F4208">
        <f t="shared" si="67"/>
        <v>502.66139999999996</v>
      </c>
    </row>
    <row r="4209" spans="1:6" x14ac:dyDescent="0.2">
      <c r="A4209">
        <v>844</v>
      </c>
      <c r="B4209" s="3" t="s">
        <v>272</v>
      </c>
      <c r="C4209" s="3" t="s">
        <v>273</v>
      </c>
      <c r="D4209" s="3">
        <v>6</v>
      </c>
      <c r="E4209" s="3">
        <v>170.1112</v>
      </c>
      <c r="F4209">
        <f t="shared" si="67"/>
        <v>1020.6672</v>
      </c>
    </row>
    <row r="4210" spans="1:6" x14ac:dyDescent="0.2">
      <c r="A4210">
        <v>844</v>
      </c>
      <c r="B4210" s="3" t="s">
        <v>275</v>
      </c>
      <c r="C4210" s="3" t="s">
        <v>276</v>
      </c>
      <c r="D4210" s="3">
        <v>6</v>
      </c>
      <c r="E4210" s="3">
        <v>9.081448</v>
      </c>
      <c r="F4210">
        <f t="shared" si="67"/>
        <v>54.488687999999996</v>
      </c>
    </row>
    <row r="4211" spans="1:6" x14ac:dyDescent="0.2">
      <c r="A4211">
        <v>844</v>
      </c>
      <c r="B4211" s="3" t="s">
        <v>334</v>
      </c>
      <c r="C4211" s="3" t="s">
        <v>329</v>
      </c>
      <c r="D4211" s="3">
        <v>1</v>
      </c>
      <c r="E4211" s="3">
        <v>149.0308</v>
      </c>
      <c r="F4211">
        <f t="shared" si="67"/>
        <v>149.0308</v>
      </c>
    </row>
    <row r="4212" spans="1:6" x14ac:dyDescent="0.2">
      <c r="A4212">
        <v>844</v>
      </c>
      <c r="B4212" s="3" t="s">
        <v>335</v>
      </c>
      <c r="C4212" s="3" t="s">
        <v>331</v>
      </c>
      <c r="D4212" s="3">
        <v>1</v>
      </c>
      <c r="E4212" s="3">
        <v>703.1</v>
      </c>
      <c r="F4212">
        <f t="shared" si="67"/>
        <v>703.1</v>
      </c>
    </row>
    <row r="4213" spans="1:6" x14ac:dyDescent="0.2">
      <c r="A4213">
        <v>844</v>
      </c>
      <c r="B4213" s="3" t="s">
        <v>336</v>
      </c>
      <c r="C4213" s="3" t="s">
        <v>333</v>
      </c>
      <c r="D4213" s="3">
        <v>1</v>
      </c>
      <c r="E4213" s="3">
        <v>288.42309999999998</v>
      </c>
      <c r="F4213">
        <f t="shared" si="67"/>
        <v>288.42309999999998</v>
      </c>
    </row>
    <row r="4214" spans="1:6" x14ac:dyDescent="0.2">
      <c r="A4214">
        <v>844</v>
      </c>
      <c r="B4214" s="3" t="s">
        <v>337</v>
      </c>
      <c r="C4214" s="3" t="s">
        <v>297</v>
      </c>
      <c r="D4214" s="3">
        <v>1</v>
      </c>
      <c r="E4214" s="3">
        <v>11.761100000000001</v>
      </c>
      <c r="F4214">
        <f t="shared" si="67"/>
        <v>11.761100000000001</v>
      </c>
    </row>
    <row r="4215" spans="1:6" x14ac:dyDescent="0.2">
      <c r="A4215">
        <v>844</v>
      </c>
      <c r="B4215" s="3" t="s">
        <v>338</v>
      </c>
      <c r="C4215" s="3" t="s">
        <v>297</v>
      </c>
      <c r="D4215" s="3">
        <v>1</v>
      </c>
      <c r="E4215" s="3">
        <v>11.712960000000001</v>
      </c>
      <c r="F4215">
        <f t="shared" si="67"/>
        <v>11.712960000000001</v>
      </c>
    </row>
    <row r="4216" spans="1:6" x14ac:dyDescent="0.2">
      <c r="A4216">
        <v>844</v>
      </c>
      <c r="B4216" s="3" t="s">
        <v>339</v>
      </c>
      <c r="C4216" s="3" t="s">
        <v>297</v>
      </c>
      <c r="D4216" s="3">
        <v>1</v>
      </c>
      <c r="E4216" s="3">
        <v>20.279039999999998</v>
      </c>
      <c r="F4216">
        <f t="shared" si="67"/>
        <v>20.279039999999998</v>
      </c>
    </row>
    <row r="4217" spans="1:6" x14ac:dyDescent="0.2">
      <c r="A4217">
        <v>844</v>
      </c>
      <c r="B4217" s="3" t="s">
        <v>340</v>
      </c>
      <c r="C4217" s="3" t="s">
        <v>309</v>
      </c>
      <c r="D4217" s="3">
        <v>1</v>
      </c>
      <c r="E4217" s="3">
        <v>1536.3340000000001</v>
      </c>
      <c r="F4217">
        <f t="shared" si="67"/>
        <v>1536.3340000000001</v>
      </c>
    </row>
    <row r="4218" spans="1:6" x14ac:dyDescent="0.2">
      <c r="A4218">
        <v>844</v>
      </c>
      <c r="B4218" s="3" t="s">
        <v>341</v>
      </c>
      <c r="C4218" s="3" t="s">
        <v>342</v>
      </c>
      <c r="D4218" s="3">
        <v>1</v>
      </c>
      <c r="E4218" s="3">
        <v>307.22449999999998</v>
      </c>
      <c r="F4218">
        <f t="shared" si="67"/>
        <v>307.22449999999998</v>
      </c>
    </row>
    <row r="4219" spans="1:6" x14ac:dyDescent="0.2">
      <c r="A4219">
        <v>844</v>
      </c>
      <c r="B4219" s="3" t="s">
        <v>284</v>
      </c>
      <c r="C4219" s="3" t="s">
        <v>273</v>
      </c>
      <c r="D4219" s="3">
        <v>1</v>
      </c>
      <c r="E4219" s="3">
        <v>15.547000000000001</v>
      </c>
      <c r="F4219">
        <f t="shared" si="67"/>
        <v>15.547000000000001</v>
      </c>
    </row>
    <row r="4220" spans="1:6" x14ac:dyDescent="0.2">
      <c r="A4220">
        <v>844</v>
      </c>
      <c r="B4220" s="3" t="s">
        <v>283</v>
      </c>
      <c r="C4220" s="3" t="s">
        <v>278</v>
      </c>
      <c r="D4220" s="3">
        <v>1</v>
      </c>
      <c r="E4220" s="3">
        <v>101.76220000000001</v>
      </c>
      <c r="F4220">
        <f t="shared" si="67"/>
        <v>101.76220000000001</v>
      </c>
    </row>
    <row r="4221" spans="1:6" x14ac:dyDescent="0.2">
      <c r="A4221">
        <v>844</v>
      </c>
      <c r="B4221" s="3" t="s">
        <v>281</v>
      </c>
      <c r="C4221" s="3" t="s">
        <v>282</v>
      </c>
      <c r="D4221" s="3">
        <v>1</v>
      </c>
      <c r="E4221" s="3">
        <v>43.369190000000003</v>
      </c>
      <c r="F4221">
        <f t="shared" si="67"/>
        <v>43.369190000000003</v>
      </c>
    </row>
    <row r="4222" spans="1:6" x14ac:dyDescent="0.2">
      <c r="A4222">
        <v>844</v>
      </c>
      <c r="B4222" s="3" t="s">
        <v>279</v>
      </c>
      <c r="C4222" s="3" t="s">
        <v>280</v>
      </c>
      <c r="D4222" s="3">
        <v>1</v>
      </c>
      <c r="E4222" s="3">
        <v>36.786499999999997</v>
      </c>
      <c r="F4222">
        <f t="shared" si="67"/>
        <v>36.786499999999997</v>
      </c>
    </row>
    <row r="4223" spans="1:6" x14ac:dyDescent="0.2">
      <c r="A4223">
        <v>844</v>
      </c>
      <c r="B4223" s="3" t="s">
        <v>343</v>
      </c>
      <c r="C4223" s="3" t="s">
        <v>282</v>
      </c>
      <c r="D4223" s="3">
        <v>1</v>
      </c>
      <c r="E4223" s="3">
        <v>16.807500000000001</v>
      </c>
      <c r="F4223">
        <f t="shared" si="67"/>
        <v>16.807500000000001</v>
      </c>
    </row>
    <row r="4224" spans="1:6" x14ac:dyDescent="0.2">
      <c r="A4224">
        <v>844</v>
      </c>
      <c r="B4224" s="3" t="s">
        <v>344</v>
      </c>
      <c r="C4224" s="3" t="s">
        <v>282</v>
      </c>
      <c r="D4224" s="3">
        <v>1</v>
      </c>
      <c r="E4224" s="3">
        <v>12.76713</v>
      </c>
      <c r="F4224">
        <f t="shared" si="67"/>
        <v>12.76713</v>
      </c>
    </row>
    <row r="4225" spans="1:6" x14ac:dyDescent="0.2">
      <c r="A4225">
        <v>844</v>
      </c>
      <c r="B4225" s="3" t="s">
        <v>270</v>
      </c>
      <c r="C4225" s="3" t="s">
        <v>271</v>
      </c>
      <c r="D4225" s="3">
        <v>1</v>
      </c>
      <c r="E4225" s="3">
        <v>3027.0970000000002</v>
      </c>
      <c r="F4225">
        <f t="shared" si="67"/>
        <v>3027.0970000000002</v>
      </c>
    </row>
    <row r="4226" spans="1:6" x14ac:dyDescent="0.2">
      <c r="A4226">
        <v>844</v>
      </c>
      <c r="B4226" s="3" t="s">
        <v>272</v>
      </c>
      <c r="C4226" s="3" t="s">
        <v>273</v>
      </c>
      <c r="D4226" s="3">
        <v>1</v>
      </c>
      <c r="E4226" s="3">
        <v>170.1112</v>
      </c>
      <c r="F4226">
        <f t="shared" si="67"/>
        <v>170.1112</v>
      </c>
    </row>
    <row r="4227" spans="1:6" x14ac:dyDescent="0.2">
      <c r="A4227">
        <v>844</v>
      </c>
      <c r="B4227" s="3" t="s">
        <v>274</v>
      </c>
      <c r="C4227" s="3" t="s">
        <v>273</v>
      </c>
      <c r="D4227" s="3">
        <v>1</v>
      </c>
      <c r="E4227" s="3">
        <v>149.23089999999999</v>
      </c>
      <c r="F4227">
        <f t="shared" si="67"/>
        <v>149.23089999999999</v>
      </c>
    </row>
    <row r="4228" spans="1:6" x14ac:dyDescent="0.2">
      <c r="A4228">
        <v>844</v>
      </c>
      <c r="B4228" s="3" t="s">
        <v>275</v>
      </c>
      <c r="C4228" s="3" t="s">
        <v>276</v>
      </c>
      <c r="D4228" s="3">
        <v>2</v>
      </c>
      <c r="E4228" s="3">
        <v>9.081448</v>
      </c>
      <c r="F4228">
        <f t="shared" si="67"/>
        <v>18.162896</v>
      </c>
    </row>
    <row r="4229" spans="1:6" x14ac:dyDescent="0.2">
      <c r="A4229">
        <v>844</v>
      </c>
      <c r="B4229" s="3" t="s">
        <v>277</v>
      </c>
      <c r="C4229" s="3" t="s">
        <v>278</v>
      </c>
      <c r="D4229" s="3">
        <v>5</v>
      </c>
      <c r="E4229" s="3">
        <v>41.026589999999999</v>
      </c>
      <c r="F4229">
        <f t="shared" si="67"/>
        <v>205.13294999999999</v>
      </c>
    </row>
    <row r="4230" spans="1:6" x14ac:dyDescent="0.2">
      <c r="A4230">
        <v>844</v>
      </c>
      <c r="B4230" s="3" t="s">
        <v>279</v>
      </c>
      <c r="C4230" s="3" t="s">
        <v>280</v>
      </c>
      <c r="D4230" s="3">
        <v>1</v>
      </c>
      <c r="E4230" s="3">
        <v>36.786499999999997</v>
      </c>
      <c r="F4230">
        <f t="shared" si="67"/>
        <v>36.786499999999997</v>
      </c>
    </row>
    <row r="4231" spans="1:6" x14ac:dyDescent="0.2">
      <c r="A4231">
        <v>844</v>
      </c>
      <c r="B4231" s="3" t="s">
        <v>281</v>
      </c>
      <c r="C4231" s="3" t="s">
        <v>282</v>
      </c>
      <c r="D4231" s="3">
        <v>1</v>
      </c>
      <c r="E4231" s="3">
        <v>43.369190000000003</v>
      </c>
      <c r="F4231">
        <f t="shared" si="67"/>
        <v>43.369190000000003</v>
      </c>
    </row>
    <row r="4232" spans="1:6" x14ac:dyDescent="0.2">
      <c r="A4232">
        <v>844</v>
      </c>
      <c r="B4232" s="3" t="s">
        <v>283</v>
      </c>
      <c r="C4232" s="3" t="s">
        <v>278</v>
      </c>
      <c r="D4232" s="3">
        <v>3</v>
      </c>
      <c r="E4232" s="3">
        <v>101.76220000000001</v>
      </c>
      <c r="F4232">
        <f t="shared" si="67"/>
        <v>305.28660000000002</v>
      </c>
    </row>
    <row r="4233" spans="1:6" x14ac:dyDescent="0.2">
      <c r="A4233">
        <v>844</v>
      </c>
      <c r="B4233" s="3" t="s">
        <v>284</v>
      </c>
      <c r="C4233" s="3" t="s">
        <v>273</v>
      </c>
      <c r="D4233" s="3">
        <v>1</v>
      </c>
      <c r="E4233" s="3">
        <v>15.547000000000001</v>
      </c>
      <c r="F4233">
        <f t="shared" si="67"/>
        <v>15.547000000000001</v>
      </c>
    </row>
    <row r="4234" spans="1:6" x14ac:dyDescent="0.2">
      <c r="A4234">
        <v>844</v>
      </c>
      <c r="B4234" s="3" t="s">
        <v>285</v>
      </c>
      <c r="C4234" s="3" t="s">
        <v>286</v>
      </c>
      <c r="D4234" s="3">
        <v>2</v>
      </c>
      <c r="E4234" s="3">
        <v>58.189990000000002</v>
      </c>
      <c r="F4234">
        <f t="shared" si="67"/>
        <v>116.37998</v>
      </c>
    </row>
    <row r="4235" spans="1:6" x14ac:dyDescent="0.2">
      <c r="A4235">
        <v>844</v>
      </c>
      <c r="B4235" s="3" t="s">
        <v>287</v>
      </c>
      <c r="C4235" s="3" t="s">
        <v>273</v>
      </c>
      <c r="D4235" s="3">
        <v>2</v>
      </c>
      <c r="E4235" s="3">
        <v>100.669</v>
      </c>
      <c r="F4235">
        <f t="shared" ref="F4235:F4298" si="68">D4235*E4235</f>
        <v>201.33799999999999</v>
      </c>
    </row>
    <row r="4236" spans="1:6" x14ac:dyDescent="0.2">
      <c r="A4236">
        <v>844</v>
      </c>
      <c r="B4236" s="3" t="s">
        <v>288</v>
      </c>
      <c r="C4236" s="3" t="s">
        <v>289</v>
      </c>
      <c r="D4236" s="3">
        <v>2</v>
      </c>
      <c r="E4236" s="3">
        <v>7.340122</v>
      </c>
      <c r="F4236">
        <f t="shared" si="68"/>
        <v>14.680244</v>
      </c>
    </row>
    <row r="4237" spans="1:6" x14ac:dyDescent="0.2">
      <c r="A4237">
        <v>844</v>
      </c>
      <c r="B4237" s="3" t="s">
        <v>290</v>
      </c>
      <c r="C4237" s="3" t="s">
        <v>278</v>
      </c>
      <c r="D4237" s="3">
        <v>4</v>
      </c>
      <c r="E4237" s="3">
        <v>43.751809999999999</v>
      </c>
      <c r="F4237">
        <f t="shared" si="68"/>
        <v>175.00724</v>
      </c>
    </row>
    <row r="4238" spans="1:6" x14ac:dyDescent="0.2">
      <c r="A4238">
        <v>844</v>
      </c>
      <c r="B4238" s="3" t="s">
        <v>277</v>
      </c>
      <c r="C4238" s="3" t="s">
        <v>278</v>
      </c>
      <c r="D4238" s="3">
        <v>5</v>
      </c>
      <c r="E4238" s="3">
        <v>41.026589999999999</v>
      </c>
      <c r="F4238">
        <f t="shared" si="68"/>
        <v>205.13294999999999</v>
      </c>
    </row>
    <row r="4239" spans="1:6" x14ac:dyDescent="0.2">
      <c r="A4239">
        <v>844</v>
      </c>
      <c r="B4239" s="3" t="s">
        <v>291</v>
      </c>
      <c r="C4239" s="3" t="s">
        <v>278</v>
      </c>
      <c r="D4239" s="3">
        <v>5</v>
      </c>
      <c r="E4239" s="3">
        <v>24.136399999999998</v>
      </c>
      <c r="F4239">
        <f t="shared" si="68"/>
        <v>120.68199999999999</v>
      </c>
    </row>
    <row r="4240" spans="1:6" x14ac:dyDescent="0.2">
      <c r="A4240">
        <v>844</v>
      </c>
      <c r="B4240" s="3" t="s">
        <v>292</v>
      </c>
      <c r="C4240" s="3" t="s">
        <v>293</v>
      </c>
      <c r="D4240" s="3">
        <v>2</v>
      </c>
      <c r="E4240" s="3">
        <v>96.852699999999999</v>
      </c>
      <c r="F4240">
        <f t="shared" si="68"/>
        <v>193.7054</v>
      </c>
    </row>
    <row r="4241" spans="1:6" x14ac:dyDescent="0.2">
      <c r="A4241">
        <v>844</v>
      </c>
      <c r="B4241" s="3" t="s">
        <v>294</v>
      </c>
      <c r="C4241" s="3" t="s">
        <v>278</v>
      </c>
      <c r="D4241" s="3">
        <v>108</v>
      </c>
      <c r="E4241" s="3">
        <v>26.221409999999999</v>
      </c>
      <c r="F4241">
        <f t="shared" si="68"/>
        <v>2831.91228</v>
      </c>
    </row>
    <row r="4242" spans="1:6" x14ac:dyDescent="0.2">
      <c r="A4242">
        <v>844</v>
      </c>
      <c r="B4242" s="3" t="s">
        <v>295</v>
      </c>
      <c r="C4242" s="3" t="s">
        <v>273</v>
      </c>
      <c r="D4242" s="3">
        <v>108</v>
      </c>
      <c r="E4242" s="3">
        <v>54.88693</v>
      </c>
      <c r="F4242">
        <f t="shared" si="68"/>
        <v>5927.7884400000003</v>
      </c>
    </row>
    <row r="4243" spans="1:6" x14ac:dyDescent="0.2">
      <c r="A4243">
        <v>844</v>
      </c>
      <c r="B4243" s="3" t="s">
        <v>296</v>
      </c>
      <c r="C4243" s="3" t="s">
        <v>297</v>
      </c>
      <c r="D4243" s="3">
        <v>13</v>
      </c>
      <c r="E4243" s="3">
        <v>5.5029000000000003</v>
      </c>
      <c r="F4243">
        <f t="shared" si="68"/>
        <v>71.537700000000001</v>
      </c>
    </row>
    <row r="4244" spans="1:6" x14ac:dyDescent="0.2">
      <c r="A4244">
        <v>844</v>
      </c>
      <c r="B4244" s="3" t="s">
        <v>298</v>
      </c>
      <c r="C4244" s="3" t="s">
        <v>297</v>
      </c>
      <c r="D4244" s="3">
        <v>26</v>
      </c>
      <c r="E4244" s="3">
        <v>5.9344999999999999</v>
      </c>
      <c r="F4244">
        <f t="shared" si="68"/>
        <v>154.297</v>
      </c>
    </row>
    <row r="4245" spans="1:6" x14ac:dyDescent="0.2">
      <c r="A4245">
        <v>844</v>
      </c>
      <c r="B4245" s="3" t="s">
        <v>299</v>
      </c>
      <c r="C4245" s="3" t="s">
        <v>297</v>
      </c>
      <c r="D4245" s="3">
        <v>13</v>
      </c>
      <c r="E4245" s="3">
        <v>4.3574999999999999</v>
      </c>
      <c r="F4245">
        <f t="shared" si="68"/>
        <v>56.647500000000001</v>
      </c>
    </row>
    <row r="4246" spans="1:6" x14ac:dyDescent="0.2">
      <c r="A4246">
        <v>844</v>
      </c>
      <c r="B4246" s="3" t="s">
        <v>122</v>
      </c>
      <c r="C4246" s="3" t="s">
        <v>276</v>
      </c>
      <c r="D4246" s="3">
        <v>12</v>
      </c>
      <c r="E4246" s="3">
        <v>14.915100000000001</v>
      </c>
      <c r="F4246">
        <f t="shared" si="68"/>
        <v>178.9812</v>
      </c>
    </row>
    <row r="4247" spans="1:6" x14ac:dyDescent="0.2">
      <c r="A4247">
        <v>844</v>
      </c>
      <c r="B4247" s="3" t="s">
        <v>120</v>
      </c>
      <c r="C4247" s="3" t="s">
        <v>278</v>
      </c>
      <c r="D4247" s="3">
        <v>25</v>
      </c>
      <c r="E4247" s="3">
        <v>1.5604</v>
      </c>
      <c r="F4247">
        <f t="shared" si="68"/>
        <v>39.01</v>
      </c>
    </row>
    <row r="4248" spans="1:6" x14ac:dyDescent="0.2">
      <c r="A4248">
        <v>844</v>
      </c>
      <c r="B4248" s="3" t="s">
        <v>300</v>
      </c>
      <c r="C4248" s="3" t="s">
        <v>273</v>
      </c>
      <c r="D4248" s="3">
        <v>12</v>
      </c>
      <c r="E4248" s="3">
        <v>60.59</v>
      </c>
      <c r="F4248">
        <f t="shared" si="68"/>
        <v>727.08</v>
      </c>
    </row>
    <row r="4249" spans="1:6" x14ac:dyDescent="0.2">
      <c r="A4249">
        <v>844</v>
      </c>
      <c r="B4249" s="3" t="s">
        <v>301</v>
      </c>
      <c r="C4249" s="3" t="s">
        <v>302</v>
      </c>
      <c r="D4249" s="3">
        <v>2</v>
      </c>
      <c r="E4249" s="3">
        <v>104.8857</v>
      </c>
      <c r="F4249">
        <f t="shared" si="68"/>
        <v>209.7714</v>
      </c>
    </row>
    <row r="4250" spans="1:6" x14ac:dyDescent="0.2">
      <c r="A4250">
        <v>844</v>
      </c>
      <c r="B4250" s="3" t="s">
        <v>303</v>
      </c>
      <c r="C4250" s="3" t="s">
        <v>304</v>
      </c>
      <c r="D4250" s="3">
        <v>2</v>
      </c>
      <c r="E4250" s="3">
        <v>683.94489999999996</v>
      </c>
      <c r="F4250">
        <f t="shared" si="68"/>
        <v>1367.8897999999999</v>
      </c>
    </row>
    <row r="4251" spans="1:6" x14ac:dyDescent="0.2">
      <c r="A4251">
        <v>844</v>
      </c>
      <c r="B4251" s="3" t="s">
        <v>305</v>
      </c>
      <c r="C4251" s="3" t="s">
        <v>273</v>
      </c>
      <c r="D4251" s="3">
        <v>2</v>
      </c>
      <c r="E4251" s="3">
        <v>71.189099999999996</v>
      </c>
      <c r="F4251">
        <f t="shared" si="68"/>
        <v>142.37819999999999</v>
      </c>
    </row>
    <row r="4252" spans="1:6" x14ac:dyDescent="0.2">
      <c r="A4252">
        <v>844</v>
      </c>
      <c r="B4252" s="3" t="s">
        <v>294</v>
      </c>
      <c r="C4252" s="3" t="s">
        <v>278</v>
      </c>
      <c r="D4252" s="3">
        <v>8</v>
      </c>
      <c r="E4252" s="3">
        <v>26.221409999999999</v>
      </c>
      <c r="F4252">
        <f t="shared" si="68"/>
        <v>209.77127999999999</v>
      </c>
    </row>
    <row r="4253" spans="1:6" x14ac:dyDescent="0.2">
      <c r="A4253">
        <v>844</v>
      </c>
      <c r="B4253" s="3" t="s">
        <v>306</v>
      </c>
      <c r="C4253" s="3" t="s">
        <v>273</v>
      </c>
      <c r="D4253" s="3">
        <v>8</v>
      </c>
      <c r="E4253" s="3">
        <v>99.575779999999995</v>
      </c>
      <c r="F4253">
        <f t="shared" si="68"/>
        <v>796.60623999999996</v>
      </c>
    </row>
    <row r="4254" spans="1:6" x14ac:dyDescent="0.2">
      <c r="A4254">
        <v>844</v>
      </c>
      <c r="B4254" s="3" t="s">
        <v>294</v>
      </c>
      <c r="C4254" s="3" t="s">
        <v>278</v>
      </c>
      <c r="D4254" s="3">
        <v>8</v>
      </c>
      <c r="E4254" s="3">
        <v>26.221409999999999</v>
      </c>
      <c r="F4254">
        <f t="shared" si="68"/>
        <v>209.77127999999999</v>
      </c>
    </row>
    <row r="4255" spans="1:6" x14ac:dyDescent="0.2">
      <c r="A4255">
        <v>844</v>
      </c>
      <c r="B4255" s="3" t="s">
        <v>306</v>
      </c>
      <c r="C4255" s="3" t="s">
        <v>273</v>
      </c>
      <c r="D4255" s="3">
        <v>8</v>
      </c>
      <c r="E4255" s="3">
        <v>99.575779999999995</v>
      </c>
      <c r="F4255">
        <f t="shared" si="68"/>
        <v>796.60623999999996</v>
      </c>
    </row>
    <row r="4256" spans="1:6" x14ac:dyDescent="0.2">
      <c r="A4256">
        <v>844</v>
      </c>
      <c r="B4256" s="3" t="s">
        <v>308</v>
      </c>
      <c r="C4256" s="3" t="s">
        <v>309</v>
      </c>
      <c r="D4256" s="3">
        <v>1</v>
      </c>
      <c r="E4256" s="3">
        <v>167.62309999999999</v>
      </c>
      <c r="F4256">
        <f t="shared" si="68"/>
        <v>167.62309999999999</v>
      </c>
    </row>
    <row r="4257" spans="1:6" x14ac:dyDescent="0.2">
      <c r="A4257">
        <v>844</v>
      </c>
      <c r="B4257" s="3" t="s">
        <v>310</v>
      </c>
      <c r="C4257" s="3" t="s">
        <v>273</v>
      </c>
      <c r="D4257" s="3">
        <v>1</v>
      </c>
      <c r="E4257" s="3">
        <v>0.33200000000000002</v>
      </c>
      <c r="F4257">
        <f t="shared" si="68"/>
        <v>0.33200000000000002</v>
      </c>
    </row>
    <row r="4258" spans="1:6" x14ac:dyDescent="0.2">
      <c r="A4258">
        <v>844</v>
      </c>
      <c r="B4258" s="3" t="s">
        <v>197</v>
      </c>
      <c r="C4258" s="3" t="s">
        <v>278</v>
      </c>
      <c r="D4258" s="3">
        <v>8</v>
      </c>
      <c r="E4258" s="3">
        <v>7.4700000000000003E-2</v>
      </c>
      <c r="F4258">
        <f t="shared" si="68"/>
        <v>0.59760000000000002</v>
      </c>
    </row>
    <row r="4259" spans="1:6" x14ac:dyDescent="0.2">
      <c r="A4259">
        <v>844</v>
      </c>
      <c r="B4259" s="3" t="s">
        <v>311</v>
      </c>
      <c r="C4259" s="3" t="s">
        <v>273</v>
      </c>
      <c r="D4259" s="3">
        <v>52</v>
      </c>
      <c r="E4259" s="3">
        <v>1.5935999999999999</v>
      </c>
      <c r="F4259">
        <f t="shared" si="68"/>
        <v>82.867199999999997</v>
      </c>
    </row>
    <row r="4260" spans="1:6" x14ac:dyDescent="0.2">
      <c r="A4260">
        <v>844</v>
      </c>
      <c r="B4260" s="3" t="s">
        <v>312</v>
      </c>
      <c r="C4260" s="3" t="s">
        <v>278</v>
      </c>
      <c r="D4260" s="3">
        <v>3</v>
      </c>
      <c r="E4260" s="3">
        <v>21.040500000000002</v>
      </c>
      <c r="F4260">
        <f t="shared" si="68"/>
        <v>63.121500000000005</v>
      </c>
    </row>
    <row r="4261" spans="1:6" x14ac:dyDescent="0.2">
      <c r="A4261">
        <v>844</v>
      </c>
      <c r="B4261" s="3" t="s">
        <v>75</v>
      </c>
      <c r="C4261" s="3" t="s">
        <v>313</v>
      </c>
      <c r="D4261" s="3">
        <v>3</v>
      </c>
      <c r="E4261" s="3">
        <v>0.115385</v>
      </c>
      <c r="F4261">
        <f t="shared" si="68"/>
        <v>0.34615499999999999</v>
      </c>
    </row>
    <row r="4262" spans="1:6" x14ac:dyDescent="0.2">
      <c r="A4262">
        <v>844</v>
      </c>
      <c r="B4262" s="3" t="s">
        <v>314</v>
      </c>
      <c r="C4262" s="3" t="s">
        <v>273</v>
      </c>
      <c r="D4262" s="3">
        <v>36</v>
      </c>
      <c r="E4262" s="3">
        <v>0.45650000000000002</v>
      </c>
      <c r="F4262">
        <f t="shared" si="68"/>
        <v>16.434000000000001</v>
      </c>
    </row>
    <row r="4263" spans="1:6" x14ac:dyDescent="0.2">
      <c r="A4263">
        <v>844</v>
      </c>
      <c r="B4263" s="3" t="s">
        <v>314</v>
      </c>
      <c r="C4263" s="3" t="s">
        <v>315</v>
      </c>
      <c r="D4263" s="3">
        <v>12</v>
      </c>
      <c r="E4263" s="3">
        <v>0.45650000000000002</v>
      </c>
      <c r="F4263">
        <f t="shared" si="68"/>
        <v>5.4779999999999998</v>
      </c>
    </row>
    <row r="4264" spans="1:6" x14ac:dyDescent="0.2">
      <c r="A4264">
        <v>844</v>
      </c>
      <c r="B4264" s="3" t="s">
        <v>316</v>
      </c>
      <c r="C4264" s="3" t="s">
        <v>317</v>
      </c>
      <c r="D4264" s="3">
        <v>1</v>
      </c>
      <c r="E4264" s="3">
        <v>92.206620000000001</v>
      </c>
      <c r="F4264">
        <f t="shared" si="68"/>
        <v>92.206620000000001</v>
      </c>
    </row>
    <row r="4265" spans="1:6" x14ac:dyDescent="0.2">
      <c r="A4265">
        <v>844</v>
      </c>
      <c r="B4265" s="3" t="s">
        <v>318</v>
      </c>
      <c r="C4265" s="3" t="s">
        <v>319</v>
      </c>
      <c r="D4265" s="3">
        <v>2</v>
      </c>
      <c r="E4265" s="3">
        <v>85.453850000000003</v>
      </c>
      <c r="F4265">
        <f t="shared" si="68"/>
        <v>170.90770000000001</v>
      </c>
    </row>
    <row r="4266" spans="1:6" x14ac:dyDescent="0.2">
      <c r="A4266">
        <v>844</v>
      </c>
      <c r="B4266" s="3" t="s">
        <v>320</v>
      </c>
      <c r="C4266" s="3" t="s">
        <v>321</v>
      </c>
      <c r="D4266" s="3">
        <v>1</v>
      </c>
      <c r="E4266" s="3">
        <v>92.206620000000001</v>
      </c>
      <c r="F4266">
        <f t="shared" si="68"/>
        <v>92.206620000000001</v>
      </c>
    </row>
    <row r="4267" spans="1:6" x14ac:dyDescent="0.2">
      <c r="A4267">
        <v>844</v>
      </c>
      <c r="B4267" s="3" t="s">
        <v>267</v>
      </c>
      <c r="C4267" s="3" t="s">
        <v>268</v>
      </c>
      <c r="D4267" s="3">
        <v>1</v>
      </c>
      <c r="E4267" s="3">
        <v>84863.13</v>
      </c>
      <c r="F4267">
        <f t="shared" si="68"/>
        <v>84863.13</v>
      </c>
    </row>
    <row r="4268" spans="1:6" x14ac:dyDescent="0.2">
      <c r="A4268">
        <v>844</v>
      </c>
      <c r="B4268" s="3" t="s">
        <v>260</v>
      </c>
      <c r="C4268" s="3" t="s">
        <v>261</v>
      </c>
      <c r="D4268" s="3">
        <v>1</v>
      </c>
      <c r="E4268" s="3">
        <v>2908.2939999999999</v>
      </c>
      <c r="F4268">
        <f t="shared" si="68"/>
        <v>2908.2939999999999</v>
      </c>
    </row>
    <row r="4269" spans="1:6" x14ac:dyDescent="0.2">
      <c r="A4269">
        <v>844</v>
      </c>
      <c r="B4269" s="3" t="s">
        <v>262</v>
      </c>
      <c r="C4269" s="3" t="s">
        <v>263</v>
      </c>
      <c r="D4269" s="3">
        <v>1</v>
      </c>
      <c r="E4269" s="3">
        <v>3207.1970000000001</v>
      </c>
      <c r="F4269">
        <f t="shared" si="68"/>
        <v>3207.1970000000001</v>
      </c>
    </row>
    <row r="4270" spans="1:6" x14ac:dyDescent="0.2">
      <c r="A4270">
        <v>844</v>
      </c>
      <c r="B4270" s="3" t="s">
        <v>264</v>
      </c>
      <c r="C4270" s="3" t="s">
        <v>265</v>
      </c>
      <c r="D4270" s="3">
        <v>1</v>
      </c>
      <c r="E4270" s="3">
        <v>3466.7310000000002</v>
      </c>
      <c r="F4270">
        <f t="shared" si="68"/>
        <v>3466.7310000000002</v>
      </c>
    </row>
    <row r="4271" spans="1:6" x14ac:dyDescent="0.2">
      <c r="A4271">
        <v>844</v>
      </c>
      <c r="B4271" s="3" t="s">
        <v>259</v>
      </c>
      <c r="C4271" s="3" t="s">
        <v>258</v>
      </c>
      <c r="D4271" s="3">
        <v>1</v>
      </c>
      <c r="E4271" s="3">
        <v>3325.9760000000001</v>
      </c>
      <c r="F4271">
        <f t="shared" si="68"/>
        <v>3325.9760000000001</v>
      </c>
    </row>
    <row r="4272" spans="1:6" x14ac:dyDescent="0.2">
      <c r="A4272">
        <v>844</v>
      </c>
      <c r="B4272" s="3" t="s">
        <v>257</v>
      </c>
      <c r="C4272" s="3" t="s">
        <v>258</v>
      </c>
      <c r="D4272" s="3">
        <v>1</v>
      </c>
      <c r="E4272" s="3">
        <v>3325.9760000000001</v>
      </c>
      <c r="F4272">
        <f t="shared" si="68"/>
        <v>3325.9760000000001</v>
      </c>
    </row>
    <row r="4273" spans="1:6" x14ac:dyDescent="0.2">
      <c r="A4273">
        <v>844</v>
      </c>
      <c r="B4273" s="3" t="s">
        <v>253</v>
      </c>
      <c r="C4273" s="3" t="s">
        <v>254</v>
      </c>
      <c r="D4273" s="3">
        <v>1</v>
      </c>
      <c r="E4273" s="3">
        <v>21043.68</v>
      </c>
      <c r="F4273">
        <f t="shared" si="68"/>
        <v>21043.68</v>
      </c>
    </row>
    <row r="4274" spans="1:6" x14ac:dyDescent="0.2">
      <c r="A4274">
        <v>844</v>
      </c>
      <c r="B4274" s="3" t="s">
        <v>359</v>
      </c>
      <c r="C4274" s="3" t="s">
        <v>360</v>
      </c>
      <c r="D4274" s="3">
        <v>1</v>
      </c>
      <c r="E4274" s="3">
        <v>1844.9380000000001</v>
      </c>
      <c r="F4274">
        <f t="shared" si="68"/>
        <v>1844.9380000000001</v>
      </c>
    </row>
    <row r="4275" spans="1:6" x14ac:dyDescent="0.2">
      <c r="A4275">
        <v>844</v>
      </c>
      <c r="B4275" s="3" t="s">
        <v>389</v>
      </c>
      <c r="C4275" s="3" t="s">
        <v>390</v>
      </c>
      <c r="D4275">
        <v>1</v>
      </c>
      <c r="E4275" s="3">
        <v>4906</v>
      </c>
      <c r="F4275">
        <f t="shared" si="68"/>
        <v>4906</v>
      </c>
    </row>
    <row r="4276" spans="1:6" x14ac:dyDescent="0.2">
      <c r="A4276">
        <v>845</v>
      </c>
      <c r="B4276" s="3" t="s">
        <v>62</v>
      </c>
      <c r="C4276" s="3" t="s">
        <v>63</v>
      </c>
      <c r="D4276" s="3">
        <v>1</v>
      </c>
      <c r="E4276" s="3">
        <v>0.34860000000000002</v>
      </c>
      <c r="F4276">
        <f t="shared" si="68"/>
        <v>0.34860000000000002</v>
      </c>
    </row>
    <row r="4277" spans="1:6" x14ac:dyDescent="0.2">
      <c r="A4277">
        <v>845</v>
      </c>
      <c r="B4277" s="3" t="s">
        <v>64</v>
      </c>
      <c r="C4277" s="3" t="s">
        <v>65</v>
      </c>
      <c r="D4277" s="3">
        <v>1</v>
      </c>
      <c r="E4277" s="3">
        <v>803.07690000000002</v>
      </c>
      <c r="F4277">
        <f t="shared" si="68"/>
        <v>803.07690000000002</v>
      </c>
    </row>
    <row r="4278" spans="1:6" x14ac:dyDescent="0.2">
      <c r="A4278">
        <v>845</v>
      </c>
      <c r="B4278" s="3" t="s">
        <v>67</v>
      </c>
      <c r="C4278" s="3" t="s">
        <v>68</v>
      </c>
      <c r="D4278" s="3">
        <v>1</v>
      </c>
      <c r="E4278" s="3">
        <v>49.678570000000001</v>
      </c>
      <c r="F4278">
        <f t="shared" si="68"/>
        <v>49.678570000000001</v>
      </c>
    </row>
    <row r="4279" spans="1:6" x14ac:dyDescent="0.2">
      <c r="A4279">
        <v>845</v>
      </c>
      <c r="B4279" s="3" t="s">
        <v>70</v>
      </c>
      <c r="C4279" s="3" t="s">
        <v>71</v>
      </c>
      <c r="D4279" s="3">
        <v>2</v>
      </c>
      <c r="E4279" s="3">
        <v>407.98649999999998</v>
      </c>
      <c r="F4279">
        <f t="shared" si="68"/>
        <v>815.97299999999996</v>
      </c>
    </row>
    <row r="4280" spans="1:6" x14ac:dyDescent="0.2">
      <c r="A4280">
        <v>845</v>
      </c>
      <c r="B4280" s="3" t="s">
        <v>73</v>
      </c>
      <c r="C4280" s="3" t="s">
        <v>74</v>
      </c>
      <c r="D4280" s="3">
        <v>5</v>
      </c>
      <c r="E4280" s="3">
        <v>0.57783899999999999</v>
      </c>
      <c r="F4280">
        <f t="shared" si="68"/>
        <v>2.889195</v>
      </c>
    </row>
    <row r="4281" spans="1:6" x14ac:dyDescent="0.2">
      <c r="A4281">
        <v>845</v>
      </c>
      <c r="B4281" s="3" t="s">
        <v>75</v>
      </c>
      <c r="C4281" s="3" t="s">
        <v>76</v>
      </c>
      <c r="D4281" s="3">
        <v>75</v>
      </c>
      <c r="E4281" s="3">
        <v>0.115385</v>
      </c>
      <c r="F4281">
        <f t="shared" si="68"/>
        <v>8.6538749999999993</v>
      </c>
    </row>
    <row r="4282" spans="1:6" x14ac:dyDescent="0.2">
      <c r="A4282">
        <v>845</v>
      </c>
      <c r="B4282" s="3" t="s">
        <v>77</v>
      </c>
      <c r="C4282" s="3" t="s">
        <v>74</v>
      </c>
      <c r="D4282" s="3">
        <v>10</v>
      </c>
      <c r="E4282" s="3">
        <v>1.3944000000000001</v>
      </c>
      <c r="F4282">
        <f t="shared" si="68"/>
        <v>13.944000000000001</v>
      </c>
    </row>
    <row r="4283" spans="1:6" x14ac:dyDescent="0.2">
      <c r="A4283">
        <v>845</v>
      </c>
      <c r="B4283" s="3" t="s">
        <v>78</v>
      </c>
      <c r="C4283" s="3" t="s">
        <v>76</v>
      </c>
      <c r="D4283" s="3">
        <v>20</v>
      </c>
      <c r="E4283" s="3">
        <v>0.71839500000000001</v>
      </c>
      <c r="F4283">
        <f t="shared" si="68"/>
        <v>14.367900000000001</v>
      </c>
    </row>
    <row r="4284" spans="1:6" x14ac:dyDescent="0.2">
      <c r="A4284">
        <v>845</v>
      </c>
      <c r="B4284" s="3" t="s">
        <v>79</v>
      </c>
      <c r="C4284" s="3" t="s">
        <v>74</v>
      </c>
      <c r="D4284" s="3">
        <v>15</v>
      </c>
      <c r="E4284" s="3">
        <v>1.930769</v>
      </c>
      <c r="F4284">
        <f t="shared" si="68"/>
        <v>28.961534999999998</v>
      </c>
    </row>
    <row r="4285" spans="1:6" x14ac:dyDescent="0.2">
      <c r="A4285">
        <v>845</v>
      </c>
      <c r="B4285" s="3" t="s">
        <v>80</v>
      </c>
      <c r="C4285" s="3" t="s">
        <v>74</v>
      </c>
      <c r="D4285" s="3">
        <v>40</v>
      </c>
      <c r="E4285" s="3">
        <v>0.95450000000000002</v>
      </c>
      <c r="F4285">
        <f t="shared" si="68"/>
        <v>38.18</v>
      </c>
    </row>
    <row r="4286" spans="1:6" x14ac:dyDescent="0.2">
      <c r="A4286">
        <v>845</v>
      </c>
      <c r="B4286" s="3" t="s">
        <v>81</v>
      </c>
      <c r="C4286" s="3" t="s">
        <v>74</v>
      </c>
      <c r="D4286" s="3">
        <v>65</v>
      </c>
      <c r="E4286" s="3">
        <v>0.76359999999999995</v>
      </c>
      <c r="F4286">
        <f t="shared" si="68"/>
        <v>49.633999999999993</v>
      </c>
    </row>
    <row r="4287" spans="1:6" x14ac:dyDescent="0.2">
      <c r="A4287">
        <v>845</v>
      </c>
      <c r="B4287" s="3" t="s">
        <v>82</v>
      </c>
      <c r="C4287" s="3" t="s">
        <v>83</v>
      </c>
      <c r="D4287" s="3">
        <v>5</v>
      </c>
      <c r="E4287" s="3">
        <v>20.351600000000001</v>
      </c>
      <c r="F4287">
        <f t="shared" si="68"/>
        <v>101.75800000000001</v>
      </c>
    </row>
    <row r="4288" spans="1:6" x14ac:dyDescent="0.2">
      <c r="A4288">
        <v>845</v>
      </c>
      <c r="B4288" s="3" t="s">
        <v>84</v>
      </c>
      <c r="C4288" s="3" t="s">
        <v>85</v>
      </c>
      <c r="D4288" s="3">
        <v>5</v>
      </c>
      <c r="E4288" s="3">
        <v>102.3322</v>
      </c>
      <c r="F4288">
        <f t="shared" si="68"/>
        <v>511.661</v>
      </c>
    </row>
    <row r="4289" spans="1:6" x14ac:dyDescent="0.2">
      <c r="A4289">
        <v>845</v>
      </c>
      <c r="B4289" s="3" t="s">
        <v>86</v>
      </c>
      <c r="C4289" s="3" t="s">
        <v>85</v>
      </c>
      <c r="D4289" s="3">
        <v>5</v>
      </c>
      <c r="E4289" s="3">
        <v>144.2646</v>
      </c>
      <c r="F4289">
        <f t="shared" si="68"/>
        <v>721.32299999999998</v>
      </c>
    </row>
    <row r="4290" spans="1:6" x14ac:dyDescent="0.2">
      <c r="A4290">
        <v>845</v>
      </c>
      <c r="B4290" s="3" t="s">
        <v>87</v>
      </c>
      <c r="C4290" s="3" t="s">
        <v>88</v>
      </c>
      <c r="D4290" s="3">
        <v>5</v>
      </c>
      <c r="E4290" s="3">
        <v>162.0215</v>
      </c>
      <c r="F4290">
        <f t="shared" si="68"/>
        <v>810.10750000000007</v>
      </c>
    </row>
    <row r="4291" spans="1:6" x14ac:dyDescent="0.2">
      <c r="A4291">
        <v>845</v>
      </c>
      <c r="B4291" s="3" t="s">
        <v>89</v>
      </c>
      <c r="C4291" s="3" t="s">
        <v>85</v>
      </c>
      <c r="D4291" s="3">
        <v>5</v>
      </c>
      <c r="E4291" s="3">
        <v>211.0129</v>
      </c>
      <c r="F4291">
        <f t="shared" si="68"/>
        <v>1055.0645</v>
      </c>
    </row>
    <row r="4292" spans="1:6" x14ac:dyDescent="0.2">
      <c r="A4292">
        <v>845</v>
      </c>
      <c r="B4292" s="3" t="s">
        <v>90</v>
      </c>
      <c r="C4292" s="3" t="s">
        <v>88</v>
      </c>
      <c r="D4292" s="3">
        <v>5</v>
      </c>
      <c r="E4292" s="3">
        <v>238.1635</v>
      </c>
      <c r="F4292">
        <f t="shared" si="68"/>
        <v>1190.8175000000001</v>
      </c>
    </row>
    <row r="4293" spans="1:6" x14ac:dyDescent="0.2">
      <c r="A4293">
        <v>845</v>
      </c>
      <c r="B4293" s="3" t="s">
        <v>92</v>
      </c>
      <c r="C4293" s="3" t="s">
        <v>93</v>
      </c>
      <c r="D4293" s="3">
        <v>5</v>
      </c>
      <c r="E4293" s="3">
        <v>19.297499999999999</v>
      </c>
      <c r="F4293">
        <f t="shared" si="68"/>
        <v>96.487499999999997</v>
      </c>
    </row>
    <row r="4294" spans="1:6" x14ac:dyDescent="0.2">
      <c r="A4294">
        <v>845</v>
      </c>
      <c r="B4294" s="3" t="s">
        <v>94</v>
      </c>
      <c r="C4294" s="3" t="s">
        <v>95</v>
      </c>
      <c r="D4294" s="3">
        <v>1</v>
      </c>
      <c r="E4294" s="3">
        <v>644.46270000000004</v>
      </c>
      <c r="F4294">
        <f t="shared" si="68"/>
        <v>644.46270000000004</v>
      </c>
    </row>
    <row r="4295" spans="1:6" x14ac:dyDescent="0.2">
      <c r="A4295">
        <v>845</v>
      </c>
      <c r="B4295" s="3" t="s">
        <v>236</v>
      </c>
      <c r="C4295" s="3" t="s">
        <v>237</v>
      </c>
      <c r="D4295" s="3">
        <v>6</v>
      </c>
      <c r="E4295" s="3">
        <v>132.80000000000001</v>
      </c>
      <c r="F4295">
        <f t="shared" si="68"/>
        <v>796.80000000000007</v>
      </c>
    </row>
    <row r="4296" spans="1:6" x14ac:dyDescent="0.2">
      <c r="A4296">
        <v>845</v>
      </c>
      <c r="B4296" s="3" t="s">
        <v>238</v>
      </c>
      <c r="C4296" s="3" t="s">
        <v>239</v>
      </c>
      <c r="D4296" s="3">
        <v>4</v>
      </c>
      <c r="E4296" s="3">
        <v>340.93849999999998</v>
      </c>
      <c r="F4296">
        <f t="shared" si="68"/>
        <v>1363.7539999999999</v>
      </c>
    </row>
    <row r="4297" spans="1:6" x14ac:dyDescent="0.2">
      <c r="A4297">
        <v>845</v>
      </c>
      <c r="B4297" s="3" t="s">
        <v>240</v>
      </c>
      <c r="C4297" s="3" t="s">
        <v>241</v>
      </c>
      <c r="D4297" s="3">
        <v>4</v>
      </c>
      <c r="E4297" s="3">
        <v>309.0154</v>
      </c>
      <c r="F4297">
        <f t="shared" si="68"/>
        <v>1236.0616</v>
      </c>
    </row>
    <row r="4298" spans="1:6" x14ac:dyDescent="0.2">
      <c r="A4298">
        <v>845</v>
      </c>
      <c r="B4298" s="3" t="s">
        <v>242</v>
      </c>
      <c r="C4298" s="3" t="s">
        <v>243</v>
      </c>
      <c r="D4298" s="3">
        <v>2</v>
      </c>
      <c r="E4298" s="3">
        <v>427.76920000000001</v>
      </c>
      <c r="F4298">
        <f t="shared" si="68"/>
        <v>855.53840000000002</v>
      </c>
    </row>
    <row r="4299" spans="1:6" x14ac:dyDescent="0.2">
      <c r="A4299">
        <v>845</v>
      </c>
      <c r="B4299" s="3" t="s">
        <v>244</v>
      </c>
      <c r="C4299" s="3" t="s">
        <v>184</v>
      </c>
      <c r="D4299" s="3">
        <v>4</v>
      </c>
      <c r="E4299" s="3">
        <v>18.643080000000001</v>
      </c>
      <c r="F4299">
        <f t="shared" ref="F4299:F4362" si="69">D4299*E4299</f>
        <v>74.572320000000005</v>
      </c>
    </row>
    <row r="4300" spans="1:6" x14ac:dyDescent="0.2">
      <c r="A4300">
        <v>845</v>
      </c>
      <c r="B4300" s="3" t="s">
        <v>245</v>
      </c>
      <c r="C4300" s="3" t="s">
        <v>246</v>
      </c>
      <c r="D4300" s="3">
        <v>8</v>
      </c>
      <c r="E4300" s="3">
        <v>0.44819999999999999</v>
      </c>
      <c r="F4300">
        <f t="shared" si="69"/>
        <v>3.5855999999999999</v>
      </c>
    </row>
    <row r="4301" spans="1:6" x14ac:dyDescent="0.2">
      <c r="A4301">
        <v>845</v>
      </c>
      <c r="B4301" s="3" t="s">
        <v>75</v>
      </c>
      <c r="C4301" s="3" t="s">
        <v>247</v>
      </c>
      <c r="D4301" s="3">
        <v>8</v>
      </c>
      <c r="E4301" s="3">
        <v>0.115385</v>
      </c>
      <c r="F4301">
        <f t="shared" si="69"/>
        <v>0.92308000000000001</v>
      </c>
    </row>
    <row r="4302" spans="1:6" x14ac:dyDescent="0.2">
      <c r="A4302">
        <v>845</v>
      </c>
      <c r="B4302" s="3" t="s">
        <v>197</v>
      </c>
      <c r="C4302" s="3" t="s">
        <v>117</v>
      </c>
      <c r="D4302" s="3">
        <v>8</v>
      </c>
      <c r="E4302" s="3">
        <v>7.4700000000000003E-2</v>
      </c>
      <c r="F4302">
        <f t="shared" si="69"/>
        <v>0.59760000000000002</v>
      </c>
    </row>
    <row r="4303" spans="1:6" x14ac:dyDescent="0.2">
      <c r="A4303">
        <v>845</v>
      </c>
      <c r="B4303" s="3" t="s">
        <v>248</v>
      </c>
      <c r="C4303" s="3" t="s">
        <v>249</v>
      </c>
      <c r="D4303" s="3">
        <v>1</v>
      </c>
      <c r="E4303" s="3">
        <v>31064.98</v>
      </c>
      <c r="F4303">
        <f t="shared" si="69"/>
        <v>31064.98</v>
      </c>
    </row>
    <row r="4304" spans="1:6" x14ac:dyDescent="0.2">
      <c r="A4304">
        <v>845</v>
      </c>
      <c r="B4304" s="3" t="s">
        <v>250</v>
      </c>
      <c r="C4304" s="3" t="s">
        <v>251</v>
      </c>
      <c r="D4304" s="3">
        <v>2</v>
      </c>
      <c r="E4304" s="3">
        <v>564.5412</v>
      </c>
      <c r="F4304">
        <f t="shared" si="69"/>
        <v>1129.0824</v>
      </c>
    </row>
    <row r="4305" spans="1:6" x14ac:dyDescent="0.2">
      <c r="A4305">
        <v>845</v>
      </c>
      <c r="B4305" s="3" t="s">
        <v>146</v>
      </c>
      <c r="C4305" s="3" t="s">
        <v>147</v>
      </c>
      <c r="D4305" s="3">
        <v>2</v>
      </c>
      <c r="E4305" s="3">
        <v>8021.5770000000002</v>
      </c>
      <c r="F4305">
        <f t="shared" si="69"/>
        <v>16043.154</v>
      </c>
    </row>
    <row r="4306" spans="1:6" x14ac:dyDescent="0.2">
      <c r="A4306">
        <v>845</v>
      </c>
      <c r="B4306" s="3" t="s">
        <v>215</v>
      </c>
      <c r="C4306" s="3" t="s">
        <v>208</v>
      </c>
      <c r="D4306" s="3">
        <v>1</v>
      </c>
      <c r="E4306" s="3">
        <v>1.4289810000000001</v>
      </c>
      <c r="F4306">
        <f t="shared" si="69"/>
        <v>1.4289810000000001</v>
      </c>
    </row>
    <row r="4307" spans="1:6" x14ac:dyDescent="0.2">
      <c r="A4307">
        <v>845</v>
      </c>
      <c r="B4307" s="3" t="s">
        <v>200</v>
      </c>
      <c r="C4307" s="3" t="s">
        <v>199</v>
      </c>
      <c r="D4307" s="3">
        <v>3</v>
      </c>
      <c r="E4307" s="3">
        <v>0.66373400000000005</v>
      </c>
      <c r="F4307">
        <f t="shared" si="69"/>
        <v>1.9912020000000001</v>
      </c>
    </row>
    <row r="4308" spans="1:6" x14ac:dyDescent="0.2">
      <c r="A4308">
        <v>845</v>
      </c>
      <c r="B4308" s="3" t="s">
        <v>216</v>
      </c>
      <c r="C4308" s="3" t="s">
        <v>199</v>
      </c>
      <c r="D4308" s="3">
        <v>1</v>
      </c>
      <c r="E4308" s="3">
        <v>0.66400000000000003</v>
      </c>
      <c r="F4308">
        <f t="shared" si="69"/>
        <v>0.66400000000000003</v>
      </c>
    </row>
    <row r="4309" spans="1:6" x14ac:dyDescent="0.2">
      <c r="A4309">
        <v>845</v>
      </c>
      <c r="B4309" s="3" t="s">
        <v>217</v>
      </c>
      <c r="C4309" s="3" t="s">
        <v>199</v>
      </c>
      <c r="D4309" s="3">
        <v>1</v>
      </c>
      <c r="E4309" s="3">
        <v>4.2164000000000001</v>
      </c>
      <c r="F4309">
        <f t="shared" si="69"/>
        <v>4.2164000000000001</v>
      </c>
    </row>
    <row r="4310" spans="1:6" x14ac:dyDescent="0.2">
      <c r="A4310">
        <v>845</v>
      </c>
      <c r="B4310" s="3" t="s">
        <v>218</v>
      </c>
      <c r="C4310" s="3" t="s">
        <v>208</v>
      </c>
      <c r="D4310" s="3">
        <v>3</v>
      </c>
      <c r="E4310" s="3">
        <v>7.3455000000000004</v>
      </c>
      <c r="F4310">
        <f t="shared" si="69"/>
        <v>22.0365</v>
      </c>
    </row>
    <row r="4311" spans="1:6" x14ac:dyDescent="0.2">
      <c r="A4311">
        <v>845</v>
      </c>
      <c r="B4311" s="3" t="s">
        <v>219</v>
      </c>
      <c r="C4311" s="3" t="s">
        <v>199</v>
      </c>
      <c r="D4311" s="3">
        <v>2</v>
      </c>
      <c r="E4311" s="3">
        <v>1.4774</v>
      </c>
      <c r="F4311">
        <f t="shared" si="69"/>
        <v>2.9548000000000001</v>
      </c>
    </row>
    <row r="4312" spans="1:6" x14ac:dyDescent="0.2">
      <c r="A4312">
        <v>845</v>
      </c>
      <c r="B4312" s="3" t="s">
        <v>220</v>
      </c>
      <c r="C4312" s="3" t="s">
        <v>208</v>
      </c>
      <c r="D4312" s="3">
        <v>1</v>
      </c>
      <c r="E4312" s="3">
        <v>3.7267000000000001</v>
      </c>
      <c r="F4312">
        <f t="shared" si="69"/>
        <v>3.7267000000000001</v>
      </c>
    </row>
    <row r="4313" spans="1:6" x14ac:dyDescent="0.2">
      <c r="A4313">
        <v>845</v>
      </c>
      <c r="B4313" s="3" t="s">
        <v>221</v>
      </c>
      <c r="C4313" s="3" t="s">
        <v>199</v>
      </c>
      <c r="D4313" s="3">
        <v>5</v>
      </c>
      <c r="E4313" s="3">
        <v>0.97940000000000005</v>
      </c>
      <c r="F4313">
        <f t="shared" si="69"/>
        <v>4.8970000000000002</v>
      </c>
    </row>
    <row r="4314" spans="1:6" x14ac:dyDescent="0.2">
      <c r="A4314">
        <v>845</v>
      </c>
      <c r="B4314" s="3" t="s">
        <v>222</v>
      </c>
      <c r="C4314" s="3" t="s">
        <v>208</v>
      </c>
      <c r="D4314" s="3">
        <v>1</v>
      </c>
      <c r="E4314" s="3">
        <v>6.0673000000000004</v>
      </c>
      <c r="F4314">
        <f t="shared" si="69"/>
        <v>6.0673000000000004</v>
      </c>
    </row>
    <row r="4315" spans="1:6" x14ac:dyDescent="0.2">
      <c r="A4315">
        <v>845</v>
      </c>
      <c r="B4315" s="3" t="s">
        <v>223</v>
      </c>
      <c r="C4315" s="3" t="s">
        <v>224</v>
      </c>
      <c r="D4315" s="3">
        <v>1</v>
      </c>
      <c r="E4315" s="3">
        <v>19.4635</v>
      </c>
      <c r="F4315">
        <f t="shared" si="69"/>
        <v>19.4635</v>
      </c>
    </row>
    <row r="4316" spans="1:6" x14ac:dyDescent="0.2">
      <c r="A4316">
        <v>845</v>
      </c>
      <c r="B4316" s="3" t="s">
        <v>225</v>
      </c>
      <c r="C4316" s="3" t="s">
        <v>226</v>
      </c>
      <c r="D4316" s="3">
        <v>1</v>
      </c>
      <c r="E4316" s="3">
        <v>10.22151</v>
      </c>
      <c r="F4316">
        <f t="shared" si="69"/>
        <v>10.22151</v>
      </c>
    </row>
    <row r="4317" spans="1:6" x14ac:dyDescent="0.2">
      <c r="A4317">
        <v>845</v>
      </c>
      <c r="B4317" s="3" t="s">
        <v>227</v>
      </c>
      <c r="C4317" s="3" t="s">
        <v>208</v>
      </c>
      <c r="D4317" s="3">
        <v>5</v>
      </c>
      <c r="E4317" s="3">
        <v>3.6307689999999999</v>
      </c>
      <c r="F4317">
        <f t="shared" si="69"/>
        <v>18.153845</v>
      </c>
    </row>
    <row r="4318" spans="1:6" x14ac:dyDescent="0.2">
      <c r="A4318">
        <v>845</v>
      </c>
      <c r="B4318" s="3" t="s">
        <v>228</v>
      </c>
      <c r="C4318" s="3" t="s">
        <v>229</v>
      </c>
      <c r="D4318" s="3">
        <v>5</v>
      </c>
      <c r="E4318" s="3">
        <v>306.94979999999998</v>
      </c>
      <c r="F4318">
        <f t="shared" si="69"/>
        <v>1534.7489999999998</v>
      </c>
    </row>
    <row r="4319" spans="1:6" x14ac:dyDescent="0.2">
      <c r="A4319">
        <v>845</v>
      </c>
      <c r="B4319" s="3" t="s">
        <v>116</v>
      </c>
      <c r="C4319" s="3" t="s">
        <v>117</v>
      </c>
      <c r="D4319" s="3">
        <v>1</v>
      </c>
      <c r="E4319" s="3">
        <v>0.25729999999999997</v>
      </c>
      <c r="F4319">
        <f t="shared" si="69"/>
        <v>0.25729999999999997</v>
      </c>
    </row>
    <row r="4320" spans="1:6" x14ac:dyDescent="0.2">
      <c r="A4320">
        <v>845</v>
      </c>
      <c r="B4320" s="3" t="s">
        <v>78</v>
      </c>
      <c r="C4320" s="3" t="s">
        <v>76</v>
      </c>
      <c r="D4320" s="3">
        <v>1</v>
      </c>
      <c r="E4320" s="3">
        <v>0.71839500000000001</v>
      </c>
      <c r="F4320">
        <f t="shared" si="69"/>
        <v>0.71839500000000001</v>
      </c>
    </row>
    <row r="4321" spans="1:6" x14ac:dyDescent="0.2">
      <c r="A4321">
        <v>845</v>
      </c>
      <c r="B4321" s="3" t="s">
        <v>231</v>
      </c>
      <c r="C4321" s="3" t="s">
        <v>208</v>
      </c>
      <c r="D4321" s="3">
        <v>4</v>
      </c>
      <c r="E4321" s="3">
        <v>2.0832999999999999</v>
      </c>
      <c r="F4321">
        <f t="shared" si="69"/>
        <v>8.3331999999999997</v>
      </c>
    </row>
    <row r="4322" spans="1:6" x14ac:dyDescent="0.2">
      <c r="A4322">
        <v>845</v>
      </c>
      <c r="B4322" s="3" t="s">
        <v>232</v>
      </c>
      <c r="C4322" s="3" t="s">
        <v>119</v>
      </c>
      <c r="D4322" s="3">
        <v>3</v>
      </c>
      <c r="E4322" s="3">
        <v>1.5935999999999999</v>
      </c>
      <c r="F4322">
        <f t="shared" si="69"/>
        <v>4.7807999999999993</v>
      </c>
    </row>
    <row r="4323" spans="1:6" x14ac:dyDescent="0.2">
      <c r="A4323">
        <v>845</v>
      </c>
      <c r="B4323" s="3" t="s">
        <v>233</v>
      </c>
      <c r="C4323" s="3" t="s">
        <v>234</v>
      </c>
      <c r="D4323" s="3">
        <v>1</v>
      </c>
      <c r="E4323" s="3">
        <v>3989.2950000000001</v>
      </c>
      <c r="F4323">
        <f t="shared" si="69"/>
        <v>3989.2950000000001</v>
      </c>
    </row>
    <row r="4324" spans="1:6" x14ac:dyDescent="0.2">
      <c r="A4324">
        <v>845</v>
      </c>
      <c r="B4324" s="3" t="s">
        <v>142</v>
      </c>
      <c r="C4324" s="3" t="s">
        <v>143</v>
      </c>
      <c r="D4324" s="3">
        <v>3</v>
      </c>
      <c r="E4324" s="3">
        <v>18141.64</v>
      </c>
      <c r="F4324">
        <f t="shared" si="69"/>
        <v>54424.92</v>
      </c>
    </row>
    <row r="4325" spans="1:6" x14ac:dyDescent="0.2">
      <c r="A4325">
        <v>845</v>
      </c>
      <c r="B4325" s="3" t="s">
        <v>144</v>
      </c>
      <c r="C4325" s="3" t="s">
        <v>145</v>
      </c>
      <c r="D4325" s="3">
        <v>2</v>
      </c>
      <c r="E4325" s="3">
        <v>7346.6769999999997</v>
      </c>
      <c r="F4325">
        <f t="shared" si="69"/>
        <v>14693.353999999999</v>
      </c>
    </row>
    <row r="4326" spans="1:6" x14ac:dyDescent="0.2">
      <c r="A4326">
        <v>845</v>
      </c>
      <c r="B4326" s="3" t="s">
        <v>197</v>
      </c>
      <c r="C4326" s="3" t="s">
        <v>117</v>
      </c>
      <c r="D4326" s="3">
        <v>4</v>
      </c>
      <c r="E4326" s="3">
        <v>7.4700000000000003E-2</v>
      </c>
      <c r="F4326">
        <f t="shared" si="69"/>
        <v>0.29880000000000001</v>
      </c>
    </row>
    <row r="4327" spans="1:6" x14ac:dyDescent="0.2">
      <c r="A4327">
        <v>845</v>
      </c>
      <c r="B4327" s="3" t="s">
        <v>198</v>
      </c>
      <c r="C4327" s="3" t="s">
        <v>199</v>
      </c>
      <c r="D4327" s="3">
        <v>1</v>
      </c>
      <c r="E4327" s="3">
        <v>0.66373400000000005</v>
      </c>
      <c r="F4327">
        <f t="shared" si="69"/>
        <v>0.66373400000000005</v>
      </c>
    </row>
    <row r="4328" spans="1:6" x14ac:dyDescent="0.2">
      <c r="A4328">
        <v>845</v>
      </c>
      <c r="B4328" s="3" t="s">
        <v>200</v>
      </c>
      <c r="C4328" s="3" t="s">
        <v>199</v>
      </c>
      <c r="D4328" s="3">
        <v>118</v>
      </c>
      <c r="E4328" s="3">
        <v>0.66373400000000005</v>
      </c>
      <c r="F4328">
        <f t="shared" si="69"/>
        <v>78.320612000000011</v>
      </c>
    </row>
    <row r="4329" spans="1:6" x14ac:dyDescent="0.2">
      <c r="A4329">
        <v>845</v>
      </c>
      <c r="B4329" s="3" t="s">
        <v>201</v>
      </c>
      <c r="C4329" s="3" t="s">
        <v>76</v>
      </c>
      <c r="D4329" s="3">
        <v>1</v>
      </c>
      <c r="E4329" s="3">
        <v>0.22645100000000001</v>
      </c>
      <c r="F4329">
        <f t="shared" si="69"/>
        <v>0.22645100000000001</v>
      </c>
    </row>
    <row r="4330" spans="1:6" x14ac:dyDescent="0.2">
      <c r="A4330">
        <v>845</v>
      </c>
      <c r="B4330" s="3" t="s">
        <v>202</v>
      </c>
      <c r="C4330" s="3" t="s">
        <v>203</v>
      </c>
      <c r="D4330" s="3">
        <v>1</v>
      </c>
      <c r="E4330" s="3">
        <v>12.45</v>
      </c>
      <c r="F4330">
        <f t="shared" si="69"/>
        <v>12.45</v>
      </c>
    </row>
    <row r="4331" spans="1:6" x14ac:dyDescent="0.2">
      <c r="A4331">
        <v>845</v>
      </c>
      <c r="B4331" s="3" t="s">
        <v>204</v>
      </c>
      <c r="C4331" s="3" t="s">
        <v>205</v>
      </c>
      <c r="D4331" s="3">
        <v>3</v>
      </c>
      <c r="E4331" s="3">
        <v>103.7222</v>
      </c>
      <c r="F4331">
        <f t="shared" si="69"/>
        <v>311.16660000000002</v>
      </c>
    </row>
    <row r="4332" spans="1:6" x14ac:dyDescent="0.2">
      <c r="A4332">
        <v>845</v>
      </c>
      <c r="B4332" s="3" t="s">
        <v>116</v>
      </c>
      <c r="C4332" s="3" t="s">
        <v>117</v>
      </c>
      <c r="D4332" s="3">
        <v>1</v>
      </c>
      <c r="E4332" s="3">
        <v>0.25729999999999997</v>
      </c>
      <c r="F4332">
        <f t="shared" si="69"/>
        <v>0.25729999999999997</v>
      </c>
    </row>
    <row r="4333" spans="1:6" x14ac:dyDescent="0.2">
      <c r="A4333">
        <v>845</v>
      </c>
      <c r="B4333" s="3" t="s">
        <v>78</v>
      </c>
      <c r="C4333" s="3" t="s">
        <v>76</v>
      </c>
      <c r="D4333" s="3">
        <v>2</v>
      </c>
      <c r="E4333" s="3">
        <v>0.71839500000000001</v>
      </c>
      <c r="F4333">
        <f t="shared" si="69"/>
        <v>1.43679</v>
      </c>
    </row>
    <row r="4334" spans="1:6" x14ac:dyDescent="0.2">
      <c r="A4334">
        <v>845</v>
      </c>
      <c r="B4334" s="3" t="s">
        <v>207</v>
      </c>
      <c r="C4334" s="3" t="s">
        <v>208</v>
      </c>
      <c r="D4334" s="3">
        <v>3</v>
      </c>
      <c r="E4334" s="3">
        <v>4.6314000000000002</v>
      </c>
      <c r="F4334">
        <f t="shared" si="69"/>
        <v>13.894200000000001</v>
      </c>
    </row>
    <row r="4335" spans="1:6" x14ac:dyDescent="0.2">
      <c r="A4335">
        <v>845</v>
      </c>
      <c r="B4335" s="3" t="s">
        <v>209</v>
      </c>
      <c r="C4335" s="3" t="s">
        <v>210</v>
      </c>
      <c r="D4335" s="3">
        <v>6</v>
      </c>
      <c r="E4335" s="3">
        <v>39.550759999999997</v>
      </c>
      <c r="F4335">
        <f t="shared" si="69"/>
        <v>237.30455999999998</v>
      </c>
    </row>
    <row r="4336" spans="1:6" x14ac:dyDescent="0.2">
      <c r="A4336">
        <v>845</v>
      </c>
      <c r="B4336" s="3" t="s">
        <v>211</v>
      </c>
      <c r="C4336" s="3" t="s">
        <v>203</v>
      </c>
      <c r="D4336" s="3">
        <v>6</v>
      </c>
      <c r="E4336" s="3">
        <v>25.754899999999999</v>
      </c>
      <c r="F4336">
        <f t="shared" si="69"/>
        <v>154.52940000000001</v>
      </c>
    </row>
    <row r="4337" spans="1:6" x14ac:dyDescent="0.2">
      <c r="A4337">
        <v>845</v>
      </c>
      <c r="B4337" s="3" t="s">
        <v>212</v>
      </c>
      <c r="C4337" s="3" t="s">
        <v>213</v>
      </c>
      <c r="D4337" s="3">
        <v>1</v>
      </c>
      <c r="E4337" s="3">
        <v>272.92059999999998</v>
      </c>
      <c r="F4337">
        <f t="shared" si="69"/>
        <v>272.92059999999998</v>
      </c>
    </row>
    <row r="4338" spans="1:6" x14ac:dyDescent="0.2">
      <c r="A4338">
        <v>845</v>
      </c>
      <c r="B4338" s="3" t="s">
        <v>149</v>
      </c>
      <c r="C4338" s="3" t="s">
        <v>150</v>
      </c>
      <c r="D4338" s="3">
        <v>3</v>
      </c>
      <c r="E4338" s="3">
        <v>0.70550000000000002</v>
      </c>
      <c r="F4338">
        <f t="shared" si="69"/>
        <v>2.1165000000000003</v>
      </c>
    </row>
    <row r="4339" spans="1:6" x14ac:dyDescent="0.2">
      <c r="A4339">
        <v>845</v>
      </c>
      <c r="B4339" s="3" t="s">
        <v>151</v>
      </c>
      <c r="C4339" s="3" t="s">
        <v>152</v>
      </c>
      <c r="D4339" s="3">
        <v>1</v>
      </c>
      <c r="E4339" s="3">
        <v>5.6191000000000004</v>
      </c>
      <c r="F4339">
        <f t="shared" si="69"/>
        <v>5.6191000000000004</v>
      </c>
    </row>
    <row r="4340" spans="1:6" x14ac:dyDescent="0.2">
      <c r="A4340">
        <v>845</v>
      </c>
      <c r="B4340" s="3" t="s">
        <v>153</v>
      </c>
      <c r="C4340" s="3" t="s">
        <v>119</v>
      </c>
      <c r="D4340" s="3">
        <v>1</v>
      </c>
      <c r="E4340" s="3">
        <v>1.116636</v>
      </c>
      <c r="F4340">
        <f t="shared" si="69"/>
        <v>1.116636</v>
      </c>
    </row>
    <row r="4341" spans="1:6" x14ac:dyDescent="0.2">
      <c r="A4341">
        <v>845</v>
      </c>
      <c r="B4341" s="3" t="s">
        <v>154</v>
      </c>
      <c r="C4341" s="3" t="s">
        <v>117</v>
      </c>
      <c r="D4341" s="3">
        <v>3</v>
      </c>
      <c r="E4341" s="3">
        <v>4.3658000000000001</v>
      </c>
      <c r="F4341">
        <f t="shared" si="69"/>
        <v>13.0974</v>
      </c>
    </row>
    <row r="4342" spans="1:6" x14ac:dyDescent="0.2">
      <c r="A4342">
        <v>845</v>
      </c>
      <c r="B4342" s="3" t="s">
        <v>155</v>
      </c>
      <c r="C4342" s="3" t="s">
        <v>156</v>
      </c>
      <c r="D4342" s="3">
        <v>2</v>
      </c>
      <c r="E4342" s="3">
        <v>28.552</v>
      </c>
      <c r="F4342">
        <f t="shared" si="69"/>
        <v>57.103999999999999</v>
      </c>
    </row>
    <row r="4343" spans="1:6" x14ac:dyDescent="0.2">
      <c r="A4343">
        <v>845</v>
      </c>
      <c r="B4343" s="3" t="s">
        <v>157</v>
      </c>
      <c r="C4343" s="3" t="s">
        <v>158</v>
      </c>
      <c r="D4343" s="3">
        <v>1</v>
      </c>
      <c r="E4343" s="3">
        <v>29.456700000000001</v>
      </c>
      <c r="F4343">
        <f t="shared" si="69"/>
        <v>29.456700000000001</v>
      </c>
    </row>
    <row r="4344" spans="1:6" x14ac:dyDescent="0.2">
      <c r="A4344">
        <v>845</v>
      </c>
      <c r="B4344" s="3" t="s">
        <v>159</v>
      </c>
      <c r="C4344" s="3" t="s">
        <v>117</v>
      </c>
      <c r="D4344" s="3">
        <v>5</v>
      </c>
      <c r="E4344" s="3">
        <v>11.976900000000001</v>
      </c>
      <c r="F4344">
        <f t="shared" si="69"/>
        <v>59.884500000000003</v>
      </c>
    </row>
    <row r="4345" spans="1:6" x14ac:dyDescent="0.2">
      <c r="A4345">
        <v>845</v>
      </c>
      <c r="B4345" s="3" t="s">
        <v>116</v>
      </c>
      <c r="C4345" s="3" t="s">
        <v>117</v>
      </c>
      <c r="D4345" s="3">
        <v>1</v>
      </c>
      <c r="E4345" s="3">
        <v>0.25729999999999997</v>
      </c>
      <c r="F4345">
        <f t="shared" si="69"/>
        <v>0.25729999999999997</v>
      </c>
    </row>
    <row r="4346" spans="1:6" x14ac:dyDescent="0.2">
      <c r="A4346">
        <v>845</v>
      </c>
      <c r="B4346" s="3" t="s">
        <v>160</v>
      </c>
      <c r="C4346" s="3" t="s">
        <v>161</v>
      </c>
      <c r="D4346" s="3">
        <v>1</v>
      </c>
      <c r="E4346" s="3">
        <v>15.9194</v>
      </c>
      <c r="F4346">
        <f t="shared" si="69"/>
        <v>15.9194</v>
      </c>
    </row>
    <row r="4347" spans="1:6" x14ac:dyDescent="0.2">
      <c r="A4347">
        <v>845</v>
      </c>
      <c r="B4347" s="3" t="s">
        <v>162</v>
      </c>
      <c r="C4347" s="3" t="s">
        <v>163</v>
      </c>
      <c r="D4347" s="3">
        <v>1</v>
      </c>
      <c r="E4347" s="3">
        <v>62.822699999999998</v>
      </c>
      <c r="F4347">
        <f t="shared" si="69"/>
        <v>62.822699999999998</v>
      </c>
    </row>
    <row r="4348" spans="1:6" x14ac:dyDescent="0.2">
      <c r="A4348">
        <v>845</v>
      </c>
      <c r="B4348" s="3" t="s">
        <v>164</v>
      </c>
      <c r="C4348" s="3" t="s">
        <v>165</v>
      </c>
      <c r="D4348" s="3">
        <v>5</v>
      </c>
      <c r="E4348" s="3">
        <v>29.382000000000001</v>
      </c>
      <c r="F4348">
        <f t="shared" si="69"/>
        <v>146.91</v>
      </c>
    </row>
    <row r="4349" spans="1:6" x14ac:dyDescent="0.2">
      <c r="A4349">
        <v>845</v>
      </c>
      <c r="B4349" s="3" t="s">
        <v>166</v>
      </c>
      <c r="C4349" s="3" t="s">
        <v>76</v>
      </c>
      <c r="D4349" s="3">
        <v>5</v>
      </c>
      <c r="E4349" s="3">
        <v>0.97109999999999996</v>
      </c>
      <c r="F4349">
        <f t="shared" si="69"/>
        <v>4.8555000000000001</v>
      </c>
    </row>
    <row r="4350" spans="1:6" x14ac:dyDescent="0.2">
      <c r="A4350">
        <v>845</v>
      </c>
      <c r="B4350" s="3" t="s">
        <v>167</v>
      </c>
      <c r="C4350" s="3" t="s">
        <v>168</v>
      </c>
      <c r="D4350" s="3">
        <v>1</v>
      </c>
      <c r="E4350" s="3">
        <v>68.201099999999997</v>
      </c>
      <c r="F4350">
        <f t="shared" si="69"/>
        <v>68.201099999999997</v>
      </c>
    </row>
    <row r="4351" spans="1:6" x14ac:dyDescent="0.2">
      <c r="A4351">
        <v>845</v>
      </c>
      <c r="B4351" s="3" t="s">
        <v>169</v>
      </c>
      <c r="C4351" s="3" t="s">
        <v>119</v>
      </c>
      <c r="D4351" s="3">
        <v>1</v>
      </c>
      <c r="E4351" s="3">
        <v>26.078600000000002</v>
      </c>
      <c r="F4351">
        <f t="shared" si="69"/>
        <v>26.078600000000002</v>
      </c>
    </row>
    <row r="4352" spans="1:6" x14ac:dyDescent="0.2">
      <c r="A4352">
        <v>845</v>
      </c>
      <c r="B4352" s="3" t="s">
        <v>170</v>
      </c>
      <c r="C4352" s="3" t="s">
        <v>171</v>
      </c>
      <c r="D4352" s="3">
        <v>4</v>
      </c>
      <c r="E4352" s="3">
        <v>15.438000000000001</v>
      </c>
      <c r="F4352">
        <f t="shared" si="69"/>
        <v>61.752000000000002</v>
      </c>
    </row>
    <row r="4353" spans="1:6" x14ac:dyDescent="0.2">
      <c r="A4353">
        <v>845</v>
      </c>
      <c r="B4353" s="3" t="s">
        <v>172</v>
      </c>
      <c r="C4353" s="3" t="s">
        <v>173</v>
      </c>
      <c r="D4353" s="3">
        <v>3</v>
      </c>
      <c r="E4353" s="3">
        <v>158.41380000000001</v>
      </c>
      <c r="F4353">
        <f t="shared" si="69"/>
        <v>475.2414</v>
      </c>
    </row>
    <row r="4354" spans="1:6" x14ac:dyDescent="0.2">
      <c r="A4354">
        <v>845</v>
      </c>
      <c r="B4354" s="3" t="s">
        <v>174</v>
      </c>
      <c r="C4354" s="3" t="s">
        <v>119</v>
      </c>
      <c r="D4354" s="3">
        <v>1</v>
      </c>
      <c r="E4354" s="3">
        <v>1.2616000000000001</v>
      </c>
      <c r="F4354">
        <f t="shared" si="69"/>
        <v>1.2616000000000001</v>
      </c>
    </row>
    <row r="4355" spans="1:6" x14ac:dyDescent="0.2">
      <c r="A4355">
        <v>845</v>
      </c>
      <c r="B4355" s="3" t="s">
        <v>175</v>
      </c>
      <c r="C4355" s="3" t="s">
        <v>176</v>
      </c>
      <c r="D4355" s="3">
        <v>3</v>
      </c>
      <c r="E4355" s="3">
        <v>194.7595</v>
      </c>
      <c r="F4355">
        <f t="shared" si="69"/>
        <v>584.27850000000001</v>
      </c>
    </row>
    <row r="4356" spans="1:6" x14ac:dyDescent="0.2">
      <c r="A4356">
        <v>845</v>
      </c>
      <c r="B4356" s="3" t="s">
        <v>177</v>
      </c>
      <c r="C4356" s="3" t="s">
        <v>178</v>
      </c>
      <c r="D4356" s="3">
        <v>2</v>
      </c>
      <c r="E4356" s="3">
        <v>1660.624</v>
      </c>
      <c r="F4356">
        <f t="shared" si="69"/>
        <v>3321.248</v>
      </c>
    </row>
    <row r="4357" spans="1:6" x14ac:dyDescent="0.2">
      <c r="A4357">
        <v>845</v>
      </c>
      <c r="B4357" s="3" t="s">
        <v>179</v>
      </c>
      <c r="C4357" s="3" t="s">
        <v>119</v>
      </c>
      <c r="D4357" s="3">
        <v>4</v>
      </c>
      <c r="E4357" s="3">
        <v>32.444699999999997</v>
      </c>
      <c r="F4357">
        <f t="shared" si="69"/>
        <v>129.77879999999999</v>
      </c>
    </row>
    <row r="4358" spans="1:6" x14ac:dyDescent="0.2">
      <c r="A4358">
        <v>845</v>
      </c>
      <c r="B4358" s="3" t="s">
        <v>180</v>
      </c>
      <c r="C4358" s="3" t="s">
        <v>181</v>
      </c>
      <c r="D4358" s="3">
        <v>1</v>
      </c>
      <c r="E4358" s="3">
        <v>64.117500000000007</v>
      </c>
      <c r="F4358">
        <f t="shared" si="69"/>
        <v>64.117500000000007</v>
      </c>
    </row>
    <row r="4359" spans="1:6" x14ac:dyDescent="0.2">
      <c r="A4359">
        <v>845</v>
      </c>
      <c r="B4359" s="3" t="s">
        <v>182</v>
      </c>
      <c r="C4359" s="3" t="s">
        <v>158</v>
      </c>
      <c r="D4359" s="3">
        <v>118</v>
      </c>
      <c r="E4359" s="3">
        <v>80.78819</v>
      </c>
      <c r="F4359">
        <f t="shared" si="69"/>
        <v>9533.0064199999997</v>
      </c>
    </row>
    <row r="4360" spans="1:6" x14ac:dyDescent="0.2">
      <c r="A4360">
        <v>845</v>
      </c>
      <c r="B4360" s="3" t="s">
        <v>183</v>
      </c>
      <c r="C4360" s="3" t="s">
        <v>184</v>
      </c>
      <c r="D4360" s="3">
        <v>1</v>
      </c>
      <c r="E4360" s="3">
        <v>548.61540000000002</v>
      </c>
      <c r="F4360">
        <f t="shared" si="69"/>
        <v>548.61540000000002</v>
      </c>
    </row>
    <row r="4361" spans="1:6" x14ac:dyDescent="0.2">
      <c r="A4361">
        <v>845</v>
      </c>
      <c r="B4361" s="3" t="s">
        <v>185</v>
      </c>
      <c r="C4361" s="3" t="s">
        <v>186</v>
      </c>
      <c r="D4361" s="3">
        <v>1</v>
      </c>
      <c r="E4361" s="3">
        <v>278.05</v>
      </c>
      <c r="F4361">
        <f t="shared" si="69"/>
        <v>278.05</v>
      </c>
    </row>
    <row r="4362" spans="1:6" x14ac:dyDescent="0.2">
      <c r="A4362">
        <v>845</v>
      </c>
      <c r="B4362" s="3" t="s">
        <v>187</v>
      </c>
      <c r="C4362" s="3" t="s">
        <v>188</v>
      </c>
      <c r="D4362" s="3">
        <v>3</v>
      </c>
      <c r="E4362" s="3">
        <v>105.0365</v>
      </c>
      <c r="F4362">
        <f t="shared" si="69"/>
        <v>315.10950000000003</v>
      </c>
    </row>
    <row r="4363" spans="1:6" x14ac:dyDescent="0.2">
      <c r="A4363">
        <v>845</v>
      </c>
      <c r="B4363" s="3" t="s">
        <v>189</v>
      </c>
      <c r="C4363" s="3" t="s">
        <v>163</v>
      </c>
      <c r="D4363" s="3">
        <v>1</v>
      </c>
      <c r="E4363" s="3">
        <v>154.25970000000001</v>
      </c>
      <c r="F4363">
        <f t="shared" ref="F4363:F4426" si="70">D4363*E4363</f>
        <v>154.25970000000001</v>
      </c>
    </row>
    <row r="4364" spans="1:6" x14ac:dyDescent="0.2">
      <c r="A4364">
        <v>845</v>
      </c>
      <c r="B4364" s="3" t="s">
        <v>190</v>
      </c>
      <c r="C4364" s="3" t="s">
        <v>191</v>
      </c>
      <c r="D4364" s="3">
        <v>2</v>
      </c>
      <c r="E4364" s="3">
        <v>1397.886</v>
      </c>
      <c r="F4364">
        <f t="shared" si="70"/>
        <v>2795.7719999999999</v>
      </c>
    </row>
    <row r="4365" spans="1:6" x14ac:dyDescent="0.2">
      <c r="A4365">
        <v>845</v>
      </c>
      <c r="B4365" s="3" t="s">
        <v>192</v>
      </c>
      <c r="C4365" s="3" t="s">
        <v>193</v>
      </c>
      <c r="D4365" s="3">
        <v>3</v>
      </c>
      <c r="E4365" s="3">
        <v>843.03639999999996</v>
      </c>
      <c r="F4365">
        <f t="shared" si="70"/>
        <v>2529.1091999999999</v>
      </c>
    </row>
    <row r="4366" spans="1:6" x14ac:dyDescent="0.2">
      <c r="A4366">
        <v>845</v>
      </c>
      <c r="B4366" s="3" t="s">
        <v>194</v>
      </c>
      <c r="C4366" s="3" t="s">
        <v>193</v>
      </c>
      <c r="D4366" s="3">
        <v>6</v>
      </c>
      <c r="E4366" s="3">
        <v>868.20489999999995</v>
      </c>
      <c r="F4366">
        <f t="shared" si="70"/>
        <v>5209.2294000000002</v>
      </c>
    </row>
    <row r="4367" spans="1:6" x14ac:dyDescent="0.2">
      <c r="A4367">
        <v>845</v>
      </c>
      <c r="B4367" s="3" t="s">
        <v>195</v>
      </c>
      <c r="C4367" s="3" t="s">
        <v>117</v>
      </c>
      <c r="D4367" s="3">
        <v>6</v>
      </c>
      <c r="E4367" s="3">
        <v>1.0375000000000001</v>
      </c>
      <c r="F4367">
        <f t="shared" si="70"/>
        <v>6.2250000000000005</v>
      </c>
    </row>
    <row r="4368" spans="1:6" x14ac:dyDescent="0.2">
      <c r="A4368">
        <v>845</v>
      </c>
      <c r="B4368" s="3" t="s">
        <v>135</v>
      </c>
      <c r="C4368" s="3" t="s">
        <v>136</v>
      </c>
      <c r="D4368" s="3">
        <v>1</v>
      </c>
      <c r="E4368" s="3">
        <v>395.04689999999999</v>
      </c>
      <c r="F4368">
        <f t="shared" si="70"/>
        <v>395.04689999999999</v>
      </c>
    </row>
    <row r="4369" spans="1:6" x14ac:dyDescent="0.2">
      <c r="A4369">
        <v>845</v>
      </c>
      <c r="B4369" s="3" t="s">
        <v>137</v>
      </c>
      <c r="C4369" s="3" t="s">
        <v>138</v>
      </c>
      <c r="D4369" s="3">
        <v>3</v>
      </c>
      <c r="E4369" s="3">
        <v>252.98429999999999</v>
      </c>
      <c r="F4369">
        <f t="shared" si="70"/>
        <v>758.9529</v>
      </c>
    </row>
    <row r="4370" spans="1:6" x14ac:dyDescent="0.2">
      <c r="A4370">
        <v>845</v>
      </c>
      <c r="B4370" s="3" t="s">
        <v>139</v>
      </c>
      <c r="C4370" s="3" t="s">
        <v>140</v>
      </c>
      <c r="D4370" s="3">
        <v>1</v>
      </c>
      <c r="E4370" s="3">
        <v>2054.4580000000001</v>
      </c>
      <c r="F4370">
        <f t="shared" si="70"/>
        <v>2054.4580000000001</v>
      </c>
    </row>
    <row r="4371" spans="1:6" x14ac:dyDescent="0.2">
      <c r="A4371">
        <v>845</v>
      </c>
      <c r="B4371" s="3" t="s">
        <v>116</v>
      </c>
      <c r="C4371" s="3" t="s">
        <v>117</v>
      </c>
      <c r="D4371" s="3">
        <v>1</v>
      </c>
      <c r="E4371" s="3">
        <v>0.25729999999999997</v>
      </c>
      <c r="F4371">
        <f t="shared" si="70"/>
        <v>0.25729999999999997</v>
      </c>
    </row>
    <row r="4372" spans="1:6" x14ac:dyDescent="0.2">
      <c r="A4372">
        <v>845</v>
      </c>
      <c r="B4372" s="3" t="s">
        <v>118</v>
      </c>
      <c r="C4372" s="3" t="s">
        <v>119</v>
      </c>
      <c r="D4372" s="3">
        <v>3</v>
      </c>
      <c r="E4372" s="3">
        <v>0.83</v>
      </c>
      <c r="F4372">
        <f t="shared" si="70"/>
        <v>2.4899999999999998</v>
      </c>
    </row>
    <row r="4373" spans="1:6" x14ac:dyDescent="0.2">
      <c r="A4373">
        <v>845</v>
      </c>
      <c r="B4373" s="3" t="s">
        <v>120</v>
      </c>
      <c r="C4373" s="3" t="s">
        <v>117</v>
      </c>
      <c r="D4373" s="3">
        <v>2</v>
      </c>
      <c r="E4373" s="3">
        <v>1.5604</v>
      </c>
      <c r="F4373">
        <f t="shared" si="70"/>
        <v>3.1208</v>
      </c>
    </row>
    <row r="4374" spans="1:6" x14ac:dyDescent="0.2">
      <c r="A4374">
        <v>845</v>
      </c>
      <c r="B4374" s="3" t="s">
        <v>121</v>
      </c>
      <c r="C4374" s="3" t="s">
        <v>117</v>
      </c>
      <c r="D4374" s="3">
        <v>1</v>
      </c>
      <c r="E4374" s="3">
        <v>270.83730000000003</v>
      </c>
      <c r="F4374">
        <f t="shared" si="70"/>
        <v>270.83730000000003</v>
      </c>
    </row>
    <row r="4375" spans="1:6" x14ac:dyDescent="0.2">
      <c r="A4375">
        <v>845</v>
      </c>
      <c r="B4375" s="3" t="s">
        <v>122</v>
      </c>
      <c r="C4375" s="3" t="s">
        <v>76</v>
      </c>
      <c r="D4375" s="3">
        <v>5</v>
      </c>
      <c r="E4375" s="3">
        <v>14.915100000000001</v>
      </c>
      <c r="F4375">
        <f t="shared" si="70"/>
        <v>74.575500000000005</v>
      </c>
    </row>
    <row r="4376" spans="1:6" x14ac:dyDescent="0.2">
      <c r="A4376">
        <v>845</v>
      </c>
      <c r="B4376" s="3" t="s">
        <v>123</v>
      </c>
      <c r="C4376" s="3" t="s">
        <v>119</v>
      </c>
      <c r="D4376" s="3">
        <v>1</v>
      </c>
      <c r="E4376" s="3">
        <v>122.52460000000001</v>
      </c>
      <c r="F4376">
        <f t="shared" si="70"/>
        <v>122.52460000000001</v>
      </c>
    </row>
    <row r="4377" spans="1:6" x14ac:dyDescent="0.2">
      <c r="A4377">
        <v>845</v>
      </c>
      <c r="B4377" s="3" t="s">
        <v>124</v>
      </c>
      <c r="C4377" s="3" t="s">
        <v>119</v>
      </c>
      <c r="D4377" s="3">
        <v>1</v>
      </c>
      <c r="E4377" s="3">
        <v>65.877099999999999</v>
      </c>
      <c r="F4377">
        <f t="shared" si="70"/>
        <v>65.877099999999999</v>
      </c>
    </row>
    <row r="4378" spans="1:6" x14ac:dyDescent="0.2">
      <c r="A4378">
        <v>845</v>
      </c>
      <c r="B4378" s="3" t="s">
        <v>125</v>
      </c>
      <c r="C4378" s="3" t="s">
        <v>117</v>
      </c>
      <c r="D4378" s="3">
        <v>1</v>
      </c>
      <c r="E4378" s="3">
        <v>45.957099999999997</v>
      </c>
      <c r="F4378">
        <f t="shared" si="70"/>
        <v>45.957099999999997</v>
      </c>
    </row>
    <row r="4379" spans="1:6" x14ac:dyDescent="0.2">
      <c r="A4379">
        <v>845</v>
      </c>
      <c r="B4379" s="3" t="s">
        <v>126</v>
      </c>
      <c r="C4379" s="3" t="s">
        <v>127</v>
      </c>
      <c r="D4379" s="3">
        <v>5</v>
      </c>
      <c r="E4379" s="3">
        <v>411.49740000000003</v>
      </c>
      <c r="F4379">
        <f t="shared" si="70"/>
        <v>2057.4870000000001</v>
      </c>
    </row>
    <row r="4380" spans="1:6" x14ac:dyDescent="0.2">
      <c r="A4380">
        <v>845</v>
      </c>
      <c r="B4380" s="3" t="s">
        <v>129</v>
      </c>
      <c r="C4380" s="3" t="s">
        <v>130</v>
      </c>
      <c r="D4380" s="3">
        <v>5</v>
      </c>
      <c r="E4380" s="3">
        <v>6724.2780000000002</v>
      </c>
      <c r="F4380">
        <f t="shared" si="70"/>
        <v>33621.39</v>
      </c>
    </row>
    <row r="4381" spans="1:6" x14ac:dyDescent="0.2">
      <c r="A4381">
        <v>845</v>
      </c>
      <c r="B4381" s="3">
        <v>4656354</v>
      </c>
      <c r="C4381" s="3" t="s">
        <v>133</v>
      </c>
      <c r="D4381" s="3">
        <v>1</v>
      </c>
      <c r="E4381" s="3">
        <v>1168.0260000000001</v>
      </c>
      <c r="F4381">
        <f t="shared" si="70"/>
        <v>1168.0260000000001</v>
      </c>
    </row>
    <row r="4382" spans="1:6" x14ac:dyDescent="0.2">
      <c r="A4382">
        <v>845</v>
      </c>
      <c r="B4382" s="3" t="s">
        <v>110</v>
      </c>
      <c r="C4382" s="3" t="s">
        <v>111</v>
      </c>
      <c r="D4382" s="3">
        <v>1</v>
      </c>
      <c r="E4382" s="3">
        <v>119.83540000000001</v>
      </c>
      <c r="F4382">
        <f t="shared" si="70"/>
        <v>119.83540000000001</v>
      </c>
    </row>
    <row r="4383" spans="1:6" x14ac:dyDescent="0.2">
      <c r="A4383">
        <v>845</v>
      </c>
      <c r="B4383" s="3" t="s">
        <v>112</v>
      </c>
      <c r="C4383" s="3" t="s">
        <v>113</v>
      </c>
      <c r="D4383" s="3">
        <v>4</v>
      </c>
      <c r="E4383" s="3">
        <v>97.646150000000006</v>
      </c>
      <c r="F4383">
        <f t="shared" si="70"/>
        <v>390.58460000000002</v>
      </c>
    </row>
    <row r="4384" spans="1:6" x14ac:dyDescent="0.2">
      <c r="A4384">
        <v>845</v>
      </c>
      <c r="B4384" s="3" t="s">
        <v>110</v>
      </c>
      <c r="C4384" s="3" t="s">
        <v>111</v>
      </c>
      <c r="D4384" s="3">
        <v>3</v>
      </c>
      <c r="E4384" s="3">
        <v>119.83540000000001</v>
      </c>
      <c r="F4384">
        <f t="shared" si="70"/>
        <v>359.50620000000004</v>
      </c>
    </row>
    <row r="4385" spans="1:6" x14ac:dyDescent="0.2">
      <c r="A4385">
        <v>845</v>
      </c>
      <c r="B4385" s="3" t="s">
        <v>112</v>
      </c>
      <c r="C4385" s="3" t="s">
        <v>113</v>
      </c>
      <c r="D4385" s="3">
        <v>1</v>
      </c>
      <c r="E4385" s="3">
        <v>97.646150000000006</v>
      </c>
      <c r="F4385">
        <f t="shared" si="70"/>
        <v>97.646150000000006</v>
      </c>
    </row>
    <row r="4386" spans="1:6" x14ac:dyDescent="0.2">
      <c r="A4386">
        <v>845</v>
      </c>
      <c r="B4386" s="3" t="s">
        <v>97</v>
      </c>
      <c r="C4386" s="3" t="s">
        <v>98</v>
      </c>
      <c r="D4386" s="3">
        <v>3</v>
      </c>
      <c r="E4386" s="3">
        <v>189.87909999999999</v>
      </c>
      <c r="F4386">
        <f t="shared" si="70"/>
        <v>569.63729999999998</v>
      </c>
    </row>
    <row r="4387" spans="1:6" x14ac:dyDescent="0.2">
      <c r="A4387">
        <v>845</v>
      </c>
      <c r="B4387" s="3" t="s">
        <v>99</v>
      </c>
      <c r="C4387" s="3" t="s">
        <v>100</v>
      </c>
      <c r="D4387" s="3">
        <v>2</v>
      </c>
      <c r="E4387" s="3">
        <v>1287.1379999999999</v>
      </c>
      <c r="F4387">
        <f t="shared" si="70"/>
        <v>2574.2759999999998</v>
      </c>
    </row>
    <row r="4388" spans="1:6" x14ac:dyDescent="0.2">
      <c r="A4388">
        <v>845</v>
      </c>
      <c r="B4388" s="3" t="s">
        <v>101</v>
      </c>
      <c r="C4388" s="3" t="s">
        <v>102</v>
      </c>
      <c r="D4388" s="3">
        <v>4</v>
      </c>
      <c r="E4388" s="3">
        <v>1363.037</v>
      </c>
      <c r="F4388">
        <f t="shared" si="70"/>
        <v>5452.1480000000001</v>
      </c>
    </row>
    <row r="4389" spans="1:6" x14ac:dyDescent="0.2">
      <c r="A4389">
        <v>845</v>
      </c>
      <c r="B4389" s="3" t="s">
        <v>103</v>
      </c>
      <c r="C4389" s="3" t="s">
        <v>104</v>
      </c>
      <c r="D4389" s="3">
        <v>1</v>
      </c>
      <c r="E4389" s="3">
        <v>423.5822</v>
      </c>
      <c r="F4389">
        <f t="shared" si="70"/>
        <v>423.5822</v>
      </c>
    </row>
    <row r="4390" spans="1:6" x14ac:dyDescent="0.2">
      <c r="A4390">
        <v>845</v>
      </c>
      <c r="B4390" s="3" t="s">
        <v>105</v>
      </c>
      <c r="C4390" s="3" t="s">
        <v>106</v>
      </c>
      <c r="D4390" s="3">
        <v>118</v>
      </c>
      <c r="E4390" s="3">
        <v>36.470199999999998</v>
      </c>
      <c r="F4390">
        <f t="shared" si="70"/>
        <v>4303.4835999999996</v>
      </c>
    </row>
    <row r="4391" spans="1:6" x14ac:dyDescent="0.2">
      <c r="A4391">
        <v>845</v>
      </c>
      <c r="B4391" s="3" t="s">
        <v>107</v>
      </c>
      <c r="C4391" s="3" t="s">
        <v>108</v>
      </c>
      <c r="D4391" s="3">
        <v>1</v>
      </c>
      <c r="E4391" s="3">
        <v>61.492310000000003</v>
      </c>
      <c r="F4391">
        <f t="shared" si="70"/>
        <v>61.492310000000003</v>
      </c>
    </row>
    <row r="4392" spans="1:6" x14ac:dyDescent="0.2">
      <c r="A4392">
        <v>845</v>
      </c>
      <c r="B4392" s="3" t="s">
        <v>62</v>
      </c>
      <c r="C4392" s="3" t="s">
        <v>323</v>
      </c>
      <c r="D4392" s="3">
        <v>1</v>
      </c>
      <c r="E4392" s="3">
        <v>0.34860000000000002</v>
      </c>
      <c r="F4392">
        <f t="shared" si="70"/>
        <v>0.34860000000000002</v>
      </c>
    </row>
    <row r="4393" spans="1:6" x14ac:dyDescent="0.2">
      <c r="A4393">
        <v>845</v>
      </c>
      <c r="B4393" s="3" t="s">
        <v>324</v>
      </c>
      <c r="C4393" s="3" t="s">
        <v>273</v>
      </c>
      <c r="D4393" s="3">
        <v>3</v>
      </c>
      <c r="E4393" s="3">
        <v>0.95450000000000002</v>
      </c>
      <c r="F4393">
        <f t="shared" si="70"/>
        <v>2.8635000000000002</v>
      </c>
    </row>
    <row r="4394" spans="1:6" x14ac:dyDescent="0.2">
      <c r="A4394">
        <v>845</v>
      </c>
      <c r="B4394" s="3" t="s">
        <v>325</v>
      </c>
      <c r="C4394" s="3" t="s">
        <v>273</v>
      </c>
      <c r="D4394" s="3">
        <v>1</v>
      </c>
      <c r="E4394" s="3">
        <v>3.3692310000000001</v>
      </c>
      <c r="F4394">
        <f t="shared" si="70"/>
        <v>3.3692310000000001</v>
      </c>
    </row>
    <row r="4395" spans="1:6" x14ac:dyDescent="0.2">
      <c r="A4395">
        <v>845</v>
      </c>
      <c r="B4395" s="3" t="s">
        <v>154</v>
      </c>
      <c r="C4395" s="3" t="s">
        <v>278</v>
      </c>
      <c r="D4395" s="3">
        <v>2</v>
      </c>
      <c r="E4395" s="3">
        <v>4.3658000000000001</v>
      </c>
      <c r="F4395">
        <f t="shared" si="70"/>
        <v>8.7316000000000003</v>
      </c>
    </row>
    <row r="4396" spans="1:6" x14ac:dyDescent="0.2">
      <c r="A4396">
        <v>845</v>
      </c>
      <c r="B4396" s="3" t="s">
        <v>290</v>
      </c>
      <c r="C4396" s="3" t="s">
        <v>278</v>
      </c>
      <c r="D4396" s="3">
        <v>3</v>
      </c>
      <c r="E4396" s="3">
        <v>43.751809999999999</v>
      </c>
      <c r="F4396">
        <f t="shared" si="70"/>
        <v>131.25542999999999</v>
      </c>
    </row>
    <row r="4397" spans="1:6" x14ac:dyDescent="0.2">
      <c r="A4397">
        <v>845</v>
      </c>
      <c r="B4397" s="3" t="s">
        <v>288</v>
      </c>
      <c r="C4397" s="3" t="s">
        <v>289</v>
      </c>
      <c r="D4397" s="3">
        <v>6</v>
      </c>
      <c r="E4397" s="3">
        <v>7.340122</v>
      </c>
      <c r="F4397">
        <f t="shared" si="70"/>
        <v>44.040731999999998</v>
      </c>
    </row>
    <row r="4398" spans="1:6" x14ac:dyDescent="0.2">
      <c r="A4398">
        <v>845</v>
      </c>
      <c r="B4398" s="3" t="s">
        <v>287</v>
      </c>
      <c r="C4398" s="3" t="s">
        <v>273</v>
      </c>
      <c r="D4398" s="3">
        <v>6</v>
      </c>
      <c r="E4398" s="3">
        <v>100.669</v>
      </c>
      <c r="F4398">
        <f t="shared" si="70"/>
        <v>604.01400000000001</v>
      </c>
    </row>
    <row r="4399" spans="1:6" x14ac:dyDescent="0.2">
      <c r="A4399">
        <v>845</v>
      </c>
      <c r="B4399" s="3" t="s">
        <v>285</v>
      </c>
      <c r="C4399" s="3" t="s">
        <v>286</v>
      </c>
      <c r="D4399" s="3">
        <v>1</v>
      </c>
      <c r="E4399" s="3">
        <v>58.189990000000002</v>
      </c>
      <c r="F4399">
        <f t="shared" si="70"/>
        <v>58.189990000000002</v>
      </c>
    </row>
    <row r="4400" spans="1:6" x14ac:dyDescent="0.2">
      <c r="A4400">
        <v>845</v>
      </c>
      <c r="B4400" s="3" t="s">
        <v>291</v>
      </c>
      <c r="C4400" s="3" t="s">
        <v>278</v>
      </c>
      <c r="D4400" s="3">
        <v>3</v>
      </c>
      <c r="E4400" s="3">
        <v>24.136399999999998</v>
      </c>
      <c r="F4400">
        <f t="shared" si="70"/>
        <v>72.409199999999998</v>
      </c>
    </row>
    <row r="4401" spans="1:6" x14ac:dyDescent="0.2">
      <c r="A4401">
        <v>845</v>
      </c>
      <c r="B4401" s="3" t="s">
        <v>277</v>
      </c>
      <c r="C4401" s="3" t="s">
        <v>278</v>
      </c>
      <c r="D4401" s="3">
        <v>1</v>
      </c>
      <c r="E4401" s="3">
        <v>41.026589999999999</v>
      </c>
      <c r="F4401">
        <f t="shared" si="70"/>
        <v>41.026589999999999</v>
      </c>
    </row>
    <row r="4402" spans="1:6" x14ac:dyDescent="0.2">
      <c r="A4402">
        <v>845</v>
      </c>
      <c r="B4402" s="3" t="s">
        <v>326</v>
      </c>
      <c r="C4402" s="3" t="s">
        <v>278</v>
      </c>
      <c r="D4402" s="3">
        <v>1</v>
      </c>
      <c r="E4402" s="3">
        <v>3.9745979999999999</v>
      </c>
      <c r="F4402">
        <f t="shared" si="70"/>
        <v>3.9745979999999999</v>
      </c>
    </row>
    <row r="4403" spans="1:6" x14ac:dyDescent="0.2">
      <c r="A4403">
        <v>845</v>
      </c>
      <c r="B4403" s="3" t="s">
        <v>274</v>
      </c>
      <c r="C4403" s="3" t="s">
        <v>273</v>
      </c>
      <c r="D4403" s="3">
        <v>3</v>
      </c>
      <c r="E4403" s="3">
        <v>149.23089999999999</v>
      </c>
      <c r="F4403">
        <f t="shared" si="70"/>
        <v>447.69269999999995</v>
      </c>
    </row>
    <row r="4404" spans="1:6" x14ac:dyDescent="0.2">
      <c r="A4404">
        <v>845</v>
      </c>
      <c r="B4404" s="3" t="s">
        <v>327</v>
      </c>
      <c r="C4404" s="3" t="s">
        <v>309</v>
      </c>
      <c r="D4404" s="3">
        <v>2</v>
      </c>
      <c r="E4404" s="3">
        <v>1532.5239999999999</v>
      </c>
      <c r="F4404">
        <f t="shared" si="70"/>
        <v>3065.0479999999998</v>
      </c>
    </row>
    <row r="4405" spans="1:6" x14ac:dyDescent="0.2">
      <c r="A4405">
        <v>845</v>
      </c>
      <c r="B4405" s="3" t="s">
        <v>328</v>
      </c>
      <c r="C4405" s="3" t="s">
        <v>329</v>
      </c>
      <c r="D4405" s="3">
        <v>1</v>
      </c>
      <c r="E4405" s="3">
        <v>155.62309999999999</v>
      </c>
      <c r="F4405">
        <f t="shared" si="70"/>
        <v>155.62309999999999</v>
      </c>
    </row>
    <row r="4406" spans="1:6" x14ac:dyDescent="0.2">
      <c r="A4406">
        <v>845</v>
      </c>
      <c r="B4406" s="3" t="s">
        <v>330</v>
      </c>
      <c r="C4406" s="3" t="s">
        <v>331</v>
      </c>
      <c r="D4406" s="3">
        <v>5</v>
      </c>
      <c r="E4406" s="3">
        <v>710.44619999999998</v>
      </c>
      <c r="F4406">
        <f t="shared" si="70"/>
        <v>3552.2309999999998</v>
      </c>
    </row>
    <row r="4407" spans="1:6" x14ac:dyDescent="0.2">
      <c r="A4407">
        <v>845</v>
      </c>
      <c r="B4407" s="3" t="s">
        <v>332</v>
      </c>
      <c r="C4407" s="3" t="s">
        <v>333</v>
      </c>
      <c r="D4407" s="3">
        <v>1</v>
      </c>
      <c r="E4407" s="3">
        <v>167.5538</v>
      </c>
      <c r="F4407">
        <f t="shared" si="70"/>
        <v>167.5538</v>
      </c>
    </row>
    <row r="4408" spans="1:6" x14ac:dyDescent="0.2">
      <c r="A4408">
        <v>845</v>
      </c>
      <c r="B4408" s="3" t="s">
        <v>272</v>
      </c>
      <c r="C4408" s="3" t="s">
        <v>273</v>
      </c>
      <c r="D4408" s="3">
        <v>1</v>
      </c>
      <c r="E4408" s="3">
        <v>170.1112</v>
      </c>
      <c r="F4408">
        <f t="shared" si="70"/>
        <v>170.1112</v>
      </c>
    </row>
    <row r="4409" spans="1:6" x14ac:dyDescent="0.2">
      <c r="A4409">
        <v>845</v>
      </c>
      <c r="B4409" s="3" t="s">
        <v>275</v>
      </c>
      <c r="C4409" s="3" t="s">
        <v>276</v>
      </c>
      <c r="D4409" s="3">
        <v>1</v>
      </c>
      <c r="E4409" s="3">
        <v>9.081448</v>
      </c>
      <c r="F4409">
        <f t="shared" si="70"/>
        <v>9.081448</v>
      </c>
    </row>
    <row r="4410" spans="1:6" x14ac:dyDescent="0.2">
      <c r="A4410">
        <v>845</v>
      </c>
      <c r="B4410" s="3" t="s">
        <v>334</v>
      </c>
      <c r="C4410" s="3" t="s">
        <v>329</v>
      </c>
      <c r="D4410" s="3">
        <v>5</v>
      </c>
      <c r="E4410" s="3">
        <v>149.0308</v>
      </c>
      <c r="F4410">
        <f t="shared" si="70"/>
        <v>745.154</v>
      </c>
    </row>
    <row r="4411" spans="1:6" x14ac:dyDescent="0.2">
      <c r="A4411">
        <v>845</v>
      </c>
      <c r="B4411" s="3" t="s">
        <v>335</v>
      </c>
      <c r="C4411" s="3" t="s">
        <v>331</v>
      </c>
      <c r="D4411" s="3">
        <v>5</v>
      </c>
      <c r="E4411" s="3">
        <v>703.1</v>
      </c>
      <c r="F4411">
        <f t="shared" si="70"/>
        <v>3515.5</v>
      </c>
    </row>
    <row r="4412" spans="1:6" x14ac:dyDescent="0.2">
      <c r="A4412">
        <v>845</v>
      </c>
      <c r="B4412" s="3" t="s">
        <v>336</v>
      </c>
      <c r="C4412" s="3" t="s">
        <v>333</v>
      </c>
      <c r="D4412" s="3">
        <v>1</v>
      </c>
      <c r="E4412" s="3">
        <v>288.42309999999998</v>
      </c>
      <c r="F4412">
        <f t="shared" si="70"/>
        <v>288.42309999999998</v>
      </c>
    </row>
    <row r="4413" spans="1:6" x14ac:dyDescent="0.2">
      <c r="A4413">
        <v>845</v>
      </c>
      <c r="B4413" s="3" t="s">
        <v>337</v>
      </c>
      <c r="C4413" s="3" t="s">
        <v>297</v>
      </c>
      <c r="D4413" s="3">
        <v>1</v>
      </c>
      <c r="E4413" s="3">
        <v>11.761100000000001</v>
      </c>
      <c r="F4413">
        <f t="shared" si="70"/>
        <v>11.761100000000001</v>
      </c>
    </row>
    <row r="4414" spans="1:6" x14ac:dyDescent="0.2">
      <c r="A4414">
        <v>845</v>
      </c>
      <c r="B4414" s="3" t="s">
        <v>338</v>
      </c>
      <c r="C4414" s="3" t="s">
        <v>297</v>
      </c>
      <c r="D4414" s="3">
        <v>4</v>
      </c>
      <c r="E4414" s="3">
        <v>11.712960000000001</v>
      </c>
      <c r="F4414">
        <f t="shared" si="70"/>
        <v>46.851840000000003</v>
      </c>
    </row>
    <row r="4415" spans="1:6" x14ac:dyDescent="0.2">
      <c r="A4415">
        <v>845</v>
      </c>
      <c r="B4415" s="3" t="s">
        <v>339</v>
      </c>
      <c r="C4415" s="3" t="s">
        <v>297</v>
      </c>
      <c r="D4415" s="3">
        <v>3</v>
      </c>
      <c r="E4415" s="3">
        <v>20.279039999999998</v>
      </c>
      <c r="F4415">
        <f t="shared" si="70"/>
        <v>60.837119999999999</v>
      </c>
    </row>
    <row r="4416" spans="1:6" x14ac:dyDescent="0.2">
      <c r="A4416">
        <v>845</v>
      </c>
      <c r="B4416" s="3" t="s">
        <v>340</v>
      </c>
      <c r="C4416" s="3" t="s">
        <v>309</v>
      </c>
      <c r="D4416" s="3">
        <v>1</v>
      </c>
      <c r="E4416" s="3">
        <v>1536.3340000000001</v>
      </c>
      <c r="F4416">
        <f t="shared" si="70"/>
        <v>1536.3340000000001</v>
      </c>
    </row>
    <row r="4417" spans="1:6" x14ac:dyDescent="0.2">
      <c r="A4417">
        <v>845</v>
      </c>
      <c r="B4417" s="3" t="s">
        <v>341</v>
      </c>
      <c r="C4417" s="3" t="s">
        <v>342</v>
      </c>
      <c r="D4417" s="3">
        <v>3</v>
      </c>
      <c r="E4417" s="3">
        <v>307.22449999999998</v>
      </c>
      <c r="F4417">
        <f t="shared" si="70"/>
        <v>921.67349999999988</v>
      </c>
    </row>
    <row r="4418" spans="1:6" x14ac:dyDescent="0.2">
      <c r="A4418">
        <v>845</v>
      </c>
      <c r="B4418" s="3" t="s">
        <v>284</v>
      </c>
      <c r="C4418" s="3" t="s">
        <v>273</v>
      </c>
      <c r="D4418" s="3">
        <v>2</v>
      </c>
      <c r="E4418" s="3">
        <v>15.547000000000001</v>
      </c>
      <c r="F4418">
        <f t="shared" si="70"/>
        <v>31.094000000000001</v>
      </c>
    </row>
    <row r="4419" spans="1:6" x14ac:dyDescent="0.2">
      <c r="A4419">
        <v>845</v>
      </c>
      <c r="B4419" s="3" t="s">
        <v>283</v>
      </c>
      <c r="C4419" s="3" t="s">
        <v>278</v>
      </c>
      <c r="D4419" s="3">
        <v>4</v>
      </c>
      <c r="E4419" s="3">
        <v>101.76220000000001</v>
      </c>
      <c r="F4419">
        <f t="shared" si="70"/>
        <v>407.04880000000003</v>
      </c>
    </row>
    <row r="4420" spans="1:6" x14ac:dyDescent="0.2">
      <c r="A4420">
        <v>845</v>
      </c>
      <c r="B4420" s="3" t="s">
        <v>281</v>
      </c>
      <c r="C4420" s="3" t="s">
        <v>282</v>
      </c>
      <c r="D4420" s="3">
        <v>1</v>
      </c>
      <c r="E4420" s="3">
        <v>43.369190000000003</v>
      </c>
      <c r="F4420">
        <f t="shared" si="70"/>
        <v>43.369190000000003</v>
      </c>
    </row>
    <row r="4421" spans="1:6" x14ac:dyDescent="0.2">
      <c r="A4421">
        <v>845</v>
      </c>
      <c r="B4421" s="3" t="s">
        <v>279</v>
      </c>
      <c r="C4421" s="3" t="s">
        <v>280</v>
      </c>
      <c r="D4421" s="3">
        <v>118</v>
      </c>
      <c r="E4421" s="3">
        <v>36.786499999999997</v>
      </c>
      <c r="F4421">
        <f t="shared" si="70"/>
        <v>4340.8069999999998</v>
      </c>
    </row>
    <row r="4422" spans="1:6" x14ac:dyDescent="0.2">
      <c r="A4422">
        <v>845</v>
      </c>
      <c r="B4422" s="3" t="s">
        <v>343</v>
      </c>
      <c r="C4422" s="3" t="s">
        <v>282</v>
      </c>
      <c r="D4422" s="3">
        <v>1</v>
      </c>
      <c r="E4422" s="3">
        <v>16.807500000000001</v>
      </c>
      <c r="F4422">
        <f t="shared" si="70"/>
        <v>16.807500000000001</v>
      </c>
    </row>
    <row r="4423" spans="1:6" x14ac:dyDescent="0.2">
      <c r="A4423">
        <v>845</v>
      </c>
      <c r="B4423" s="3" t="s">
        <v>344</v>
      </c>
      <c r="C4423" s="3" t="s">
        <v>282</v>
      </c>
      <c r="D4423" s="3">
        <v>1</v>
      </c>
      <c r="E4423" s="3">
        <v>12.76713</v>
      </c>
      <c r="F4423">
        <f t="shared" si="70"/>
        <v>12.76713</v>
      </c>
    </row>
    <row r="4424" spans="1:6" x14ac:dyDescent="0.2">
      <c r="A4424">
        <v>845</v>
      </c>
      <c r="B4424" s="3" t="s">
        <v>270</v>
      </c>
      <c r="C4424" s="3" t="s">
        <v>271</v>
      </c>
      <c r="D4424" s="3">
        <v>3</v>
      </c>
      <c r="E4424" s="3">
        <v>3027.0970000000002</v>
      </c>
      <c r="F4424">
        <f t="shared" si="70"/>
        <v>9081.2910000000011</v>
      </c>
    </row>
    <row r="4425" spans="1:6" x14ac:dyDescent="0.2">
      <c r="A4425">
        <v>845</v>
      </c>
      <c r="B4425" s="3" t="s">
        <v>272</v>
      </c>
      <c r="C4425" s="3" t="s">
        <v>273</v>
      </c>
      <c r="D4425" s="3">
        <v>1</v>
      </c>
      <c r="E4425" s="3">
        <v>170.1112</v>
      </c>
      <c r="F4425">
        <f t="shared" si="70"/>
        <v>170.1112</v>
      </c>
    </row>
    <row r="4426" spans="1:6" x14ac:dyDescent="0.2">
      <c r="A4426">
        <v>845</v>
      </c>
      <c r="B4426" s="3" t="s">
        <v>274</v>
      </c>
      <c r="C4426" s="3" t="s">
        <v>273</v>
      </c>
      <c r="D4426" s="3">
        <v>2</v>
      </c>
      <c r="E4426" s="3">
        <v>149.23089999999999</v>
      </c>
      <c r="F4426">
        <f t="shared" si="70"/>
        <v>298.46179999999998</v>
      </c>
    </row>
    <row r="4427" spans="1:6" x14ac:dyDescent="0.2">
      <c r="A4427">
        <v>845</v>
      </c>
      <c r="B4427" s="3" t="s">
        <v>275</v>
      </c>
      <c r="C4427" s="3" t="s">
        <v>276</v>
      </c>
      <c r="D4427" s="3">
        <v>3</v>
      </c>
      <c r="E4427" s="3">
        <v>9.081448</v>
      </c>
      <c r="F4427">
        <f t="shared" ref="F4427:F4490" si="71">D4427*E4427</f>
        <v>27.244343999999998</v>
      </c>
    </row>
    <row r="4428" spans="1:6" x14ac:dyDescent="0.2">
      <c r="A4428">
        <v>845</v>
      </c>
      <c r="B4428" s="3" t="s">
        <v>277</v>
      </c>
      <c r="C4428" s="3" t="s">
        <v>278</v>
      </c>
      <c r="D4428" s="3">
        <v>6</v>
      </c>
      <c r="E4428" s="3">
        <v>41.026589999999999</v>
      </c>
      <c r="F4428">
        <f t="shared" si="71"/>
        <v>246.15953999999999</v>
      </c>
    </row>
    <row r="4429" spans="1:6" x14ac:dyDescent="0.2">
      <c r="A4429">
        <v>845</v>
      </c>
      <c r="B4429" s="3" t="s">
        <v>279</v>
      </c>
      <c r="C4429" s="3" t="s">
        <v>280</v>
      </c>
      <c r="D4429" s="3">
        <v>6</v>
      </c>
      <c r="E4429" s="3">
        <v>36.786499999999997</v>
      </c>
      <c r="F4429">
        <f t="shared" si="71"/>
        <v>220.71899999999999</v>
      </c>
    </row>
    <row r="4430" spans="1:6" x14ac:dyDescent="0.2">
      <c r="A4430">
        <v>845</v>
      </c>
      <c r="B4430" s="3" t="s">
        <v>281</v>
      </c>
      <c r="C4430" s="3" t="s">
        <v>282</v>
      </c>
      <c r="D4430" s="3">
        <v>1</v>
      </c>
      <c r="E4430" s="3">
        <v>43.369190000000003</v>
      </c>
      <c r="F4430">
        <f t="shared" si="71"/>
        <v>43.369190000000003</v>
      </c>
    </row>
    <row r="4431" spans="1:6" x14ac:dyDescent="0.2">
      <c r="A4431">
        <v>845</v>
      </c>
      <c r="B4431" s="3" t="s">
        <v>283</v>
      </c>
      <c r="C4431" s="3" t="s">
        <v>278</v>
      </c>
      <c r="D4431" s="3">
        <v>3</v>
      </c>
      <c r="E4431" s="3">
        <v>101.76220000000001</v>
      </c>
      <c r="F4431">
        <f t="shared" si="71"/>
        <v>305.28660000000002</v>
      </c>
    </row>
    <row r="4432" spans="1:6" x14ac:dyDescent="0.2">
      <c r="A4432">
        <v>845</v>
      </c>
      <c r="B4432" s="3" t="s">
        <v>284</v>
      </c>
      <c r="C4432" s="3" t="s">
        <v>273</v>
      </c>
      <c r="D4432" s="3">
        <v>1</v>
      </c>
      <c r="E4432" s="3">
        <v>15.547000000000001</v>
      </c>
      <c r="F4432">
        <f t="shared" si="71"/>
        <v>15.547000000000001</v>
      </c>
    </row>
    <row r="4433" spans="1:6" x14ac:dyDescent="0.2">
      <c r="A4433">
        <v>845</v>
      </c>
      <c r="B4433" s="3" t="s">
        <v>285</v>
      </c>
      <c r="C4433" s="3" t="s">
        <v>286</v>
      </c>
      <c r="D4433" s="3">
        <v>1</v>
      </c>
      <c r="E4433" s="3">
        <v>58.189990000000002</v>
      </c>
      <c r="F4433">
        <f t="shared" si="71"/>
        <v>58.189990000000002</v>
      </c>
    </row>
    <row r="4434" spans="1:6" x14ac:dyDescent="0.2">
      <c r="A4434">
        <v>845</v>
      </c>
      <c r="B4434" s="3" t="s">
        <v>287</v>
      </c>
      <c r="C4434" s="3" t="s">
        <v>273</v>
      </c>
      <c r="D4434" s="3">
        <v>3</v>
      </c>
      <c r="E4434" s="3">
        <v>100.669</v>
      </c>
      <c r="F4434">
        <f t="shared" si="71"/>
        <v>302.00700000000001</v>
      </c>
    </row>
    <row r="4435" spans="1:6" x14ac:dyDescent="0.2">
      <c r="A4435">
        <v>845</v>
      </c>
      <c r="B4435" s="3" t="s">
        <v>288</v>
      </c>
      <c r="C4435" s="3" t="s">
        <v>289</v>
      </c>
      <c r="D4435" s="3">
        <v>2</v>
      </c>
      <c r="E4435" s="3">
        <v>7.340122</v>
      </c>
      <c r="F4435">
        <f t="shared" si="71"/>
        <v>14.680244</v>
      </c>
    </row>
    <row r="4436" spans="1:6" x14ac:dyDescent="0.2">
      <c r="A4436">
        <v>845</v>
      </c>
      <c r="B4436" s="3" t="s">
        <v>290</v>
      </c>
      <c r="C4436" s="3" t="s">
        <v>278</v>
      </c>
      <c r="D4436" s="3">
        <v>1</v>
      </c>
      <c r="E4436" s="3">
        <v>43.751809999999999</v>
      </c>
      <c r="F4436">
        <f t="shared" si="71"/>
        <v>43.751809999999999</v>
      </c>
    </row>
    <row r="4437" spans="1:6" x14ac:dyDescent="0.2">
      <c r="A4437">
        <v>845</v>
      </c>
      <c r="B4437" s="3" t="s">
        <v>277</v>
      </c>
      <c r="C4437" s="3" t="s">
        <v>278</v>
      </c>
      <c r="D4437" s="3">
        <v>5</v>
      </c>
      <c r="E4437" s="3">
        <v>41.026589999999999</v>
      </c>
      <c r="F4437">
        <f t="shared" si="71"/>
        <v>205.13294999999999</v>
      </c>
    </row>
    <row r="4438" spans="1:6" x14ac:dyDescent="0.2">
      <c r="A4438">
        <v>845</v>
      </c>
      <c r="B4438" s="3" t="s">
        <v>291</v>
      </c>
      <c r="C4438" s="3" t="s">
        <v>278</v>
      </c>
      <c r="D4438" s="3">
        <v>1</v>
      </c>
      <c r="E4438" s="3">
        <v>24.136399999999998</v>
      </c>
      <c r="F4438">
        <f t="shared" si="71"/>
        <v>24.136399999999998</v>
      </c>
    </row>
    <row r="4439" spans="1:6" x14ac:dyDescent="0.2">
      <c r="A4439">
        <v>845</v>
      </c>
      <c r="B4439" s="3" t="s">
        <v>292</v>
      </c>
      <c r="C4439" s="3" t="s">
        <v>293</v>
      </c>
      <c r="D4439" s="3">
        <v>1</v>
      </c>
      <c r="E4439" s="3">
        <v>96.852699999999999</v>
      </c>
      <c r="F4439">
        <f t="shared" si="71"/>
        <v>96.852699999999999</v>
      </c>
    </row>
    <row r="4440" spans="1:6" x14ac:dyDescent="0.2">
      <c r="A4440">
        <v>845</v>
      </c>
      <c r="B4440" s="3" t="s">
        <v>294</v>
      </c>
      <c r="C4440" s="3" t="s">
        <v>278</v>
      </c>
      <c r="D4440" s="3">
        <v>1</v>
      </c>
      <c r="E4440" s="3">
        <v>26.221409999999999</v>
      </c>
      <c r="F4440">
        <f t="shared" si="71"/>
        <v>26.221409999999999</v>
      </c>
    </row>
    <row r="4441" spans="1:6" x14ac:dyDescent="0.2">
      <c r="A4441">
        <v>845</v>
      </c>
      <c r="B4441" s="3" t="s">
        <v>295</v>
      </c>
      <c r="C4441" s="3" t="s">
        <v>273</v>
      </c>
      <c r="D4441" s="3">
        <v>5</v>
      </c>
      <c r="E4441" s="3">
        <v>54.88693</v>
      </c>
      <c r="F4441">
        <f t="shared" si="71"/>
        <v>274.43464999999998</v>
      </c>
    </row>
    <row r="4442" spans="1:6" x14ac:dyDescent="0.2">
      <c r="A4442">
        <v>845</v>
      </c>
      <c r="B4442" s="3" t="s">
        <v>296</v>
      </c>
      <c r="C4442" s="3" t="s">
        <v>297</v>
      </c>
      <c r="D4442" s="3">
        <v>5</v>
      </c>
      <c r="E4442" s="3">
        <v>5.5029000000000003</v>
      </c>
      <c r="F4442">
        <f t="shared" si="71"/>
        <v>27.514500000000002</v>
      </c>
    </row>
    <row r="4443" spans="1:6" x14ac:dyDescent="0.2">
      <c r="A4443">
        <v>845</v>
      </c>
      <c r="B4443" s="3" t="s">
        <v>298</v>
      </c>
      <c r="C4443" s="3" t="s">
        <v>297</v>
      </c>
      <c r="D4443" s="3">
        <v>1</v>
      </c>
      <c r="E4443" s="3">
        <v>5.9344999999999999</v>
      </c>
      <c r="F4443">
        <f t="shared" si="71"/>
        <v>5.9344999999999999</v>
      </c>
    </row>
    <row r="4444" spans="1:6" x14ac:dyDescent="0.2">
      <c r="A4444">
        <v>845</v>
      </c>
      <c r="B4444" s="3" t="s">
        <v>299</v>
      </c>
      <c r="C4444" s="3" t="s">
        <v>297</v>
      </c>
      <c r="D4444" s="3">
        <v>1</v>
      </c>
      <c r="E4444" s="3">
        <v>4.3574999999999999</v>
      </c>
      <c r="F4444">
        <f t="shared" si="71"/>
        <v>4.3574999999999999</v>
      </c>
    </row>
    <row r="4445" spans="1:6" x14ac:dyDescent="0.2">
      <c r="A4445">
        <v>845</v>
      </c>
      <c r="B4445" s="3" t="s">
        <v>122</v>
      </c>
      <c r="C4445" s="3" t="s">
        <v>276</v>
      </c>
      <c r="D4445" s="3">
        <v>4</v>
      </c>
      <c r="E4445" s="3">
        <v>14.915100000000001</v>
      </c>
      <c r="F4445">
        <f t="shared" si="71"/>
        <v>59.660400000000003</v>
      </c>
    </row>
    <row r="4446" spans="1:6" x14ac:dyDescent="0.2">
      <c r="A4446">
        <v>845</v>
      </c>
      <c r="B4446" s="3" t="s">
        <v>120</v>
      </c>
      <c r="C4446" s="3" t="s">
        <v>278</v>
      </c>
      <c r="D4446" s="3">
        <v>3</v>
      </c>
      <c r="E4446" s="3">
        <v>1.5604</v>
      </c>
      <c r="F4446">
        <f t="shared" si="71"/>
        <v>4.6812000000000005</v>
      </c>
    </row>
    <row r="4447" spans="1:6" x14ac:dyDescent="0.2">
      <c r="A4447">
        <v>845</v>
      </c>
      <c r="B4447" s="3" t="s">
        <v>300</v>
      </c>
      <c r="C4447" s="3" t="s">
        <v>273</v>
      </c>
      <c r="D4447" s="3">
        <v>1</v>
      </c>
      <c r="E4447" s="3">
        <v>60.59</v>
      </c>
      <c r="F4447">
        <f t="shared" si="71"/>
        <v>60.59</v>
      </c>
    </row>
    <row r="4448" spans="1:6" x14ac:dyDescent="0.2">
      <c r="A4448">
        <v>845</v>
      </c>
      <c r="B4448" s="3" t="s">
        <v>301</v>
      </c>
      <c r="C4448" s="3" t="s">
        <v>302</v>
      </c>
      <c r="D4448" s="3">
        <v>3</v>
      </c>
      <c r="E4448" s="3">
        <v>104.8857</v>
      </c>
      <c r="F4448">
        <f t="shared" si="71"/>
        <v>314.65710000000001</v>
      </c>
    </row>
    <row r="4449" spans="1:6" x14ac:dyDescent="0.2">
      <c r="A4449">
        <v>845</v>
      </c>
      <c r="B4449" s="3" t="s">
        <v>303</v>
      </c>
      <c r="C4449" s="3" t="s">
        <v>304</v>
      </c>
      <c r="D4449" s="3">
        <v>2</v>
      </c>
      <c r="E4449" s="3">
        <v>683.94489999999996</v>
      </c>
      <c r="F4449">
        <f t="shared" si="71"/>
        <v>1367.8897999999999</v>
      </c>
    </row>
    <row r="4450" spans="1:6" x14ac:dyDescent="0.2">
      <c r="A4450">
        <v>845</v>
      </c>
      <c r="B4450" s="3" t="s">
        <v>305</v>
      </c>
      <c r="C4450" s="3" t="s">
        <v>273</v>
      </c>
      <c r="D4450" s="3">
        <v>4</v>
      </c>
      <c r="E4450" s="3">
        <v>71.189099999999996</v>
      </c>
      <c r="F4450">
        <f t="shared" si="71"/>
        <v>284.75639999999999</v>
      </c>
    </row>
    <row r="4451" spans="1:6" x14ac:dyDescent="0.2">
      <c r="A4451">
        <v>845</v>
      </c>
      <c r="B4451" s="3" t="s">
        <v>294</v>
      </c>
      <c r="C4451" s="3" t="s">
        <v>278</v>
      </c>
      <c r="D4451" s="3">
        <v>1</v>
      </c>
      <c r="E4451" s="3">
        <v>26.221409999999999</v>
      </c>
      <c r="F4451">
        <f t="shared" si="71"/>
        <v>26.221409999999999</v>
      </c>
    </row>
    <row r="4452" spans="1:6" x14ac:dyDescent="0.2">
      <c r="A4452">
        <v>845</v>
      </c>
      <c r="B4452" s="3" t="s">
        <v>306</v>
      </c>
      <c r="C4452" s="3" t="s">
        <v>273</v>
      </c>
      <c r="D4452" s="3">
        <v>118</v>
      </c>
      <c r="E4452" s="3">
        <v>99.575779999999995</v>
      </c>
      <c r="F4452">
        <f t="shared" si="71"/>
        <v>11749.94204</v>
      </c>
    </row>
    <row r="4453" spans="1:6" x14ac:dyDescent="0.2">
      <c r="A4453">
        <v>845</v>
      </c>
      <c r="B4453" s="3" t="s">
        <v>294</v>
      </c>
      <c r="C4453" s="3" t="s">
        <v>278</v>
      </c>
      <c r="D4453" s="3">
        <v>1</v>
      </c>
      <c r="E4453" s="3">
        <v>26.221409999999999</v>
      </c>
      <c r="F4453">
        <f t="shared" si="71"/>
        <v>26.221409999999999</v>
      </c>
    </row>
    <row r="4454" spans="1:6" x14ac:dyDescent="0.2">
      <c r="A4454">
        <v>845</v>
      </c>
      <c r="B4454" s="3" t="s">
        <v>306</v>
      </c>
      <c r="C4454" s="3" t="s">
        <v>273</v>
      </c>
      <c r="D4454" s="3">
        <v>1</v>
      </c>
      <c r="E4454" s="3">
        <v>99.575779999999995</v>
      </c>
      <c r="F4454">
        <f t="shared" si="71"/>
        <v>99.575779999999995</v>
      </c>
    </row>
    <row r="4455" spans="1:6" x14ac:dyDescent="0.2">
      <c r="A4455">
        <v>845</v>
      </c>
      <c r="B4455" s="3" t="s">
        <v>308</v>
      </c>
      <c r="C4455" s="3" t="s">
        <v>309</v>
      </c>
      <c r="D4455" s="3">
        <v>3</v>
      </c>
      <c r="E4455" s="3">
        <v>167.62309999999999</v>
      </c>
      <c r="F4455">
        <f t="shared" si="71"/>
        <v>502.86929999999995</v>
      </c>
    </row>
    <row r="4456" spans="1:6" x14ac:dyDescent="0.2">
      <c r="A4456">
        <v>845</v>
      </c>
      <c r="B4456" s="3" t="s">
        <v>310</v>
      </c>
      <c r="C4456" s="3" t="s">
        <v>273</v>
      </c>
      <c r="D4456" s="3">
        <v>1</v>
      </c>
      <c r="E4456" s="3">
        <v>0.33200000000000002</v>
      </c>
      <c r="F4456">
        <f t="shared" si="71"/>
        <v>0.33200000000000002</v>
      </c>
    </row>
    <row r="4457" spans="1:6" x14ac:dyDescent="0.2">
      <c r="A4457">
        <v>845</v>
      </c>
      <c r="B4457" s="3" t="s">
        <v>197</v>
      </c>
      <c r="C4457" s="3" t="s">
        <v>278</v>
      </c>
      <c r="D4457" s="3">
        <v>2</v>
      </c>
      <c r="E4457" s="3">
        <v>7.4700000000000003E-2</v>
      </c>
      <c r="F4457">
        <f t="shared" si="71"/>
        <v>0.14940000000000001</v>
      </c>
    </row>
    <row r="4458" spans="1:6" x14ac:dyDescent="0.2">
      <c r="A4458">
        <v>845</v>
      </c>
      <c r="B4458" s="3" t="s">
        <v>311</v>
      </c>
      <c r="C4458" s="3" t="s">
        <v>273</v>
      </c>
      <c r="D4458" s="3">
        <v>3</v>
      </c>
      <c r="E4458" s="3">
        <v>1.5935999999999999</v>
      </c>
      <c r="F4458">
        <f t="shared" si="71"/>
        <v>4.7807999999999993</v>
      </c>
    </row>
    <row r="4459" spans="1:6" x14ac:dyDescent="0.2">
      <c r="A4459">
        <v>845</v>
      </c>
      <c r="B4459" s="3" t="s">
        <v>312</v>
      </c>
      <c r="C4459" s="3" t="s">
        <v>278</v>
      </c>
      <c r="D4459" s="3">
        <v>6</v>
      </c>
      <c r="E4459" s="3">
        <v>21.040500000000002</v>
      </c>
      <c r="F4459">
        <f t="shared" si="71"/>
        <v>126.24300000000001</v>
      </c>
    </row>
    <row r="4460" spans="1:6" x14ac:dyDescent="0.2">
      <c r="A4460">
        <v>845</v>
      </c>
      <c r="B4460" s="3" t="s">
        <v>75</v>
      </c>
      <c r="C4460" s="3" t="s">
        <v>313</v>
      </c>
      <c r="D4460" s="3">
        <v>6</v>
      </c>
      <c r="E4460" s="3">
        <v>0.115385</v>
      </c>
      <c r="F4460">
        <f t="shared" si="71"/>
        <v>0.69230999999999998</v>
      </c>
    </row>
    <row r="4461" spans="1:6" x14ac:dyDescent="0.2">
      <c r="A4461">
        <v>845</v>
      </c>
      <c r="B4461" s="3" t="s">
        <v>314</v>
      </c>
      <c r="C4461" s="3" t="s">
        <v>273</v>
      </c>
      <c r="D4461" s="3">
        <v>1</v>
      </c>
      <c r="E4461" s="3">
        <v>0.45650000000000002</v>
      </c>
      <c r="F4461">
        <f t="shared" si="71"/>
        <v>0.45650000000000002</v>
      </c>
    </row>
    <row r="4462" spans="1:6" x14ac:dyDescent="0.2">
      <c r="A4462">
        <v>845</v>
      </c>
      <c r="B4462" s="3" t="s">
        <v>314</v>
      </c>
      <c r="C4462" s="3" t="s">
        <v>315</v>
      </c>
      <c r="D4462" s="3">
        <v>3</v>
      </c>
      <c r="E4462" s="3">
        <v>0.45650000000000002</v>
      </c>
      <c r="F4462">
        <f t="shared" si="71"/>
        <v>1.3694999999999999</v>
      </c>
    </row>
    <row r="4463" spans="1:6" x14ac:dyDescent="0.2">
      <c r="A4463">
        <v>845</v>
      </c>
      <c r="B4463" s="3" t="s">
        <v>316</v>
      </c>
      <c r="C4463" s="3" t="s">
        <v>317</v>
      </c>
      <c r="D4463" s="3">
        <v>1</v>
      </c>
      <c r="E4463" s="3">
        <v>92.206620000000001</v>
      </c>
      <c r="F4463">
        <f t="shared" si="71"/>
        <v>92.206620000000001</v>
      </c>
    </row>
    <row r="4464" spans="1:6" x14ac:dyDescent="0.2">
      <c r="A4464">
        <v>845</v>
      </c>
      <c r="B4464" s="3" t="s">
        <v>318</v>
      </c>
      <c r="C4464" s="3" t="s">
        <v>319</v>
      </c>
      <c r="D4464" s="3">
        <v>1</v>
      </c>
      <c r="E4464" s="3">
        <v>85.453850000000003</v>
      </c>
      <c r="F4464">
        <f t="shared" si="71"/>
        <v>85.453850000000003</v>
      </c>
    </row>
    <row r="4465" spans="1:6" x14ac:dyDescent="0.2">
      <c r="A4465">
        <v>845</v>
      </c>
      <c r="B4465" s="3" t="s">
        <v>320</v>
      </c>
      <c r="C4465" s="3" t="s">
        <v>321</v>
      </c>
      <c r="D4465" s="3">
        <v>3</v>
      </c>
      <c r="E4465" s="3">
        <v>92.206620000000001</v>
      </c>
      <c r="F4465">
        <f t="shared" si="71"/>
        <v>276.61986000000002</v>
      </c>
    </row>
    <row r="4466" spans="1:6" x14ac:dyDescent="0.2">
      <c r="A4466">
        <v>845</v>
      </c>
      <c r="B4466" s="3" t="s">
        <v>267</v>
      </c>
      <c r="C4466" s="3" t="s">
        <v>268</v>
      </c>
      <c r="D4466" s="3">
        <v>2</v>
      </c>
      <c r="E4466" s="3">
        <v>84863.13</v>
      </c>
      <c r="F4466">
        <f t="shared" si="71"/>
        <v>169726.26</v>
      </c>
    </row>
    <row r="4467" spans="1:6" x14ac:dyDescent="0.2">
      <c r="A4467">
        <v>845</v>
      </c>
      <c r="B4467" s="3" t="s">
        <v>260</v>
      </c>
      <c r="C4467" s="3" t="s">
        <v>261</v>
      </c>
      <c r="D4467" s="3">
        <v>1</v>
      </c>
      <c r="E4467" s="3">
        <v>2908.2939999999999</v>
      </c>
      <c r="F4467">
        <f t="shared" si="71"/>
        <v>2908.2939999999999</v>
      </c>
    </row>
    <row r="4468" spans="1:6" x14ac:dyDescent="0.2">
      <c r="A4468">
        <v>845</v>
      </c>
      <c r="B4468" s="3" t="s">
        <v>262</v>
      </c>
      <c r="C4468" s="3" t="s">
        <v>263</v>
      </c>
      <c r="D4468" s="3">
        <v>5</v>
      </c>
      <c r="E4468" s="3">
        <v>3207.1970000000001</v>
      </c>
      <c r="F4468">
        <f t="shared" si="71"/>
        <v>16035.985000000001</v>
      </c>
    </row>
    <row r="4469" spans="1:6" x14ac:dyDescent="0.2">
      <c r="A4469">
        <v>845</v>
      </c>
      <c r="B4469" s="3" t="s">
        <v>264</v>
      </c>
      <c r="C4469" s="3" t="s">
        <v>265</v>
      </c>
      <c r="D4469" s="3">
        <v>1</v>
      </c>
      <c r="E4469" s="3">
        <v>3466.7310000000002</v>
      </c>
      <c r="F4469">
        <f t="shared" si="71"/>
        <v>3466.7310000000002</v>
      </c>
    </row>
    <row r="4470" spans="1:6" x14ac:dyDescent="0.2">
      <c r="A4470">
        <v>845</v>
      </c>
      <c r="B4470" s="3" t="s">
        <v>259</v>
      </c>
      <c r="C4470" s="3" t="s">
        <v>258</v>
      </c>
      <c r="D4470" s="3">
        <v>3</v>
      </c>
      <c r="E4470" s="3">
        <v>3325.9760000000001</v>
      </c>
      <c r="F4470">
        <f t="shared" si="71"/>
        <v>9977.9279999999999</v>
      </c>
    </row>
    <row r="4471" spans="1:6" x14ac:dyDescent="0.2">
      <c r="A4471">
        <v>845</v>
      </c>
      <c r="B4471" s="3" t="s">
        <v>257</v>
      </c>
      <c r="C4471" s="3" t="s">
        <v>258</v>
      </c>
      <c r="D4471" s="3">
        <v>6</v>
      </c>
      <c r="E4471" s="3">
        <v>3325.9760000000001</v>
      </c>
      <c r="F4471">
        <f t="shared" si="71"/>
        <v>19955.856</v>
      </c>
    </row>
    <row r="4472" spans="1:6" x14ac:dyDescent="0.2">
      <c r="A4472">
        <v>845</v>
      </c>
      <c r="B4472" s="3" t="s">
        <v>255</v>
      </c>
      <c r="C4472" s="3" t="s">
        <v>256</v>
      </c>
      <c r="D4472" s="3">
        <v>6</v>
      </c>
      <c r="E4472" s="3">
        <v>18546.09</v>
      </c>
      <c r="F4472">
        <f t="shared" si="71"/>
        <v>111276.54000000001</v>
      </c>
    </row>
    <row r="4473" spans="1:6" x14ac:dyDescent="0.2">
      <c r="A4473">
        <v>845</v>
      </c>
      <c r="B4473" s="3" t="s">
        <v>253</v>
      </c>
      <c r="C4473" s="3" t="s">
        <v>254</v>
      </c>
      <c r="D4473" s="3">
        <v>1</v>
      </c>
      <c r="E4473" s="3">
        <v>21043.68</v>
      </c>
      <c r="F4473">
        <f t="shared" si="71"/>
        <v>21043.68</v>
      </c>
    </row>
    <row r="4474" spans="1:6" x14ac:dyDescent="0.2">
      <c r="A4474">
        <v>845</v>
      </c>
      <c r="B4474" s="3" t="s">
        <v>359</v>
      </c>
      <c r="C4474" s="3" t="s">
        <v>360</v>
      </c>
      <c r="D4474" s="3">
        <v>3</v>
      </c>
      <c r="E4474" s="3">
        <v>1844.9380000000001</v>
      </c>
      <c r="F4474">
        <f t="shared" si="71"/>
        <v>5534.8140000000003</v>
      </c>
    </row>
    <row r="4475" spans="1:6" x14ac:dyDescent="0.2">
      <c r="A4475">
        <v>845</v>
      </c>
      <c r="B4475" s="3" t="s">
        <v>389</v>
      </c>
      <c r="C4475" s="3" t="s">
        <v>390</v>
      </c>
      <c r="D4475">
        <v>1</v>
      </c>
      <c r="E4475" s="3">
        <v>4906</v>
      </c>
      <c r="F4475">
        <f t="shared" si="71"/>
        <v>4906</v>
      </c>
    </row>
    <row r="4476" spans="1:6" x14ac:dyDescent="0.2">
      <c r="A4476">
        <v>846</v>
      </c>
      <c r="B4476" s="3" t="s">
        <v>62</v>
      </c>
      <c r="C4476" s="3" t="s">
        <v>63</v>
      </c>
      <c r="D4476" s="3">
        <v>1</v>
      </c>
      <c r="E4476" s="3">
        <v>0.34860000000000002</v>
      </c>
      <c r="F4476">
        <f t="shared" si="71"/>
        <v>0.34860000000000002</v>
      </c>
    </row>
    <row r="4477" spans="1:6" x14ac:dyDescent="0.2">
      <c r="A4477">
        <v>846</v>
      </c>
      <c r="B4477" s="3" t="s">
        <v>64</v>
      </c>
      <c r="C4477" s="3" t="s">
        <v>65</v>
      </c>
      <c r="D4477" s="3">
        <v>3</v>
      </c>
      <c r="E4477" s="3">
        <v>803.07690000000002</v>
      </c>
      <c r="F4477">
        <f t="shared" si="71"/>
        <v>2409.2307000000001</v>
      </c>
    </row>
    <row r="4478" spans="1:6" x14ac:dyDescent="0.2">
      <c r="A4478">
        <v>846</v>
      </c>
      <c r="B4478" s="3" t="s">
        <v>67</v>
      </c>
      <c r="C4478" s="3" t="s">
        <v>68</v>
      </c>
      <c r="D4478" s="3">
        <v>2</v>
      </c>
      <c r="E4478" s="3">
        <v>49.678570000000001</v>
      </c>
      <c r="F4478">
        <f t="shared" si="71"/>
        <v>99.357140000000001</v>
      </c>
    </row>
    <row r="4479" spans="1:6" x14ac:dyDescent="0.2">
      <c r="A4479">
        <v>846</v>
      </c>
      <c r="B4479" s="3" t="s">
        <v>70</v>
      </c>
      <c r="C4479" s="3" t="s">
        <v>71</v>
      </c>
      <c r="D4479" s="3">
        <v>1</v>
      </c>
      <c r="E4479" s="3">
        <v>407.98649999999998</v>
      </c>
      <c r="F4479">
        <f t="shared" si="71"/>
        <v>407.98649999999998</v>
      </c>
    </row>
    <row r="4480" spans="1:6" x14ac:dyDescent="0.2">
      <c r="A4480">
        <v>846</v>
      </c>
      <c r="B4480" s="3" t="s">
        <v>73</v>
      </c>
      <c r="C4480" s="3" t="s">
        <v>74</v>
      </c>
      <c r="D4480" s="3">
        <v>5</v>
      </c>
      <c r="E4480" s="3">
        <v>0.57783899999999999</v>
      </c>
      <c r="F4480">
        <f t="shared" si="71"/>
        <v>2.889195</v>
      </c>
    </row>
    <row r="4481" spans="1:6" x14ac:dyDescent="0.2">
      <c r="A4481">
        <v>846</v>
      </c>
      <c r="B4481" s="3" t="s">
        <v>75</v>
      </c>
      <c r="C4481" s="3" t="s">
        <v>76</v>
      </c>
      <c r="D4481" s="3">
        <v>1</v>
      </c>
      <c r="E4481" s="3">
        <v>0.115385</v>
      </c>
      <c r="F4481">
        <f t="shared" si="71"/>
        <v>0.115385</v>
      </c>
    </row>
    <row r="4482" spans="1:6" x14ac:dyDescent="0.2">
      <c r="A4482">
        <v>846</v>
      </c>
      <c r="B4482" s="3" t="s">
        <v>77</v>
      </c>
      <c r="C4482" s="3" t="s">
        <v>74</v>
      </c>
      <c r="D4482" s="3">
        <v>1</v>
      </c>
      <c r="E4482" s="3">
        <v>1.3944000000000001</v>
      </c>
      <c r="F4482">
        <f t="shared" si="71"/>
        <v>1.3944000000000001</v>
      </c>
    </row>
    <row r="4483" spans="1:6" x14ac:dyDescent="0.2">
      <c r="A4483">
        <v>846</v>
      </c>
      <c r="B4483" s="3" t="s">
        <v>78</v>
      </c>
      <c r="C4483" s="3" t="s">
        <v>76</v>
      </c>
      <c r="D4483" s="3">
        <v>1</v>
      </c>
      <c r="E4483" s="3">
        <v>0.71839500000000001</v>
      </c>
      <c r="F4483">
        <f t="shared" si="71"/>
        <v>0.71839500000000001</v>
      </c>
    </row>
    <row r="4484" spans="1:6" x14ac:dyDescent="0.2">
      <c r="A4484">
        <v>846</v>
      </c>
      <c r="B4484" s="3" t="s">
        <v>79</v>
      </c>
      <c r="C4484" s="3" t="s">
        <v>74</v>
      </c>
      <c r="D4484" s="3">
        <v>5</v>
      </c>
      <c r="E4484" s="3">
        <v>1.930769</v>
      </c>
      <c r="F4484">
        <f t="shared" si="71"/>
        <v>9.6538450000000005</v>
      </c>
    </row>
    <row r="4485" spans="1:6" x14ac:dyDescent="0.2">
      <c r="A4485">
        <v>846</v>
      </c>
      <c r="B4485" s="3" t="s">
        <v>80</v>
      </c>
      <c r="C4485" s="3" t="s">
        <v>74</v>
      </c>
      <c r="D4485" s="3">
        <v>5</v>
      </c>
      <c r="E4485" s="3">
        <v>0.95450000000000002</v>
      </c>
      <c r="F4485">
        <f t="shared" si="71"/>
        <v>4.7725</v>
      </c>
    </row>
    <row r="4486" spans="1:6" x14ac:dyDescent="0.2">
      <c r="A4486">
        <v>846</v>
      </c>
      <c r="B4486" s="3" t="s">
        <v>81</v>
      </c>
      <c r="C4486" s="3" t="s">
        <v>74</v>
      </c>
      <c r="D4486" s="3">
        <v>1</v>
      </c>
      <c r="E4486" s="3">
        <v>0.76359999999999995</v>
      </c>
      <c r="F4486">
        <f t="shared" si="71"/>
        <v>0.76359999999999995</v>
      </c>
    </row>
    <row r="4487" spans="1:6" x14ac:dyDescent="0.2">
      <c r="A4487">
        <v>846</v>
      </c>
      <c r="B4487" s="3" t="s">
        <v>82</v>
      </c>
      <c r="C4487" s="3" t="s">
        <v>83</v>
      </c>
      <c r="D4487" s="3">
        <v>1</v>
      </c>
      <c r="E4487" s="3">
        <v>20.351600000000001</v>
      </c>
      <c r="F4487">
        <f t="shared" si="71"/>
        <v>20.351600000000001</v>
      </c>
    </row>
    <row r="4488" spans="1:6" x14ac:dyDescent="0.2">
      <c r="A4488">
        <v>846</v>
      </c>
      <c r="B4488" s="3" t="s">
        <v>84</v>
      </c>
      <c r="C4488" s="3" t="s">
        <v>85</v>
      </c>
      <c r="D4488" s="3">
        <v>4</v>
      </c>
      <c r="E4488" s="3">
        <v>102.3322</v>
      </c>
      <c r="F4488">
        <f t="shared" si="71"/>
        <v>409.3288</v>
      </c>
    </row>
    <row r="4489" spans="1:6" x14ac:dyDescent="0.2">
      <c r="A4489">
        <v>846</v>
      </c>
      <c r="B4489" s="3" t="s">
        <v>86</v>
      </c>
      <c r="C4489" s="3" t="s">
        <v>85</v>
      </c>
      <c r="D4489" s="3">
        <v>3</v>
      </c>
      <c r="E4489" s="3">
        <v>144.2646</v>
      </c>
      <c r="F4489">
        <f t="shared" si="71"/>
        <v>432.79380000000003</v>
      </c>
    </row>
    <row r="4490" spans="1:6" x14ac:dyDescent="0.2">
      <c r="A4490">
        <v>846</v>
      </c>
      <c r="B4490" s="3" t="s">
        <v>87</v>
      </c>
      <c r="C4490" s="3" t="s">
        <v>88</v>
      </c>
      <c r="D4490" s="3">
        <v>1</v>
      </c>
      <c r="E4490" s="3">
        <v>162.0215</v>
      </c>
      <c r="F4490">
        <f t="shared" si="71"/>
        <v>162.0215</v>
      </c>
    </row>
    <row r="4491" spans="1:6" x14ac:dyDescent="0.2">
      <c r="A4491">
        <v>846</v>
      </c>
      <c r="B4491" s="3" t="s">
        <v>89</v>
      </c>
      <c r="C4491" s="3" t="s">
        <v>85</v>
      </c>
      <c r="D4491" s="3">
        <v>3</v>
      </c>
      <c r="E4491" s="3">
        <v>211.0129</v>
      </c>
      <c r="F4491">
        <f t="shared" ref="F4491:F4554" si="72">D4491*E4491</f>
        <v>633.03870000000006</v>
      </c>
    </row>
    <row r="4492" spans="1:6" x14ac:dyDescent="0.2">
      <c r="A4492">
        <v>846</v>
      </c>
      <c r="B4492" s="3" t="s">
        <v>90</v>
      </c>
      <c r="C4492" s="3" t="s">
        <v>88</v>
      </c>
      <c r="D4492" s="3">
        <v>2</v>
      </c>
      <c r="E4492" s="3">
        <v>238.1635</v>
      </c>
      <c r="F4492">
        <f t="shared" si="72"/>
        <v>476.327</v>
      </c>
    </row>
    <row r="4493" spans="1:6" x14ac:dyDescent="0.2">
      <c r="A4493">
        <v>846</v>
      </c>
      <c r="B4493" s="3" t="s">
        <v>92</v>
      </c>
      <c r="C4493" s="3" t="s">
        <v>93</v>
      </c>
      <c r="D4493" s="3">
        <v>4</v>
      </c>
      <c r="E4493" s="3">
        <v>19.297499999999999</v>
      </c>
      <c r="F4493">
        <f t="shared" si="72"/>
        <v>77.19</v>
      </c>
    </row>
    <row r="4494" spans="1:6" x14ac:dyDescent="0.2">
      <c r="A4494">
        <v>846</v>
      </c>
      <c r="B4494" s="3" t="s">
        <v>94</v>
      </c>
      <c r="C4494" s="3" t="s">
        <v>95</v>
      </c>
      <c r="D4494" s="3">
        <v>1</v>
      </c>
      <c r="E4494" s="3">
        <v>644.46270000000004</v>
      </c>
      <c r="F4494">
        <f t="shared" si="72"/>
        <v>644.46270000000004</v>
      </c>
    </row>
    <row r="4495" spans="1:6" x14ac:dyDescent="0.2">
      <c r="A4495">
        <v>846</v>
      </c>
      <c r="B4495" s="3" t="s">
        <v>236</v>
      </c>
      <c r="C4495" s="3" t="s">
        <v>237</v>
      </c>
      <c r="D4495" s="3">
        <v>118</v>
      </c>
      <c r="E4495" s="3">
        <v>132.80000000000001</v>
      </c>
      <c r="F4495">
        <f t="shared" si="72"/>
        <v>15670.400000000001</v>
      </c>
    </row>
    <row r="4496" spans="1:6" x14ac:dyDescent="0.2">
      <c r="A4496">
        <v>846</v>
      </c>
      <c r="B4496" s="3" t="s">
        <v>238</v>
      </c>
      <c r="C4496" s="3" t="s">
        <v>239</v>
      </c>
      <c r="D4496" s="3">
        <v>1</v>
      </c>
      <c r="E4496" s="3">
        <v>340.93849999999998</v>
      </c>
      <c r="F4496">
        <f t="shared" si="72"/>
        <v>340.93849999999998</v>
      </c>
    </row>
    <row r="4497" spans="1:6" x14ac:dyDescent="0.2">
      <c r="A4497">
        <v>846</v>
      </c>
      <c r="B4497" s="3" t="s">
        <v>240</v>
      </c>
      <c r="C4497" s="3" t="s">
        <v>241</v>
      </c>
      <c r="D4497" s="3">
        <v>1</v>
      </c>
      <c r="E4497" s="3">
        <v>309.0154</v>
      </c>
      <c r="F4497">
        <f t="shared" si="72"/>
        <v>309.0154</v>
      </c>
    </row>
    <row r="4498" spans="1:6" x14ac:dyDescent="0.2">
      <c r="A4498">
        <v>846</v>
      </c>
      <c r="B4498" s="3" t="s">
        <v>242</v>
      </c>
      <c r="C4498" s="3" t="s">
        <v>243</v>
      </c>
      <c r="D4498" s="3">
        <v>3</v>
      </c>
      <c r="E4498" s="3">
        <v>427.76920000000001</v>
      </c>
      <c r="F4498">
        <f t="shared" si="72"/>
        <v>1283.3076000000001</v>
      </c>
    </row>
    <row r="4499" spans="1:6" x14ac:dyDescent="0.2">
      <c r="A4499">
        <v>846</v>
      </c>
      <c r="B4499" s="3" t="s">
        <v>244</v>
      </c>
      <c r="C4499" s="3" t="s">
        <v>184</v>
      </c>
      <c r="D4499" s="3">
        <v>1</v>
      </c>
      <c r="E4499" s="3">
        <v>18.643080000000001</v>
      </c>
      <c r="F4499">
        <f t="shared" si="72"/>
        <v>18.643080000000001</v>
      </c>
    </row>
    <row r="4500" spans="1:6" x14ac:dyDescent="0.2">
      <c r="A4500">
        <v>846</v>
      </c>
      <c r="B4500" s="3" t="s">
        <v>245</v>
      </c>
      <c r="C4500" s="3" t="s">
        <v>246</v>
      </c>
      <c r="D4500" s="3">
        <v>2</v>
      </c>
      <c r="E4500" s="3">
        <v>0.44819999999999999</v>
      </c>
      <c r="F4500">
        <f t="shared" si="72"/>
        <v>0.89639999999999997</v>
      </c>
    </row>
    <row r="4501" spans="1:6" x14ac:dyDescent="0.2">
      <c r="A4501">
        <v>846</v>
      </c>
      <c r="B4501" s="3" t="s">
        <v>75</v>
      </c>
      <c r="C4501" s="3" t="s">
        <v>247</v>
      </c>
      <c r="D4501" s="3">
        <v>3</v>
      </c>
      <c r="E4501" s="3">
        <v>0.115385</v>
      </c>
      <c r="F4501">
        <f t="shared" si="72"/>
        <v>0.34615499999999999</v>
      </c>
    </row>
    <row r="4502" spans="1:6" x14ac:dyDescent="0.2">
      <c r="A4502">
        <v>846</v>
      </c>
      <c r="B4502" s="3" t="s">
        <v>197</v>
      </c>
      <c r="C4502" s="3" t="s">
        <v>117</v>
      </c>
      <c r="D4502" s="3">
        <v>6</v>
      </c>
      <c r="E4502" s="3">
        <v>7.4700000000000003E-2</v>
      </c>
      <c r="F4502">
        <f t="shared" si="72"/>
        <v>0.44820000000000004</v>
      </c>
    </row>
    <row r="4503" spans="1:6" x14ac:dyDescent="0.2">
      <c r="A4503">
        <v>846</v>
      </c>
      <c r="B4503" s="3" t="s">
        <v>248</v>
      </c>
      <c r="C4503" s="3" t="s">
        <v>249</v>
      </c>
      <c r="D4503" s="3">
        <v>6</v>
      </c>
      <c r="E4503" s="3">
        <v>31064.98</v>
      </c>
      <c r="F4503">
        <f t="shared" si="72"/>
        <v>186389.88</v>
      </c>
    </row>
    <row r="4504" spans="1:6" x14ac:dyDescent="0.2">
      <c r="A4504">
        <v>846</v>
      </c>
      <c r="B4504" s="3" t="s">
        <v>250</v>
      </c>
      <c r="C4504" s="3" t="s">
        <v>251</v>
      </c>
      <c r="D4504" s="3">
        <v>1</v>
      </c>
      <c r="E4504" s="3">
        <v>564.5412</v>
      </c>
      <c r="F4504">
        <f t="shared" si="72"/>
        <v>564.5412</v>
      </c>
    </row>
    <row r="4505" spans="1:6" x14ac:dyDescent="0.2">
      <c r="A4505">
        <v>846</v>
      </c>
      <c r="B4505" s="3" t="s">
        <v>146</v>
      </c>
      <c r="C4505" s="3" t="s">
        <v>147</v>
      </c>
      <c r="D4505" s="3">
        <v>3</v>
      </c>
      <c r="E4505" s="3">
        <v>8021.5770000000002</v>
      </c>
      <c r="F4505">
        <f t="shared" si="72"/>
        <v>24064.731</v>
      </c>
    </row>
    <row r="4506" spans="1:6" x14ac:dyDescent="0.2">
      <c r="A4506">
        <v>846</v>
      </c>
      <c r="B4506" s="3" t="s">
        <v>215</v>
      </c>
      <c r="C4506" s="3" t="s">
        <v>208</v>
      </c>
      <c r="D4506" s="3">
        <v>1</v>
      </c>
      <c r="E4506" s="3">
        <v>1.4289810000000001</v>
      </c>
      <c r="F4506">
        <f t="shared" si="72"/>
        <v>1.4289810000000001</v>
      </c>
    </row>
    <row r="4507" spans="1:6" x14ac:dyDescent="0.2">
      <c r="A4507">
        <v>846</v>
      </c>
      <c r="B4507" s="3" t="s">
        <v>200</v>
      </c>
      <c r="C4507" s="3" t="s">
        <v>199</v>
      </c>
      <c r="D4507" s="3">
        <v>1</v>
      </c>
      <c r="E4507" s="3">
        <v>0.66373400000000005</v>
      </c>
      <c r="F4507">
        <f t="shared" si="72"/>
        <v>0.66373400000000005</v>
      </c>
    </row>
    <row r="4508" spans="1:6" x14ac:dyDescent="0.2">
      <c r="A4508">
        <v>846</v>
      </c>
      <c r="B4508" s="3" t="s">
        <v>216</v>
      </c>
      <c r="C4508" s="3" t="s">
        <v>199</v>
      </c>
      <c r="D4508" s="3">
        <v>3</v>
      </c>
      <c r="E4508" s="3">
        <v>0.66400000000000003</v>
      </c>
      <c r="F4508">
        <f t="shared" si="72"/>
        <v>1.992</v>
      </c>
    </row>
    <row r="4509" spans="1:6" x14ac:dyDescent="0.2">
      <c r="A4509">
        <v>846</v>
      </c>
      <c r="B4509" s="3" t="s">
        <v>217</v>
      </c>
      <c r="C4509" s="3" t="s">
        <v>199</v>
      </c>
      <c r="D4509" s="3">
        <v>2</v>
      </c>
      <c r="E4509" s="3">
        <v>4.2164000000000001</v>
      </c>
      <c r="F4509">
        <f t="shared" si="72"/>
        <v>8.4328000000000003</v>
      </c>
    </row>
    <row r="4510" spans="1:6" x14ac:dyDescent="0.2">
      <c r="A4510">
        <v>846</v>
      </c>
      <c r="B4510" s="3" t="s">
        <v>218</v>
      </c>
      <c r="C4510" s="3" t="s">
        <v>208</v>
      </c>
      <c r="D4510" s="3">
        <v>1</v>
      </c>
      <c r="E4510" s="3">
        <v>7.3455000000000004</v>
      </c>
      <c r="F4510">
        <f t="shared" si="72"/>
        <v>7.3455000000000004</v>
      </c>
    </row>
    <row r="4511" spans="1:6" x14ac:dyDescent="0.2">
      <c r="A4511">
        <v>846</v>
      </c>
      <c r="B4511" s="3" t="s">
        <v>219</v>
      </c>
      <c r="C4511" s="3" t="s">
        <v>199</v>
      </c>
      <c r="D4511" s="3">
        <v>5</v>
      </c>
      <c r="E4511" s="3">
        <v>1.4774</v>
      </c>
      <c r="F4511">
        <f t="shared" si="72"/>
        <v>7.3870000000000005</v>
      </c>
    </row>
    <row r="4512" spans="1:6" x14ac:dyDescent="0.2">
      <c r="A4512">
        <v>846</v>
      </c>
      <c r="B4512" s="3" t="s">
        <v>220</v>
      </c>
      <c r="C4512" s="3" t="s">
        <v>208</v>
      </c>
      <c r="D4512" s="3">
        <v>1</v>
      </c>
      <c r="E4512" s="3">
        <v>3.7267000000000001</v>
      </c>
      <c r="F4512">
        <f t="shared" si="72"/>
        <v>3.7267000000000001</v>
      </c>
    </row>
    <row r="4513" spans="1:6" x14ac:dyDescent="0.2">
      <c r="A4513">
        <v>846</v>
      </c>
      <c r="B4513" s="3" t="s">
        <v>221</v>
      </c>
      <c r="C4513" s="3" t="s">
        <v>199</v>
      </c>
      <c r="D4513" s="3">
        <v>1</v>
      </c>
      <c r="E4513" s="3">
        <v>0.97940000000000005</v>
      </c>
      <c r="F4513">
        <f t="shared" si="72"/>
        <v>0.97940000000000005</v>
      </c>
    </row>
    <row r="4514" spans="1:6" x14ac:dyDescent="0.2">
      <c r="A4514">
        <v>846</v>
      </c>
      <c r="B4514" s="3" t="s">
        <v>222</v>
      </c>
      <c r="C4514" s="3" t="s">
        <v>208</v>
      </c>
      <c r="D4514" s="3">
        <v>1</v>
      </c>
      <c r="E4514" s="3">
        <v>6.0673000000000004</v>
      </c>
      <c r="F4514">
        <f t="shared" si="72"/>
        <v>6.0673000000000004</v>
      </c>
    </row>
    <row r="4515" spans="1:6" x14ac:dyDescent="0.2">
      <c r="A4515">
        <v>846</v>
      </c>
      <c r="B4515" s="3" t="s">
        <v>223</v>
      </c>
      <c r="C4515" s="3" t="s">
        <v>224</v>
      </c>
      <c r="D4515" s="3">
        <v>5</v>
      </c>
      <c r="E4515" s="3">
        <v>19.4635</v>
      </c>
      <c r="F4515">
        <f t="shared" si="72"/>
        <v>97.317499999999995</v>
      </c>
    </row>
    <row r="4516" spans="1:6" x14ac:dyDescent="0.2">
      <c r="A4516">
        <v>846</v>
      </c>
      <c r="B4516" s="3" t="s">
        <v>225</v>
      </c>
      <c r="C4516" s="3" t="s">
        <v>226</v>
      </c>
      <c r="D4516" s="3">
        <v>5</v>
      </c>
      <c r="E4516" s="3">
        <v>10.22151</v>
      </c>
      <c r="F4516">
        <f t="shared" si="72"/>
        <v>51.107550000000003</v>
      </c>
    </row>
    <row r="4517" spans="1:6" x14ac:dyDescent="0.2">
      <c r="A4517">
        <v>846</v>
      </c>
      <c r="B4517" s="3" t="s">
        <v>227</v>
      </c>
      <c r="C4517" s="3" t="s">
        <v>208</v>
      </c>
      <c r="D4517" s="3">
        <v>1</v>
      </c>
      <c r="E4517" s="3">
        <v>3.6307689999999999</v>
      </c>
      <c r="F4517">
        <f t="shared" si="72"/>
        <v>3.6307689999999999</v>
      </c>
    </row>
    <row r="4518" spans="1:6" x14ac:dyDescent="0.2">
      <c r="A4518">
        <v>846</v>
      </c>
      <c r="B4518" s="3" t="s">
        <v>228</v>
      </c>
      <c r="C4518" s="3" t="s">
        <v>229</v>
      </c>
      <c r="D4518" s="3">
        <v>1</v>
      </c>
      <c r="E4518" s="3">
        <v>306.94979999999998</v>
      </c>
      <c r="F4518">
        <f t="shared" si="72"/>
        <v>306.94979999999998</v>
      </c>
    </row>
    <row r="4519" spans="1:6" x14ac:dyDescent="0.2">
      <c r="A4519">
        <v>846</v>
      </c>
      <c r="B4519" s="3" t="s">
        <v>116</v>
      </c>
      <c r="C4519" s="3" t="s">
        <v>117</v>
      </c>
      <c r="D4519" s="3">
        <v>4</v>
      </c>
      <c r="E4519" s="3">
        <v>0.25729999999999997</v>
      </c>
      <c r="F4519">
        <f t="shared" si="72"/>
        <v>1.0291999999999999</v>
      </c>
    </row>
    <row r="4520" spans="1:6" x14ac:dyDescent="0.2">
      <c r="A4520">
        <v>846</v>
      </c>
      <c r="B4520" s="3" t="s">
        <v>78</v>
      </c>
      <c r="C4520" s="3" t="s">
        <v>76</v>
      </c>
      <c r="D4520" s="3">
        <v>3</v>
      </c>
      <c r="E4520" s="3">
        <v>0.71839500000000001</v>
      </c>
      <c r="F4520">
        <f t="shared" si="72"/>
        <v>2.1551849999999999</v>
      </c>
    </row>
    <row r="4521" spans="1:6" x14ac:dyDescent="0.2">
      <c r="A4521">
        <v>846</v>
      </c>
      <c r="B4521" s="3" t="s">
        <v>231</v>
      </c>
      <c r="C4521" s="3" t="s">
        <v>208</v>
      </c>
      <c r="D4521" s="3">
        <v>1</v>
      </c>
      <c r="E4521" s="3">
        <v>2.0832999999999999</v>
      </c>
      <c r="F4521">
        <f t="shared" si="72"/>
        <v>2.0832999999999999</v>
      </c>
    </row>
    <row r="4522" spans="1:6" x14ac:dyDescent="0.2">
      <c r="A4522">
        <v>846</v>
      </c>
      <c r="B4522" s="3" t="s">
        <v>232</v>
      </c>
      <c r="C4522" s="3" t="s">
        <v>119</v>
      </c>
      <c r="D4522" s="3">
        <v>3</v>
      </c>
      <c r="E4522" s="3">
        <v>1.5935999999999999</v>
      </c>
      <c r="F4522">
        <f t="shared" si="72"/>
        <v>4.7807999999999993</v>
      </c>
    </row>
    <row r="4523" spans="1:6" x14ac:dyDescent="0.2">
      <c r="A4523">
        <v>846</v>
      </c>
      <c r="B4523" s="3" t="s">
        <v>233</v>
      </c>
      <c r="C4523" s="3" t="s">
        <v>234</v>
      </c>
      <c r="D4523" s="3">
        <v>2</v>
      </c>
      <c r="E4523" s="3">
        <v>3989.2950000000001</v>
      </c>
      <c r="F4523">
        <f t="shared" si="72"/>
        <v>7978.59</v>
      </c>
    </row>
    <row r="4524" spans="1:6" x14ac:dyDescent="0.2">
      <c r="A4524">
        <v>846</v>
      </c>
      <c r="B4524" s="3" t="s">
        <v>142</v>
      </c>
      <c r="C4524" s="3" t="s">
        <v>143</v>
      </c>
      <c r="D4524" s="3">
        <v>4</v>
      </c>
      <c r="E4524" s="3">
        <v>18141.64</v>
      </c>
      <c r="F4524">
        <f t="shared" si="72"/>
        <v>72566.559999999998</v>
      </c>
    </row>
    <row r="4525" spans="1:6" x14ac:dyDescent="0.2">
      <c r="A4525">
        <v>846</v>
      </c>
      <c r="B4525" s="3" t="s">
        <v>144</v>
      </c>
      <c r="C4525" s="3" t="s">
        <v>145</v>
      </c>
      <c r="D4525" s="3">
        <v>1</v>
      </c>
      <c r="E4525" s="3">
        <v>7346.6769999999997</v>
      </c>
      <c r="F4525">
        <f t="shared" si="72"/>
        <v>7346.6769999999997</v>
      </c>
    </row>
    <row r="4526" spans="1:6" x14ac:dyDescent="0.2">
      <c r="A4526">
        <v>846</v>
      </c>
      <c r="B4526" s="3" t="s">
        <v>197</v>
      </c>
      <c r="C4526" s="3" t="s">
        <v>117</v>
      </c>
      <c r="D4526" s="3">
        <v>118</v>
      </c>
      <c r="E4526" s="3">
        <v>7.4700000000000003E-2</v>
      </c>
      <c r="F4526">
        <f t="shared" si="72"/>
        <v>8.8146000000000004</v>
      </c>
    </row>
    <row r="4527" spans="1:6" x14ac:dyDescent="0.2">
      <c r="A4527">
        <v>846</v>
      </c>
      <c r="B4527" s="3" t="s">
        <v>198</v>
      </c>
      <c r="C4527" s="3" t="s">
        <v>199</v>
      </c>
      <c r="D4527" s="3">
        <v>1</v>
      </c>
      <c r="E4527" s="3">
        <v>0.66373400000000005</v>
      </c>
      <c r="F4527">
        <f t="shared" si="72"/>
        <v>0.66373400000000005</v>
      </c>
    </row>
    <row r="4528" spans="1:6" x14ac:dyDescent="0.2">
      <c r="A4528">
        <v>846</v>
      </c>
      <c r="B4528" s="3" t="s">
        <v>200</v>
      </c>
      <c r="C4528" s="3" t="s">
        <v>199</v>
      </c>
      <c r="D4528" s="3">
        <v>1</v>
      </c>
      <c r="E4528" s="3">
        <v>0.66373400000000005</v>
      </c>
      <c r="F4528">
        <f t="shared" si="72"/>
        <v>0.66373400000000005</v>
      </c>
    </row>
    <row r="4529" spans="1:6" x14ac:dyDescent="0.2">
      <c r="A4529">
        <v>846</v>
      </c>
      <c r="B4529" s="3" t="s">
        <v>201</v>
      </c>
      <c r="C4529" s="3" t="s">
        <v>76</v>
      </c>
      <c r="D4529" s="3">
        <v>3</v>
      </c>
      <c r="E4529" s="3">
        <v>0.22645100000000001</v>
      </c>
      <c r="F4529">
        <f t="shared" si="72"/>
        <v>0.6793530000000001</v>
      </c>
    </row>
    <row r="4530" spans="1:6" x14ac:dyDescent="0.2">
      <c r="A4530">
        <v>846</v>
      </c>
      <c r="B4530" s="3" t="s">
        <v>202</v>
      </c>
      <c r="C4530" s="3" t="s">
        <v>203</v>
      </c>
      <c r="D4530" s="3">
        <v>1</v>
      </c>
      <c r="E4530" s="3">
        <v>12.45</v>
      </c>
      <c r="F4530">
        <f t="shared" si="72"/>
        <v>12.45</v>
      </c>
    </row>
    <row r="4531" spans="1:6" x14ac:dyDescent="0.2">
      <c r="A4531">
        <v>846</v>
      </c>
      <c r="B4531" s="3" t="s">
        <v>204</v>
      </c>
      <c r="C4531" s="3" t="s">
        <v>205</v>
      </c>
      <c r="D4531" s="3">
        <v>2</v>
      </c>
      <c r="E4531" s="3">
        <v>103.7222</v>
      </c>
      <c r="F4531">
        <f t="shared" si="72"/>
        <v>207.4444</v>
      </c>
    </row>
    <row r="4532" spans="1:6" x14ac:dyDescent="0.2">
      <c r="A4532">
        <v>846</v>
      </c>
      <c r="B4532" s="3" t="s">
        <v>116</v>
      </c>
      <c r="C4532" s="3" t="s">
        <v>117</v>
      </c>
      <c r="D4532" s="3">
        <v>3</v>
      </c>
      <c r="E4532" s="3">
        <v>0.25729999999999997</v>
      </c>
      <c r="F4532">
        <f t="shared" si="72"/>
        <v>0.77189999999999992</v>
      </c>
    </row>
    <row r="4533" spans="1:6" x14ac:dyDescent="0.2">
      <c r="A4533">
        <v>846</v>
      </c>
      <c r="B4533" s="3" t="s">
        <v>78</v>
      </c>
      <c r="C4533" s="3" t="s">
        <v>76</v>
      </c>
      <c r="D4533" s="3">
        <v>6</v>
      </c>
      <c r="E4533" s="3">
        <v>0.71839500000000001</v>
      </c>
      <c r="F4533">
        <f t="shared" si="72"/>
        <v>4.3103699999999998</v>
      </c>
    </row>
    <row r="4534" spans="1:6" x14ac:dyDescent="0.2">
      <c r="A4534">
        <v>846</v>
      </c>
      <c r="B4534" s="3" t="s">
        <v>207</v>
      </c>
      <c r="C4534" s="3" t="s">
        <v>208</v>
      </c>
      <c r="D4534" s="3">
        <v>6</v>
      </c>
      <c r="E4534" s="3">
        <v>4.6314000000000002</v>
      </c>
      <c r="F4534">
        <f t="shared" si="72"/>
        <v>27.788400000000003</v>
      </c>
    </row>
    <row r="4535" spans="1:6" x14ac:dyDescent="0.2">
      <c r="A4535">
        <v>846</v>
      </c>
      <c r="B4535" s="3" t="s">
        <v>209</v>
      </c>
      <c r="C4535" s="3" t="s">
        <v>210</v>
      </c>
      <c r="D4535" s="3">
        <v>2</v>
      </c>
      <c r="E4535" s="3">
        <v>39.550759999999997</v>
      </c>
      <c r="F4535">
        <f t="shared" si="72"/>
        <v>79.101519999999994</v>
      </c>
    </row>
    <row r="4536" spans="1:6" x14ac:dyDescent="0.2">
      <c r="A4536">
        <v>846</v>
      </c>
      <c r="B4536" s="3" t="s">
        <v>211</v>
      </c>
      <c r="C4536" s="3" t="s">
        <v>203</v>
      </c>
      <c r="D4536" s="3">
        <v>4</v>
      </c>
      <c r="E4536" s="3">
        <v>25.754899999999999</v>
      </c>
      <c r="F4536">
        <f t="shared" si="72"/>
        <v>103.0196</v>
      </c>
    </row>
    <row r="4537" spans="1:6" x14ac:dyDescent="0.2">
      <c r="A4537">
        <v>846</v>
      </c>
      <c r="B4537" s="3" t="s">
        <v>212</v>
      </c>
      <c r="C4537" s="3" t="s">
        <v>213</v>
      </c>
      <c r="D4537" s="3">
        <v>2</v>
      </c>
      <c r="E4537" s="3">
        <v>272.92059999999998</v>
      </c>
      <c r="F4537">
        <f t="shared" si="72"/>
        <v>545.84119999999996</v>
      </c>
    </row>
    <row r="4538" spans="1:6" x14ac:dyDescent="0.2">
      <c r="A4538">
        <v>846</v>
      </c>
      <c r="B4538" s="3" t="s">
        <v>149</v>
      </c>
      <c r="C4538" s="3" t="s">
        <v>150</v>
      </c>
      <c r="D4538" s="3">
        <v>1</v>
      </c>
      <c r="E4538" s="3">
        <v>0.70550000000000002</v>
      </c>
      <c r="F4538">
        <f t="shared" si="72"/>
        <v>0.70550000000000002</v>
      </c>
    </row>
    <row r="4539" spans="1:6" x14ac:dyDescent="0.2">
      <c r="A4539">
        <v>846</v>
      </c>
      <c r="B4539" s="3" t="s">
        <v>151</v>
      </c>
      <c r="C4539" s="3" t="s">
        <v>152</v>
      </c>
      <c r="D4539" s="3">
        <v>1</v>
      </c>
      <c r="E4539" s="3">
        <v>5.6191000000000004</v>
      </c>
      <c r="F4539">
        <f t="shared" si="72"/>
        <v>5.6191000000000004</v>
      </c>
    </row>
    <row r="4540" spans="1:6" x14ac:dyDescent="0.2">
      <c r="A4540">
        <v>846</v>
      </c>
      <c r="B4540" s="3" t="s">
        <v>153</v>
      </c>
      <c r="C4540" s="3" t="s">
        <v>119</v>
      </c>
      <c r="D4540" s="3">
        <v>5</v>
      </c>
      <c r="E4540" s="3">
        <v>1.116636</v>
      </c>
      <c r="F4540">
        <f t="shared" si="72"/>
        <v>5.5831799999999996</v>
      </c>
    </row>
    <row r="4541" spans="1:6" x14ac:dyDescent="0.2">
      <c r="A4541">
        <v>846</v>
      </c>
      <c r="B4541" s="3" t="s">
        <v>154</v>
      </c>
      <c r="C4541" s="3" t="s">
        <v>117</v>
      </c>
      <c r="D4541" s="3">
        <v>5</v>
      </c>
      <c r="E4541" s="3">
        <v>4.3658000000000001</v>
      </c>
      <c r="F4541">
        <f t="shared" si="72"/>
        <v>21.829000000000001</v>
      </c>
    </row>
    <row r="4542" spans="1:6" x14ac:dyDescent="0.2">
      <c r="A4542">
        <v>846</v>
      </c>
      <c r="B4542" s="3" t="s">
        <v>155</v>
      </c>
      <c r="C4542" s="3" t="s">
        <v>156</v>
      </c>
      <c r="D4542" s="3">
        <v>1</v>
      </c>
      <c r="E4542" s="3">
        <v>28.552</v>
      </c>
      <c r="F4542">
        <f t="shared" si="72"/>
        <v>28.552</v>
      </c>
    </row>
    <row r="4543" spans="1:6" x14ac:dyDescent="0.2">
      <c r="A4543">
        <v>846</v>
      </c>
      <c r="B4543" s="3" t="s">
        <v>157</v>
      </c>
      <c r="C4543" s="3" t="s">
        <v>158</v>
      </c>
      <c r="D4543" s="3">
        <v>1</v>
      </c>
      <c r="E4543" s="3">
        <v>29.456700000000001</v>
      </c>
      <c r="F4543">
        <f t="shared" si="72"/>
        <v>29.456700000000001</v>
      </c>
    </row>
    <row r="4544" spans="1:6" x14ac:dyDescent="0.2">
      <c r="A4544">
        <v>846</v>
      </c>
      <c r="B4544" s="3" t="s">
        <v>159</v>
      </c>
      <c r="C4544" s="3" t="s">
        <v>117</v>
      </c>
      <c r="D4544" s="3">
        <v>4</v>
      </c>
      <c r="E4544" s="3">
        <v>11.976900000000001</v>
      </c>
      <c r="F4544">
        <f t="shared" si="72"/>
        <v>47.907600000000002</v>
      </c>
    </row>
    <row r="4545" spans="1:6" x14ac:dyDescent="0.2">
      <c r="A4545">
        <v>846</v>
      </c>
      <c r="B4545" s="3" t="s">
        <v>116</v>
      </c>
      <c r="C4545" s="3" t="s">
        <v>117</v>
      </c>
      <c r="D4545" s="3">
        <v>3</v>
      </c>
      <c r="E4545" s="3">
        <v>0.25729999999999997</v>
      </c>
      <c r="F4545">
        <f t="shared" si="72"/>
        <v>0.77189999999999992</v>
      </c>
    </row>
    <row r="4546" spans="1:6" x14ac:dyDescent="0.2">
      <c r="A4546">
        <v>846</v>
      </c>
      <c r="B4546" s="3" t="s">
        <v>160</v>
      </c>
      <c r="C4546" s="3" t="s">
        <v>161</v>
      </c>
      <c r="D4546" s="3">
        <v>1</v>
      </c>
      <c r="E4546" s="3">
        <v>15.9194</v>
      </c>
      <c r="F4546">
        <f t="shared" si="72"/>
        <v>15.9194</v>
      </c>
    </row>
    <row r="4547" spans="1:6" x14ac:dyDescent="0.2">
      <c r="A4547">
        <v>846</v>
      </c>
      <c r="B4547" s="3" t="s">
        <v>162</v>
      </c>
      <c r="C4547" s="3" t="s">
        <v>163</v>
      </c>
      <c r="D4547" s="3">
        <v>3</v>
      </c>
      <c r="E4547" s="3">
        <v>62.822699999999998</v>
      </c>
      <c r="F4547">
        <f t="shared" si="72"/>
        <v>188.46809999999999</v>
      </c>
    </row>
    <row r="4548" spans="1:6" x14ac:dyDescent="0.2">
      <c r="A4548">
        <v>846</v>
      </c>
      <c r="B4548" s="3" t="s">
        <v>164</v>
      </c>
      <c r="C4548" s="3" t="s">
        <v>165</v>
      </c>
      <c r="D4548" s="3">
        <v>2</v>
      </c>
      <c r="E4548" s="3">
        <v>29.382000000000001</v>
      </c>
      <c r="F4548">
        <f t="shared" si="72"/>
        <v>58.764000000000003</v>
      </c>
    </row>
    <row r="4549" spans="1:6" x14ac:dyDescent="0.2">
      <c r="A4549">
        <v>846</v>
      </c>
      <c r="B4549" s="3" t="s">
        <v>166</v>
      </c>
      <c r="C4549" s="3" t="s">
        <v>76</v>
      </c>
      <c r="D4549" s="3">
        <v>4</v>
      </c>
      <c r="E4549" s="3">
        <v>0.97109999999999996</v>
      </c>
      <c r="F4549">
        <f t="shared" si="72"/>
        <v>3.8843999999999999</v>
      </c>
    </row>
    <row r="4550" spans="1:6" x14ac:dyDescent="0.2">
      <c r="A4550">
        <v>846</v>
      </c>
      <c r="B4550" s="3" t="s">
        <v>167</v>
      </c>
      <c r="C4550" s="3" t="s">
        <v>168</v>
      </c>
      <c r="D4550" s="3">
        <v>1</v>
      </c>
      <c r="E4550" s="3">
        <v>68.201099999999997</v>
      </c>
      <c r="F4550">
        <f t="shared" si="72"/>
        <v>68.201099999999997</v>
      </c>
    </row>
    <row r="4551" spans="1:6" x14ac:dyDescent="0.2">
      <c r="A4551">
        <v>846</v>
      </c>
      <c r="B4551" s="3" t="s">
        <v>169</v>
      </c>
      <c r="C4551" s="3" t="s">
        <v>119</v>
      </c>
      <c r="D4551" s="3">
        <v>118</v>
      </c>
      <c r="E4551" s="3">
        <v>26.078600000000002</v>
      </c>
      <c r="F4551">
        <f t="shared" si="72"/>
        <v>3077.2748000000001</v>
      </c>
    </row>
    <row r="4552" spans="1:6" x14ac:dyDescent="0.2">
      <c r="A4552">
        <v>846</v>
      </c>
      <c r="B4552" s="3" t="s">
        <v>170</v>
      </c>
      <c r="C4552" s="3" t="s">
        <v>171</v>
      </c>
      <c r="D4552" s="3">
        <v>1</v>
      </c>
      <c r="E4552" s="3">
        <v>15.438000000000001</v>
      </c>
      <c r="F4552">
        <f t="shared" si="72"/>
        <v>15.438000000000001</v>
      </c>
    </row>
    <row r="4553" spans="1:6" x14ac:dyDescent="0.2">
      <c r="A4553">
        <v>846</v>
      </c>
      <c r="B4553" s="3" t="s">
        <v>172</v>
      </c>
      <c r="C4553" s="3" t="s">
        <v>173</v>
      </c>
      <c r="D4553" s="3">
        <v>1</v>
      </c>
      <c r="E4553" s="3">
        <v>158.41380000000001</v>
      </c>
      <c r="F4553">
        <f t="shared" si="72"/>
        <v>158.41380000000001</v>
      </c>
    </row>
    <row r="4554" spans="1:6" x14ac:dyDescent="0.2">
      <c r="A4554">
        <v>846</v>
      </c>
      <c r="B4554" s="3" t="s">
        <v>174</v>
      </c>
      <c r="C4554" s="3" t="s">
        <v>119</v>
      </c>
      <c r="D4554" s="3">
        <v>3</v>
      </c>
      <c r="E4554" s="3">
        <v>1.2616000000000001</v>
      </c>
      <c r="F4554">
        <f t="shared" si="72"/>
        <v>3.7848000000000002</v>
      </c>
    </row>
    <row r="4555" spans="1:6" x14ac:dyDescent="0.2">
      <c r="A4555">
        <v>846</v>
      </c>
      <c r="B4555" s="3" t="s">
        <v>175</v>
      </c>
      <c r="C4555" s="3" t="s">
        <v>176</v>
      </c>
      <c r="D4555" s="3">
        <v>1</v>
      </c>
      <c r="E4555" s="3">
        <v>194.7595</v>
      </c>
      <c r="F4555">
        <f t="shared" ref="F4555:F4618" si="73">D4555*E4555</f>
        <v>194.7595</v>
      </c>
    </row>
    <row r="4556" spans="1:6" x14ac:dyDescent="0.2">
      <c r="A4556">
        <v>846</v>
      </c>
      <c r="B4556" s="3" t="s">
        <v>177</v>
      </c>
      <c r="C4556" s="3" t="s">
        <v>178</v>
      </c>
      <c r="D4556" s="3">
        <v>2</v>
      </c>
      <c r="E4556" s="3">
        <v>1660.624</v>
      </c>
      <c r="F4556">
        <f t="shared" si="73"/>
        <v>3321.248</v>
      </c>
    </row>
    <row r="4557" spans="1:6" x14ac:dyDescent="0.2">
      <c r="A4557">
        <v>846</v>
      </c>
      <c r="B4557" s="3" t="s">
        <v>179</v>
      </c>
      <c r="C4557" s="3" t="s">
        <v>119</v>
      </c>
      <c r="D4557" s="3">
        <v>3</v>
      </c>
      <c r="E4557" s="3">
        <v>32.444699999999997</v>
      </c>
      <c r="F4557">
        <f t="shared" si="73"/>
        <v>97.334099999999992</v>
      </c>
    </row>
    <row r="4558" spans="1:6" x14ac:dyDescent="0.2">
      <c r="A4558">
        <v>846</v>
      </c>
      <c r="B4558" s="3" t="s">
        <v>180</v>
      </c>
      <c r="C4558" s="3" t="s">
        <v>181</v>
      </c>
      <c r="D4558" s="3">
        <v>6</v>
      </c>
      <c r="E4558" s="3">
        <v>64.117500000000007</v>
      </c>
      <c r="F4558">
        <f t="shared" si="73"/>
        <v>384.70500000000004</v>
      </c>
    </row>
    <row r="4559" spans="1:6" x14ac:dyDescent="0.2">
      <c r="A4559">
        <v>846</v>
      </c>
      <c r="B4559" s="3" t="s">
        <v>182</v>
      </c>
      <c r="C4559" s="3" t="s">
        <v>158</v>
      </c>
      <c r="D4559" s="3">
        <v>6</v>
      </c>
      <c r="E4559" s="3">
        <v>80.78819</v>
      </c>
      <c r="F4559">
        <f t="shared" si="73"/>
        <v>484.72914000000003</v>
      </c>
    </row>
    <row r="4560" spans="1:6" x14ac:dyDescent="0.2">
      <c r="A4560">
        <v>846</v>
      </c>
      <c r="B4560" s="3" t="s">
        <v>183</v>
      </c>
      <c r="C4560" s="3" t="s">
        <v>184</v>
      </c>
      <c r="D4560" s="3">
        <v>1</v>
      </c>
      <c r="E4560" s="3">
        <v>548.61540000000002</v>
      </c>
      <c r="F4560">
        <f t="shared" si="73"/>
        <v>548.61540000000002</v>
      </c>
    </row>
    <row r="4561" spans="1:6" x14ac:dyDescent="0.2">
      <c r="A4561">
        <v>846</v>
      </c>
      <c r="B4561" s="3" t="s">
        <v>185</v>
      </c>
      <c r="C4561" s="3" t="s">
        <v>186</v>
      </c>
      <c r="D4561" s="3">
        <v>3</v>
      </c>
      <c r="E4561" s="3">
        <v>278.05</v>
      </c>
      <c r="F4561">
        <f t="shared" si="73"/>
        <v>834.15000000000009</v>
      </c>
    </row>
    <row r="4562" spans="1:6" x14ac:dyDescent="0.2">
      <c r="A4562">
        <v>846</v>
      </c>
      <c r="B4562" s="3" t="s">
        <v>187</v>
      </c>
      <c r="C4562" s="3" t="s">
        <v>188</v>
      </c>
      <c r="D4562" s="3">
        <v>1</v>
      </c>
      <c r="E4562" s="3">
        <v>105.0365</v>
      </c>
      <c r="F4562">
        <f t="shared" si="73"/>
        <v>105.0365</v>
      </c>
    </row>
    <row r="4563" spans="1:6" x14ac:dyDescent="0.2">
      <c r="A4563">
        <v>846</v>
      </c>
      <c r="B4563" s="3" t="s">
        <v>189</v>
      </c>
      <c r="C4563" s="3" t="s">
        <v>163</v>
      </c>
      <c r="D4563" s="3">
        <v>1</v>
      </c>
      <c r="E4563" s="3">
        <v>154.25970000000001</v>
      </c>
      <c r="F4563">
        <f t="shared" si="73"/>
        <v>154.25970000000001</v>
      </c>
    </row>
    <row r="4564" spans="1:6" x14ac:dyDescent="0.2">
      <c r="A4564">
        <v>846</v>
      </c>
      <c r="B4564" s="3" t="s">
        <v>190</v>
      </c>
      <c r="C4564" s="3" t="s">
        <v>191</v>
      </c>
      <c r="D4564" s="3">
        <v>3</v>
      </c>
      <c r="E4564" s="3">
        <v>1397.886</v>
      </c>
      <c r="F4564">
        <f t="shared" si="73"/>
        <v>4193.6579999999994</v>
      </c>
    </row>
    <row r="4565" spans="1:6" x14ac:dyDescent="0.2">
      <c r="A4565">
        <v>846</v>
      </c>
      <c r="B4565" s="3" t="s">
        <v>192</v>
      </c>
      <c r="C4565" s="3" t="s">
        <v>193</v>
      </c>
      <c r="D4565" s="3">
        <v>2</v>
      </c>
      <c r="E4565" s="3">
        <v>843.03639999999996</v>
      </c>
      <c r="F4565">
        <f t="shared" si="73"/>
        <v>1686.0727999999999</v>
      </c>
    </row>
    <row r="4566" spans="1:6" x14ac:dyDescent="0.2">
      <c r="A4566">
        <v>846</v>
      </c>
      <c r="B4566" s="3" t="s">
        <v>194</v>
      </c>
      <c r="C4566" s="3" t="s">
        <v>193</v>
      </c>
      <c r="D4566" s="3">
        <v>1</v>
      </c>
      <c r="E4566" s="3">
        <v>868.20489999999995</v>
      </c>
      <c r="F4566">
        <f t="shared" si="73"/>
        <v>868.20489999999995</v>
      </c>
    </row>
    <row r="4567" spans="1:6" x14ac:dyDescent="0.2">
      <c r="A4567">
        <v>846</v>
      </c>
      <c r="B4567" s="3" t="s">
        <v>195</v>
      </c>
      <c r="C4567" s="3" t="s">
        <v>117</v>
      </c>
      <c r="D4567" s="3">
        <v>5</v>
      </c>
      <c r="E4567" s="3">
        <v>1.0375000000000001</v>
      </c>
      <c r="F4567">
        <f t="shared" si="73"/>
        <v>5.1875</v>
      </c>
    </row>
    <row r="4568" spans="1:6" x14ac:dyDescent="0.2">
      <c r="A4568">
        <v>846</v>
      </c>
      <c r="B4568" s="3" t="s">
        <v>135</v>
      </c>
      <c r="C4568" s="3" t="s">
        <v>136</v>
      </c>
      <c r="D4568" s="3">
        <v>1</v>
      </c>
      <c r="E4568" s="3">
        <v>395.04689999999999</v>
      </c>
      <c r="F4568">
        <f t="shared" si="73"/>
        <v>395.04689999999999</v>
      </c>
    </row>
    <row r="4569" spans="1:6" x14ac:dyDescent="0.2">
      <c r="A4569">
        <v>846</v>
      </c>
      <c r="B4569" s="3" t="s">
        <v>137</v>
      </c>
      <c r="C4569" s="3" t="s">
        <v>138</v>
      </c>
      <c r="D4569" s="3">
        <v>1</v>
      </c>
      <c r="E4569" s="3">
        <v>252.98429999999999</v>
      </c>
      <c r="F4569">
        <f t="shared" si="73"/>
        <v>252.98429999999999</v>
      </c>
    </row>
    <row r="4570" spans="1:6" x14ac:dyDescent="0.2">
      <c r="A4570">
        <v>846</v>
      </c>
      <c r="B4570" s="3" t="s">
        <v>139</v>
      </c>
      <c r="C4570" s="3" t="s">
        <v>140</v>
      </c>
      <c r="D4570" s="3">
        <v>1</v>
      </c>
      <c r="E4570" s="3">
        <v>2054.4580000000001</v>
      </c>
      <c r="F4570">
        <f t="shared" si="73"/>
        <v>2054.4580000000001</v>
      </c>
    </row>
    <row r="4571" spans="1:6" x14ac:dyDescent="0.2">
      <c r="A4571">
        <v>846</v>
      </c>
      <c r="B4571" s="3" t="s">
        <v>116</v>
      </c>
      <c r="C4571" s="3" t="s">
        <v>117</v>
      </c>
      <c r="D4571" s="3">
        <v>5</v>
      </c>
      <c r="E4571" s="3">
        <v>0.25729999999999997</v>
      </c>
      <c r="F4571">
        <f t="shared" si="73"/>
        <v>1.2864999999999998</v>
      </c>
    </row>
    <row r="4572" spans="1:6" x14ac:dyDescent="0.2">
      <c r="A4572">
        <v>846</v>
      </c>
      <c r="B4572" s="3" t="s">
        <v>118</v>
      </c>
      <c r="C4572" s="3" t="s">
        <v>119</v>
      </c>
      <c r="D4572" s="3">
        <v>5</v>
      </c>
      <c r="E4572" s="3">
        <v>0.83</v>
      </c>
      <c r="F4572">
        <f t="shared" si="73"/>
        <v>4.1499999999999995</v>
      </c>
    </row>
    <row r="4573" spans="1:6" x14ac:dyDescent="0.2">
      <c r="A4573">
        <v>846</v>
      </c>
      <c r="B4573" s="3" t="s">
        <v>120</v>
      </c>
      <c r="C4573" s="3" t="s">
        <v>117</v>
      </c>
      <c r="D4573" s="3">
        <v>1</v>
      </c>
      <c r="E4573" s="3">
        <v>1.5604</v>
      </c>
      <c r="F4573">
        <f t="shared" si="73"/>
        <v>1.5604</v>
      </c>
    </row>
    <row r="4574" spans="1:6" x14ac:dyDescent="0.2">
      <c r="A4574">
        <v>846</v>
      </c>
      <c r="B4574" s="3" t="s">
        <v>121</v>
      </c>
      <c r="C4574" s="3" t="s">
        <v>117</v>
      </c>
      <c r="D4574" s="3">
        <v>1</v>
      </c>
      <c r="E4574" s="3">
        <v>270.83730000000003</v>
      </c>
      <c r="F4574">
        <f t="shared" si="73"/>
        <v>270.83730000000003</v>
      </c>
    </row>
    <row r="4575" spans="1:6" x14ac:dyDescent="0.2">
      <c r="A4575">
        <v>846</v>
      </c>
      <c r="B4575" s="3" t="s">
        <v>122</v>
      </c>
      <c r="C4575" s="3" t="s">
        <v>76</v>
      </c>
      <c r="D4575" s="3">
        <v>4</v>
      </c>
      <c r="E4575" s="3">
        <v>14.915100000000001</v>
      </c>
      <c r="F4575">
        <f t="shared" si="73"/>
        <v>59.660400000000003</v>
      </c>
    </row>
    <row r="4576" spans="1:6" x14ac:dyDescent="0.2">
      <c r="A4576">
        <v>846</v>
      </c>
      <c r="B4576" s="3" t="s">
        <v>123</v>
      </c>
      <c r="C4576" s="3" t="s">
        <v>119</v>
      </c>
      <c r="D4576" s="3">
        <v>3</v>
      </c>
      <c r="E4576" s="3">
        <v>122.52460000000001</v>
      </c>
      <c r="F4576">
        <f t="shared" si="73"/>
        <v>367.57380000000001</v>
      </c>
    </row>
    <row r="4577" spans="1:6" x14ac:dyDescent="0.2">
      <c r="A4577">
        <v>846</v>
      </c>
      <c r="B4577" s="3" t="s">
        <v>124</v>
      </c>
      <c r="C4577" s="3" t="s">
        <v>119</v>
      </c>
      <c r="D4577" s="3">
        <v>1</v>
      </c>
      <c r="E4577" s="3">
        <v>65.877099999999999</v>
      </c>
      <c r="F4577">
        <f t="shared" si="73"/>
        <v>65.877099999999999</v>
      </c>
    </row>
    <row r="4578" spans="1:6" x14ac:dyDescent="0.2">
      <c r="A4578">
        <v>846</v>
      </c>
      <c r="B4578" s="3" t="s">
        <v>125</v>
      </c>
      <c r="C4578" s="3" t="s">
        <v>117</v>
      </c>
      <c r="D4578" s="3">
        <v>3</v>
      </c>
      <c r="E4578" s="3">
        <v>45.957099999999997</v>
      </c>
      <c r="F4578">
        <f t="shared" si="73"/>
        <v>137.87129999999999</v>
      </c>
    </row>
    <row r="4579" spans="1:6" x14ac:dyDescent="0.2">
      <c r="A4579">
        <v>846</v>
      </c>
      <c r="B4579" s="3" t="s">
        <v>126</v>
      </c>
      <c r="C4579" s="3" t="s">
        <v>127</v>
      </c>
      <c r="D4579" s="3">
        <v>2</v>
      </c>
      <c r="E4579" s="3">
        <v>411.49740000000003</v>
      </c>
      <c r="F4579">
        <f t="shared" si="73"/>
        <v>822.99480000000005</v>
      </c>
    </row>
    <row r="4580" spans="1:6" x14ac:dyDescent="0.2">
      <c r="A4580">
        <v>846</v>
      </c>
      <c r="B4580" s="3" t="s">
        <v>129</v>
      </c>
      <c r="C4580" s="3" t="s">
        <v>130</v>
      </c>
      <c r="D4580" s="3">
        <v>4</v>
      </c>
      <c r="E4580" s="3">
        <v>6724.2780000000002</v>
      </c>
      <c r="F4580">
        <f t="shared" si="73"/>
        <v>26897.112000000001</v>
      </c>
    </row>
    <row r="4581" spans="1:6" x14ac:dyDescent="0.2">
      <c r="A4581">
        <v>846</v>
      </c>
      <c r="B4581" s="3">
        <v>4656354</v>
      </c>
      <c r="C4581" s="3" t="s">
        <v>133</v>
      </c>
      <c r="D4581" s="3">
        <v>1</v>
      </c>
      <c r="E4581" s="3">
        <v>1168.0260000000001</v>
      </c>
      <c r="F4581">
        <f t="shared" si="73"/>
        <v>1168.0260000000001</v>
      </c>
    </row>
    <row r="4582" spans="1:6" x14ac:dyDescent="0.2">
      <c r="A4582">
        <v>846</v>
      </c>
      <c r="B4582" s="3" t="s">
        <v>110</v>
      </c>
      <c r="C4582" s="3" t="s">
        <v>111</v>
      </c>
      <c r="D4582" s="3">
        <v>118</v>
      </c>
      <c r="E4582" s="3">
        <v>119.83540000000001</v>
      </c>
      <c r="F4582">
        <f t="shared" si="73"/>
        <v>14140.577200000002</v>
      </c>
    </row>
    <row r="4583" spans="1:6" x14ac:dyDescent="0.2">
      <c r="A4583">
        <v>846</v>
      </c>
      <c r="B4583" s="3" t="s">
        <v>112</v>
      </c>
      <c r="C4583" s="3" t="s">
        <v>113</v>
      </c>
      <c r="D4583" s="3">
        <v>1</v>
      </c>
      <c r="E4583" s="3">
        <v>97.646150000000006</v>
      </c>
      <c r="F4583">
        <f t="shared" si="73"/>
        <v>97.646150000000006</v>
      </c>
    </row>
    <row r="4584" spans="1:6" x14ac:dyDescent="0.2">
      <c r="A4584">
        <v>846</v>
      </c>
      <c r="B4584" s="3" t="s">
        <v>110</v>
      </c>
      <c r="C4584" s="3" t="s">
        <v>111</v>
      </c>
      <c r="D4584" s="3">
        <v>1</v>
      </c>
      <c r="E4584" s="3">
        <v>119.83540000000001</v>
      </c>
      <c r="F4584">
        <f t="shared" si="73"/>
        <v>119.83540000000001</v>
      </c>
    </row>
    <row r="4585" spans="1:6" x14ac:dyDescent="0.2">
      <c r="A4585">
        <v>846</v>
      </c>
      <c r="B4585" s="3" t="s">
        <v>112</v>
      </c>
      <c r="C4585" s="3" t="s">
        <v>113</v>
      </c>
      <c r="D4585" s="3">
        <v>3</v>
      </c>
      <c r="E4585" s="3">
        <v>97.646150000000006</v>
      </c>
      <c r="F4585">
        <f t="shared" si="73"/>
        <v>292.93844999999999</v>
      </c>
    </row>
    <row r="4586" spans="1:6" x14ac:dyDescent="0.2">
      <c r="A4586">
        <v>846</v>
      </c>
      <c r="B4586" s="3" t="s">
        <v>97</v>
      </c>
      <c r="C4586" s="3" t="s">
        <v>98</v>
      </c>
      <c r="D4586" s="3">
        <v>1</v>
      </c>
      <c r="E4586" s="3">
        <v>189.87909999999999</v>
      </c>
      <c r="F4586">
        <f t="shared" si="73"/>
        <v>189.87909999999999</v>
      </c>
    </row>
    <row r="4587" spans="1:6" x14ac:dyDescent="0.2">
      <c r="A4587">
        <v>846</v>
      </c>
      <c r="B4587" s="3" t="s">
        <v>99</v>
      </c>
      <c r="C4587" s="3" t="s">
        <v>100</v>
      </c>
      <c r="D4587" s="3">
        <v>2</v>
      </c>
      <c r="E4587" s="3">
        <v>1287.1379999999999</v>
      </c>
      <c r="F4587">
        <f t="shared" si="73"/>
        <v>2574.2759999999998</v>
      </c>
    </row>
    <row r="4588" spans="1:6" x14ac:dyDescent="0.2">
      <c r="A4588">
        <v>846</v>
      </c>
      <c r="B4588" s="3" t="s">
        <v>101</v>
      </c>
      <c r="C4588" s="3" t="s">
        <v>102</v>
      </c>
      <c r="D4588" s="3">
        <v>3</v>
      </c>
      <c r="E4588" s="3">
        <v>1363.037</v>
      </c>
      <c r="F4588">
        <f t="shared" si="73"/>
        <v>4089.1109999999999</v>
      </c>
    </row>
    <row r="4589" spans="1:6" x14ac:dyDescent="0.2">
      <c r="A4589">
        <v>846</v>
      </c>
      <c r="B4589" s="3" t="s">
        <v>103</v>
      </c>
      <c r="C4589" s="3" t="s">
        <v>104</v>
      </c>
      <c r="D4589" s="3">
        <v>6</v>
      </c>
      <c r="E4589" s="3">
        <v>423.5822</v>
      </c>
      <c r="F4589">
        <f t="shared" si="73"/>
        <v>2541.4931999999999</v>
      </c>
    </row>
    <row r="4590" spans="1:6" x14ac:dyDescent="0.2">
      <c r="A4590">
        <v>846</v>
      </c>
      <c r="B4590" s="3" t="s">
        <v>105</v>
      </c>
      <c r="C4590" s="3" t="s">
        <v>106</v>
      </c>
      <c r="D4590" s="3">
        <v>6</v>
      </c>
      <c r="E4590" s="3">
        <v>36.470199999999998</v>
      </c>
      <c r="F4590">
        <f t="shared" si="73"/>
        <v>218.82119999999998</v>
      </c>
    </row>
    <row r="4591" spans="1:6" x14ac:dyDescent="0.2">
      <c r="A4591">
        <v>846</v>
      </c>
      <c r="B4591" s="3" t="s">
        <v>107</v>
      </c>
      <c r="C4591" s="3" t="s">
        <v>108</v>
      </c>
      <c r="D4591" s="3">
        <v>1</v>
      </c>
      <c r="E4591" s="3">
        <v>61.492310000000003</v>
      </c>
      <c r="F4591">
        <f t="shared" si="73"/>
        <v>61.492310000000003</v>
      </c>
    </row>
    <row r="4592" spans="1:6" x14ac:dyDescent="0.2">
      <c r="A4592">
        <v>846</v>
      </c>
      <c r="B4592" s="3" t="s">
        <v>62</v>
      </c>
      <c r="C4592" s="3" t="s">
        <v>323</v>
      </c>
      <c r="D4592" s="3">
        <v>3</v>
      </c>
      <c r="E4592" s="3">
        <v>0.34860000000000002</v>
      </c>
      <c r="F4592">
        <f t="shared" si="73"/>
        <v>1.0458000000000001</v>
      </c>
    </row>
    <row r="4593" spans="1:6" x14ac:dyDescent="0.2">
      <c r="A4593">
        <v>846</v>
      </c>
      <c r="B4593" s="3" t="s">
        <v>324</v>
      </c>
      <c r="C4593" s="3" t="s">
        <v>273</v>
      </c>
      <c r="D4593" s="3">
        <v>1</v>
      </c>
      <c r="E4593" s="3">
        <v>0.95450000000000002</v>
      </c>
      <c r="F4593">
        <f t="shared" si="73"/>
        <v>0.95450000000000002</v>
      </c>
    </row>
    <row r="4594" spans="1:6" x14ac:dyDescent="0.2">
      <c r="A4594">
        <v>846</v>
      </c>
      <c r="B4594" s="3" t="s">
        <v>325</v>
      </c>
      <c r="C4594" s="3" t="s">
        <v>273</v>
      </c>
      <c r="D4594" s="3">
        <v>1</v>
      </c>
      <c r="E4594" s="3">
        <v>3.3692310000000001</v>
      </c>
      <c r="F4594">
        <f t="shared" si="73"/>
        <v>3.3692310000000001</v>
      </c>
    </row>
    <row r="4595" spans="1:6" x14ac:dyDescent="0.2">
      <c r="A4595">
        <v>846</v>
      </c>
      <c r="B4595" s="3" t="s">
        <v>154</v>
      </c>
      <c r="C4595" s="3" t="s">
        <v>278</v>
      </c>
      <c r="D4595" s="3">
        <v>3</v>
      </c>
      <c r="E4595" s="3">
        <v>4.3658000000000001</v>
      </c>
      <c r="F4595">
        <f t="shared" si="73"/>
        <v>13.0974</v>
      </c>
    </row>
    <row r="4596" spans="1:6" x14ac:dyDescent="0.2">
      <c r="A4596">
        <v>846</v>
      </c>
      <c r="B4596" s="3" t="s">
        <v>290</v>
      </c>
      <c r="C4596" s="3" t="s">
        <v>278</v>
      </c>
      <c r="D4596" s="3">
        <v>2</v>
      </c>
      <c r="E4596" s="3">
        <v>43.751809999999999</v>
      </c>
      <c r="F4596">
        <f t="shared" si="73"/>
        <v>87.503619999999998</v>
      </c>
    </row>
    <row r="4597" spans="1:6" x14ac:dyDescent="0.2">
      <c r="A4597">
        <v>846</v>
      </c>
      <c r="B4597" s="3" t="s">
        <v>288</v>
      </c>
      <c r="C4597" s="3" t="s">
        <v>289</v>
      </c>
      <c r="D4597" s="3">
        <v>1</v>
      </c>
      <c r="E4597" s="3">
        <v>7.340122</v>
      </c>
      <c r="F4597">
        <f t="shared" si="73"/>
        <v>7.340122</v>
      </c>
    </row>
    <row r="4598" spans="1:6" x14ac:dyDescent="0.2">
      <c r="A4598">
        <v>846</v>
      </c>
      <c r="B4598" s="3" t="s">
        <v>287</v>
      </c>
      <c r="C4598" s="3" t="s">
        <v>273</v>
      </c>
      <c r="D4598" s="3">
        <v>5</v>
      </c>
      <c r="E4598" s="3">
        <v>100.669</v>
      </c>
      <c r="F4598">
        <f t="shared" si="73"/>
        <v>503.34499999999997</v>
      </c>
    </row>
    <row r="4599" spans="1:6" x14ac:dyDescent="0.2">
      <c r="A4599">
        <v>846</v>
      </c>
      <c r="B4599" s="3" t="s">
        <v>285</v>
      </c>
      <c r="C4599" s="3" t="s">
        <v>286</v>
      </c>
      <c r="D4599" s="3">
        <v>1</v>
      </c>
      <c r="E4599" s="3">
        <v>58.189990000000002</v>
      </c>
      <c r="F4599">
        <f t="shared" si="73"/>
        <v>58.189990000000002</v>
      </c>
    </row>
    <row r="4600" spans="1:6" x14ac:dyDescent="0.2">
      <c r="A4600">
        <v>846</v>
      </c>
      <c r="B4600" s="3" t="s">
        <v>291</v>
      </c>
      <c r="C4600" s="3" t="s">
        <v>278</v>
      </c>
      <c r="D4600" s="3">
        <v>1</v>
      </c>
      <c r="E4600" s="3">
        <v>24.136399999999998</v>
      </c>
      <c r="F4600">
        <f t="shared" si="73"/>
        <v>24.136399999999998</v>
      </c>
    </row>
    <row r="4601" spans="1:6" x14ac:dyDescent="0.2">
      <c r="A4601">
        <v>846</v>
      </c>
      <c r="B4601" s="3" t="s">
        <v>277</v>
      </c>
      <c r="C4601" s="3" t="s">
        <v>278</v>
      </c>
      <c r="D4601" s="3">
        <v>1</v>
      </c>
      <c r="E4601" s="3">
        <v>41.026589999999999</v>
      </c>
      <c r="F4601">
        <f t="shared" si="73"/>
        <v>41.026589999999999</v>
      </c>
    </row>
    <row r="4602" spans="1:6" x14ac:dyDescent="0.2">
      <c r="A4602">
        <v>846</v>
      </c>
      <c r="B4602" s="3" t="s">
        <v>326</v>
      </c>
      <c r="C4602" s="3" t="s">
        <v>278</v>
      </c>
      <c r="D4602" s="3">
        <v>5</v>
      </c>
      <c r="E4602" s="3">
        <v>3.9745979999999999</v>
      </c>
      <c r="F4602">
        <f t="shared" si="73"/>
        <v>19.872989999999998</v>
      </c>
    </row>
    <row r="4603" spans="1:6" x14ac:dyDescent="0.2">
      <c r="A4603">
        <v>846</v>
      </c>
      <c r="B4603" s="3" t="s">
        <v>274</v>
      </c>
      <c r="C4603" s="3" t="s">
        <v>273</v>
      </c>
      <c r="D4603" s="3">
        <v>5</v>
      </c>
      <c r="E4603" s="3">
        <v>149.23089999999999</v>
      </c>
      <c r="F4603">
        <f t="shared" si="73"/>
        <v>746.15449999999998</v>
      </c>
    </row>
    <row r="4604" spans="1:6" x14ac:dyDescent="0.2">
      <c r="A4604">
        <v>846</v>
      </c>
      <c r="B4604" s="3" t="s">
        <v>327</v>
      </c>
      <c r="C4604" s="3" t="s">
        <v>309</v>
      </c>
      <c r="D4604" s="3">
        <v>1</v>
      </c>
      <c r="E4604" s="3">
        <v>1532.5239999999999</v>
      </c>
      <c r="F4604">
        <f t="shared" si="73"/>
        <v>1532.5239999999999</v>
      </c>
    </row>
    <row r="4605" spans="1:6" x14ac:dyDescent="0.2">
      <c r="A4605">
        <v>846</v>
      </c>
      <c r="B4605" s="3" t="s">
        <v>328</v>
      </c>
      <c r="C4605" s="3" t="s">
        <v>329</v>
      </c>
      <c r="D4605" s="3">
        <v>1</v>
      </c>
      <c r="E4605" s="3">
        <v>155.62309999999999</v>
      </c>
      <c r="F4605">
        <f t="shared" si="73"/>
        <v>155.62309999999999</v>
      </c>
    </row>
    <row r="4606" spans="1:6" x14ac:dyDescent="0.2">
      <c r="A4606">
        <v>846</v>
      </c>
      <c r="B4606" s="3" t="s">
        <v>330</v>
      </c>
      <c r="C4606" s="3" t="s">
        <v>331</v>
      </c>
      <c r="D4606" s="3">
        <v>4</v>
      </c>
      <c r="E4606" s="3">
        <v>710.44619999999998</v>
      </c>
      <c r="F4606">
        <f t="shared" si="73"/>
        <v>2841.7847999999999</v>
      </c>
    </row>
    <row r="4607" spans="1:6" x14ac:dyDescent="0.2">
      <c r="A4607">
        <v>846</v>
      </c>
      <c r="B4607" s="3" t="s">
        <v>332</v>
      </c>
      <c r="C4607" s="3" t="s">
        <v>333</v>
      </c>
      <c r="D4607" s="3">
        <v>3</v>
      </c>
      <c r="E4607" s="3">
        <v>167.5538</v>
      </c>
      <c r="F4607">
        <f t="shared" si="73"/>
        <v>502.66139999999996</v>
      </c>
    </row>
    <row r="4608" spans="1:6" x14ac:dyDescent="0.2">
      <c r="A4608">
        <v>846</v>
      </c>
      <c r="B4608" s="3" t="s">
        <v>272</v>
      </c>
      <c r="C4608" s="3" t="s">
        <v>273</v>
      </c>
      <c r="D4608" s="3">
        <v>1</v>
      </c>
      <c r="E4608" s="3">
        <v>170.1112</v>
      </c>
      <c r="F4608">
        <f t="shared" si="73"/>
        <v>170.1112</v>
      </c>
    </row>
    <row r="4609" spans="1:6" x14ac:dyDescent="0.2">
      <c r="A4609">
        <v>846</v>
      </c>
      <c r="B4609" s="3" t="s">
        <v>275</v>
      </c>
      <c r="C4609" s="3" t="s">
        <v>276</v>
      </c>
      <c r="D4609" s="3">
        <v>3</v>
      </c>
      <c r="E4609" s="3">
        <v>9.081448</v>
      </c>
      <c r="F4609">
        <f t="shared" si="73"/>
        <v>27.244343999999998</v>
      </c>
    </row>
    <row r="4610" spans="1:6" x14ac:dyDescent="0.2">
      <c r="A4610">
        <v>846</v>
      </c>
      <c r="B4610" s="3" t="s">
        <v>334</v>
      </c>
      <c r="C4610" s="3" t="s">
        <v>329</v>
      </c>
      <c r="D4610" s="3">
        <v>2</v>
      </c>
      <c r="E4610" s="3">
        <v>149.0308</v>
      </c>
      <c r="F4610">
        <f t="shared" si="73"/>
        <v>298.0616</v>
      </c>
    </row>
    <row r="4611" spans="1:6" x14ac:dyDescent="0.2">
      <c r="A4611">
        <v>846</v>
      </c>
      <c r="B4611" s="3" t="s">
        <v>335</v>
      </c>
      <c r="C4611" s="3" t="s">
        <v>331</v>
      </c>
      <c r="D4611" s="3">
        <v>4</v>
      </c>
      <c r="E4611" s="3">
        <v>703.1</v>
      </c>
      <c r="F4611">
        <f t="shared" si="73"/>
        <v>2812.4</v>
      </c>
    </row>
    <row r="4612" spans="1:6" x14ac:dyDescent="0.2">
      <c r="A4612">
        <v>846</v>
      </c>
      <c r="B4612" s="3" t="s">
        <v>336</v>
      </c>
      <c r="C4612" s="3" t="s">
        <v>333</v>
      </c>
      <c r="D4612" s="3">
        <v>1</v>
      </c>
      <c r="E4612" s="3">
        <v>288.42309999999998</v>
      </c>
      <c r="F4612">
        <f t="shared" si="73"/>
        <v>288.42309999999998</v>
      </c>
    </row>
    <row r="4613" spans="1:6" x14ac:dyDescent="0.2">
      <c r="A4613">
        <v>846</v>
      </c>
      <c r="B4613" s="3" t="s">
        <v>337</v>
      </c>
      <c r="C4613" s="3" t="s">
        <v>297</v>
      </c>
      <c r="D4613" s="3">
        <v>118</v>
      </c>
      <c r="E4613" s="3">
        <v>11.761100000000001</v>
      </c>
      <c r="F4613">
        <f t="shared" si="73"/>
        <v>1387.8098</v>
      </c>
    </row>
    <row r="4614" spans="1:6" x14ac:dyDescent="0.2">
      <c r="A4614">
        <v>846</v>
      </c>
      <c r="B4614" s="3" t="s">
        <v>338</v>
      </c>
      <c r="C4614" s="3" t="s">
        <v>297</v>
      </c>
      <c r="D4614" s="3">
        <v>1</v>
      </c>
      <c r="E4614" s="3">
        <v>11.712960000000001</v>
      </c>
      <c r="F4614">
        <f t="shared" si="73"/>
        <v>11.712960000000001</v>
      </c>
    </row>
    <row r="4615" spans="1:6" x14ac:dyDescent="0.2">
      <c r="A4615">
        <v>846</v>
      </c>
      <c r="B4615" s="3" t="s">
        <v>339</v>
      </c>
      <c r="C4615" s="3" t="s">
        <v>297</v>
      </c>
      <c r="D4615" s="3">
        <v>1</v>
      </c>
      <c r="E4615" s="3">
        <v>20.279039999999998</v>
      </c>
      <c r="F4615">
        <f t="shared" si="73"/>
        <v>20.279039999999998</v>
      </c>
    </row>
    <row r="4616" spans="1:6" x14ac:dyDescent="0.2">
      <c r="A4616">
        <v>846</v>
      </c>
      <c r="B4616" s="3" t="s">
        <v>340</v>
      </c>
      <c r="C4616" s="3" t="s">
        <v>309</v>
      </c>
      <c r="D4616" s="3">
        <v>3</v>
      </c>
      <c r="E4616" s="3">
        <v>1536.3340000000001</v>
      </c>
      <c r="F4616">
        <f t="shared" si="73"/>
        <v>4609.0020000000004</v>
      </c>
    </row>
    <row r="4617" spans="1:6" x14ac:dyDescent="0.2">
      <c r="A4617">
        <v>846</v>
      </c>
      <c r="B4617" s="3" t="s">
        <v>341</v>
      </c>
      <c r="C4617" s="3" t="s">
        <v>342</v>
      </c>
      <c r="D4617" s="3">
        <v>1</v>
      </c>
      <c r="E4617" s="3">
        <v>307.22449999999998</v>
      </c>
      <c r="F4617">
        <f t="shared" si="73"/>
        <v>307.22449999999998</v>
      </c>
    </row>
    <row r="4618" spans="1:6" x14ac:dyDescent="0.2">
      <c r="A4618">
        <v>846</v>
      </c>
      <c r="B4618" s="3" t="s">
        <v>284</v>
      </c>
      <c r="C4618" s="3" t="s">
        <v>273</v>
      </c>
      <c r="D4618" s="3">
        <v>2</v>
      </c>
      <c r="E4618" s="3">
        <v>15.547000000000001</v>
      </c>
      <c r="F4618">
        <f t="shared" si="73"/>
        <v>31.094000000000001</v>
      </c>
    </row>
    <row r="4619" spans="1:6" x14ac:dyDescent="0.2">
      <c r="A4619">
        <v>846</v>
      </c>
      <c r="B4619" s="3" t="s">
        <v>283</v>
      </c>
      <c r="C4619" s="3" t="s">
        <v>278</v>
      </c>
      <c r="D4619" s="3">
        <v>3</v>
      </c>
      <c r="E4619" s="3">
        <v>101.76220000000001</v>
      </c>
      <c r="F4619">
        <f t="shared" ref="F4619:F4682" si="74">D4619*E4619</f>
        <v>305.28660000000002</v>
      </c>
    </row>
    <row r="4620" spans="1:6" x14ac:dyDescent="0.2">
      <c r="A4620">
        <v>846</v>
      </c>
      <c r="B4620" s="3" t="s">
        <v>281</v>
      </c>
      <c r="C4620" s="3" t="s">
        <v>282</v>
      </c>
      <c r="D4620" s="3">
        <v>6</v>
      </c>
      <c r="E4620" s="3">
        <v>43.369190000000003</v>
      </c>
      <c r="F4620">
        <f t="shared" si="74"/>
        <v>260.21514000000002</v>
      </c>
    </row>
    <row r="4621" spans="1:6" x14ac:dyDescent="0.2">
      <c r="A4621">
        <v>846</v>
      </c>
      <c r="B4621" s="3" t="s">
        <v>279</v>
      </c>
      <c r="C4621" s="3" t="s">
        <v>280</v>
      </c>
      <c r="D4621" s="3">
        <v>6</v>
      </c>
      <c r="E4621" s="3">
        <v>36.786499999999997</v>
      </c>
      <c r="F4621">
        <f t="shared" si="74"/>
        <v>220.71899999999999</v>
      </c>
    </row>
    <row r="4622" spans="1:6" x14ac:dyDescent="0.2">
      <c r="A4622">
        <v>846</v>
      </c>
      <c r="B4622" s="3" t="s">
        <v>343</v>
      </c>
      <c r="C4622" s="3" t="s">
        <v>282</v>
      </c>
      <c r="D4622" s="3">
        <v>1</v>
      </c>
      <c r="E4622" s="3">
        <v>16.807500000000001</v>
      </c>
      <c r="F4622">
        <f t="shared" si="74"/>
        <v>16.807500000000001</v>
      </c>
    </row>
    <row r="4623" spans="1:6" x14ac:dyDescent="0.2">
      <c r="A4623">
        <v>846</v>
      </c>
      <c r="B4623" s="3" t="s">
        <v>344</v>
      </c>
      <c r="C4623" s="3" t="s">
        <v>282</v>
      </c>
      <c r="D4623" s="3">
        <v>3</v>
      </c>
      <c r="E4623" s="3">
        <v>12.76713</v>
      </c>
      <c r="F4623">
        <f t="shared" si="74"/>
        <v>38.301389999999998</v>
      </c>
    </row>
    <row r="4624" spans="1:6" x14ac:dyDescent="0.2">
      <c r="A4624">
        <v>846</v>
      </c>
      <c r="B4624" s="3" t="s">
        <v>270</v>
      </c>
      <c r="C4624" s="3" t="s">
        <v>271</v>
      </c>
      <c r="D4624" s="3">
        <v>1</v>
      </c>
      <c r="E4624" s="3">
        <v>3027.0970000000002</v>
      </c>
      <c r="F4624">
        <f t="shared" si="74"/>
        <v>3027.0970000000002</v>
      </c>
    </row>
    <row r="4625" spans="1:6" x14ac:dyDescent="0.2">
      <c r="A4625">
        <v>846</v>
      </c>
      <c r="B4625" s="3" t="s">
        <v>272</v>
      </c>
      <c r="C4625" s="3" t="s">
        <v>273</v>
      </c>
      <c r="D4625" s="3">
        <v>1</v>
      </c>
      <c r="E4625" s="3">
        <v>170.1112</v>
      </c>
      <c r="F4625">
        <f t="shared" si="74"/>
        <v>170.1112</v>
      </c>
    </row>
    <row r="4626" spans="1:6" x14ac:dyDescent="0.2">
      <c r="A4626">
        <v>846</v>
      </c>
      <c r="B4626" s="3" t="s">
        <v>274</v>
      </c>
      <c r="C4626" s="3" t="s">
        <v>273</v>
      </c>
      <c r="D4626" s="3">
        <v>3</v>
      </c>
      <c r="E4626" s="3">
        <v>149.23089999999999</v>
      </c>
      <c r="F4626">
        <f t="shared" si="74"/>
        <v>447.69269999999995</v>
      </c>
    </row>
    <row r="4627" spans="1:6" x14ac:dyDescent="0.2">
      <c r="A4627">
        <v>846</v>
      </c>
      <c r="B4627" s="3" t="s">
        <v>275</v>
      </c>
      <c r="C4627" s="3" t="s">
        <v>276</v>
      </c>
      <c r="D4627" s="3">
        <v>2</v>
      </c>
      <c r="E4627" s="3">
        <v>9.081448</v>
      </c>
      <c r="F4627">
        <f t="shared" si="74"/>
        <v>18.162896</v>
      </c>
    </row>
    <row r="4628" spans="1:6" x14ac:dyDescent="0.2">
      <c r="A4628">
        <v>846</v>
      </c>
      <c r="B4628" s="3" t="s">
        <v>277</v>
      </c>
      <c r="C4628" s="3" t="s">
        <v>278</v>
      </c>
      <c r="D4628" s="3">
        <v>1</v>
      </c>
      <c r="E4628" s="3">
        <v>41.026589999999999</v>
      </c>
      <c r="F4628">
        <f t="shared" si="74"/>
        <v>41.026589999999999</v>
      </c>
    </row>
    <row r="4629" spans="1:6" x14ac:dyDescent="0.2">
      <c r="A4629">
        <v>846</v>
      </c>
      <c r="B4629" s="3" t="s">
        <v>279</v>
      </c>
      <c r="C4629" s="3" t="s">
        <v>280</v>
      </c>
      <c r="D4629" s="3">
        <v>5</v>
      </c>
      <c r="E4629" s="3">
        <v>36.786499999999997</v>
      </c>
      <c r="F4629">
        <f t="shared" si="74"/>
        <v>183.93249999999998</v>
      </c>
    </row>
    <row r="4630" spans="1:6" x14ac:dyDescent="0.2">
      <c r="A4630">
        <v>846</v>
      </c>
      <c r="B4630" s="3" t="s">
        <v>281</v>
      </c>
      <c r="C4630" s="3" t="s">
        <v>282</v>
      </c>
      <c r="D4630" s="3">
        <v>1</v>
      </c>
      <c r="E4630" s="3">
        <v>43.369190000000003</v>
      </c>
      <c r="F4630">
        <f t="shared" si="74"/>
        <v>43.369190000000003</v>
      </c>
    </row>
    <row r="4631" spans="1:6" x14ac:dyDescent="0.2">
      <c r="A4631">
        <v>846</v>
      </c>
      <c r="B4631" s="3" t="s">
        <v>283</v>
      </c>
      <c r="C4631" s="3" t="s">
        <v>278</v>
      </c>
      <c r="D4631" s="3">
        <v>1</v>
      </c>
      <c r="E4631" s="3">
        <v>101.76220000000001</v>
      </c>
      <c r="F4631">
        <f t="shared" si="74"/>
        <v>101.76220000000001</v>
      </c>
    </row>
    <row r="4632" spans="1:6" x14ac:dyDescent="0.2">
      <c r="A4632">
        <v>846</v>
      </c>
      <c r="B4632" s="3" t="s">
        <v>284</v>
      </c>
      <c r="C4632" s="3" t="s">
        <v>273</v>
      </c>
      <c r="D4632" s="3">
        <v>1</v>
      </c>
      <c r="E4632" s="3">
        <v>15.547000000000001</v>
      </c>
      <c r="F4632">
        <f t="shared" si="74"/>
        <v>15.547000000000001</v>
      </c>
    </row>
    <row r="4633" spans="1:6" x14ac:dyDescent="0.2">
      <c r="A4633">
        <v>846</v>
      </c>
      <c r="B4633" s="3" t="s">
        <v>285</v>
      </c>
      <c r="C4633" s="3" t="s">
        <v>286</v>
      </c>
      <c r="D4633" s="3">
        <v>5</v>
      </c>
      <c r="E4633" s="3">
        <v>58.189990000000002</v>
      </c>
      <c r="F4633">
        <f t="shared" si="74"/>
        <v>290.94995</v>
      </c>
    </row>
    <row r="4634" spans="1:6" x14ac:dyDescent="0.2">
      <c r="A4634">
        <v>846</v>
      </c>
      <c r="B4634" s="3" t="s">
        <v>287</v>
      </c>
      <c r="C4634" s="3" t="s">
        <v>273</v>
      </c>
      <c r="D4634" s="3">
        <v>5</v>
      </c>
      <c r="E4634" s="3">
        <v>100.669</v>
      </c>
      <c r="F4634">
        <f t="shared" si="74"/>
        <v>503.34499999999997</v>
      </c>
    </row>
    <row r="4635" spans="1:6" x14ac:dyDescent="0.2">
      <c r="A4635">
        <v>846</v>
      </c>
      <c r="B4635" s="3" t="s">
        <v>288</v>
      </c>
      <c r="C4635" s="3" t="s">
        <v>289</v>
      </c>
      <c r="D4635" s="3">
        <v>1</v>
      </c>
      <c r="E4635" s="3">
        <v>7.340122</v>
      </c>
      <c r="F4635">
        <f t="shared" si="74"/>
        <v>7.340122</v>
      </c>
    </row>
    <row r="4636" spans="1:6" x14ac:dyDescent="0.2">
      <c r="A4636">
        <v>846</v>
      </c>
      <c r="B4636" s="3" t="s">
        <v>290</v>
      </c>
      <c r="C4636" s="3" t="s">
        <v>278</v>
      </c>
      <c r="D4636" s="3">
        <v>1</v>
      </c>
      <c r="E4636" s="3">
        <v>43.751809999999999</v>
      </c>
      <c r="F4636">
        <f t="shared" si="74"/>
        <v>43.751809999999999</v>
      </c>
    </row>
    <row r="4637" spans="1:6" x14ac:dyDescent="0.2">
      <c r="A4637">
        <v>846</v>
      </c>
      <c r="B4637" s="3" t="s">
        <v>277</v>
      </c>
      <c r="C4637" s="3" t="s">
        <v>278</v>
      </c>
      <c r="D4637" s="3">
        <v>4</v>
      </c>
      <c r="E4637" s="3">
        <v>41.026589999999999</v>
      </c>
      <c r="F4637">
        <f t="shared" si="74"/>
        <v>164.10636</v>
      </c>
    </row>
    <row r="4638" spans="1:6" x14ac:dyDescent="0.2">
      <c r="A4638">
        <v>846</v>
      </c>
      <c r="B4638" s="3" t="s">
        <v>291</v>
      </c>
      <c r="C4638" s="3" t="s">
        <v>278</v>
      </c>
      <c r="D4638" s="3">
        <v>3</v>
      </c>
      <c r="E4638" s="3">
        <v>24.136399999999998</v>
      </c>
      <c r="F4638">
        <f t="shared" si="74"/>
        <v>72.409199999999998</v>
      </c>
    </row>
    <row r="4639" spans="1:6" x14ac:dyDescent="0.2">
      <c r="A4639">
        <v>846</v>
      </c>
      <c r="B4639" s="3" t="s">
        <v>292</v>
      </c>
      <c r="C4639" s="3" t="s">
        <v>293</v>
      </c>
      <c r="D4639" s="3">
        <v>1</v>
      </c>
      <c r="E4639" s="3">
        <v>96.852699999999999</v>
      </c>
      <c r="F4639">
        <f t="shared" si="74"/>
        <v>96.852699999999999</v>
      </c>
    </row>
    <row r="4640" spans="1:6" x14ac:dyDescent="0.2">
      <c r="A4640">
        <v>846</v>
      </c>
      <c r="B4640" s="3" t="s">
        <v>294</v>
      </c>
      <c r="C4640" s="3" t="s">
        <v>278</v>
      </c>
      <c r="D4640" s="3">
        <v>3</v>
      </c>
      <c r="E4640" s="3">
        <v>26.221409999999999</v>
      </c>
      <c r="F4640">
        <f t="shared" si="74"/>
        <v>78.664230000000003</v>
      </c>
    </row>
    <row r="4641" spans="1:6" x14ac:dyDescent="0.2">
      <c r="A4641">
        <v>846</v>
      </c>
      <c r="B4641" s="3" t="s">
        <v>295</v>
      </c>
      <c r="C4641" s="3" t="s">
        <v>273</v>
      </c>
      <c r="D4641" s="3">
        <v>2</v>
      </c>
      <c r="E4641" s="3">
        <v>54.88693</v>
      </c>
      <c r="F4641">
        <f t="shared" si="74"/>
        <v>109.77386</v>
      </c>
    </row>
    <row r="4642" spans="1:6" x14ac:dyDescent="0.2">
      <c r="A4642">
        <v>846</v>
      </c>
      <c r="B4642" s="3" t="s">
        <v>296</v>
      </c>
      <c r="C4642" s="3" t="s">
        <v>297</v>
      </c>
      <c r="D4642" s="3">
        <v>4</v>
      </c>
      <c r="E4642" s="3">
        <v>5.5029000000000003</v>
      </c>
      <c r="F4642">
        <f t="shared" si="74"/>
        <v>22.011600000000001</v>
      </c>
    </row>
    <row r="4643" spans="1:6" x14ac:dyDescent="0.2">
      <c r="A4643">
        <v>846</v>
      </c>
      <c r="B4643" s="3" t="s">
        <v>298</v>
      </c>
      <c r="C4643" s="3" t="s">
        <v>297</v>
      </c>
      <c r="D4643" s="3">
        <v>1</v>
      </c>
      <c r="E4643" s="3">
        <v>5.9344999999999999</v>
      </c>
      <c r="F4643">
        <f t="shared" si="74"/>
        <v>5.9344999999999999</v>
      </c>
    </row>
    <row r="4644" spans="1:6" x14ac:dyDescent="0.2">
      <c r="A4644">
        <v>846</v>
      </c>
      <c r="B4644" s="3" t="s">
        <v>299</v>
      </c>
      <c r="C4644" s="3" t="s">
        <v>297</v>
      </c>
      <c r="D4644" s="3">
        <v>118</v>
      </c>
      <c r="E4644" s="3">
        <v>4.3574999999999999</v>
      </c>
      <c r="F4644">
        <f t="shared" si="74"/>
        <v>514.18499999999995</v>
      </c>
    </row>
    <row r="4645" spans="1:6" x14ac:dyDescent="0.2">
      <c r="A4645">
        <v>846</v>
      </c>
      <c r="B4645" s="3" t="s">
        <v>122</v>
      </c>
      <c r="C4645" s="3" t="s">
        <v>276</v>
      </c>
      <c r="D4645" s="3">
        <v>1</v>
      </c>
      <c r="E4645" s="3">
        <v>14.915100000000001</v>
      </c>
      <c r="F4645">
        <f t="shared" si="74"/>
        <v>14.915100000000001</v>
      </c>
    </row>
    <row r="4646" spans="1:6" x14ac:dyDescent="0.2">
      <c r="A4646">
        <v>846</v>
      </c>
      <c r="B4646" s="3" t="s">
        <v>120</v>
      </c>
      <c r="C4646" s="3" t="s">
        <v>278</v>
      </c>
      <c r="D4646" s="3">
        <v>1</v>
      </c>
      <c r="E4646" s="3">
        <v>1.5604</v>
      </c>
      <c r="F4646">
        <f t="shared" si="74"/>
        <v>1.5604</v>
      </c>
    </row>
    <row r="4647" spans="1:6" x14ac:dyDescent="0.2">
      <c r="A4647">
        <v>846</v>
      </c>
      <c r="B4647" s="3" t="s">
        <v>300</v>
      </c>
      <c r="C4647" s="3" t="s">
        <v>273</v>
      </c>
      <c r="D4647" s="3">
        <v>3</v>
      </c>
      <c r="E4647" s="3">
        <v>60.59</v>
      </c>
      <c r="F4647">
        <f t="shared" si="74"/>
        <v>181.77</v>
      </c>
    </row>
    <row r="4648" spans="1:6" x14ac:dyDescent="0.2">
      <c r="A4648">
        <v>846</v>
      </c>
      <c r="B4648" s="3" t="s">
        <v>301</v>
      </c>
      <c r="C4648" s="3" t="s">
        <v>302</v>
      </c>
      <c r="D4648" s="3">
        <v>1</v>
      </c>
      <c r="E4648" s="3">
        <v>104.8857</v>
      </c>
      <c r="F4648">
        <f t="shared" si="74"/>
        <v>104.8857</v>
      </c>
    </row>
    <row r="4649" spans="1:6" x14ac:dyDescent="0.2">
      <c r="A4649">
        <v>846</v>
      </c>
      <c r="B4649" s="3" t="s">
        <v>303</v>
      </c>
      <c r="C4649" s="3" t="s">
        <v>304</v>
      </c>
      <c r="D4649" s="3">
        <v>2</v>
      </c>
      <c r="E4649" s="3">
        <v>683.94489999999996</v>
      </c>
      <c r="F4649">
        <f t="shared" si="74"/>
        <v>1367.8897999999999</v>
      </c>
    </row>
    <row r="4650" spans="1:6" x14ac:dyDescent="0.2">
      <c r="A4650">
        <v>846</v>
      </c>
      <c r="B4650" s="3" t="s">
        <v>305</v>
      </c>
      <c r="C4650" s="3" t="s">
        <v>273</v>
      </c>
      <c r="D4650" s="3">
        <v>3</v>
      </c>
      <c r="E4650" s="3">
        <v>71.189099999999996</v>
      </c>
      <c r="F4650">
        <f t="shared" si="74"/>
        <v>213.56729999999999</v>
      </c>
    </row>
    <row r="4651" spans="1:6" x14ac:dyDescent="0.2">
      <c r="A4651">
        <v>846</v>
      </c>
      <c r="B4651" s="3" t="s">
        <v>294</v>
      </c>
      <c r="C4651" s="3" t="s">
        <v>278</v>
      </c>
      <c r="D4651" s="3">
        <v>6</v>
      </c>
      <c r="E4651" s="3">
        <v>26.221409999999999</v>
      </c>
      <c r="F4651">
        <f t="shared" si="74"/>
        <v>157.32846000000001</v>
      </c>
    </row>
    <row r="4652" spans="1:6" x14ac:dyDescent="0.2">
      <c r="A4652">
        <v>846</v>
      </c>
      <c r="B4652" s="3" t="s">
        <v>306</v>
      </c>
      <c r="C4652" s="3" t="s">
        <v>273</v>
      </c>
      <c r="D4652" s="3">
        <v>6</v>
      </c>
      <c r="E4652" s="3">
        <v>99.575779999999995</v>
      </c>
      <c r="F4652">
        <f t="shared" si="74"/>
        <v>597.45467999999994</v>
      </c>
    </row>
    <row r="4653" spans="1:6" x14ac:dyDescent="0.2">
      <c r="A4653">
        <v>846</v>
      </c>
      <c r="B4653" s="3" t="s">
        <v>294</v>
      </c>
      <c r="C4653" s="3" t="s">
        <v>278</v>
      </c>
      <c r="D4653" s="3">
        <v>1</v>
      </c>
      <c r="E4653" s="3">
        <v>26.221409999999999</v>
      </c>
      <c r="F4653">
        <f t="shared" si="74"/>
        <v>26.221409999999999</v>
      </c>
    </row>
    <row r="4654" spans="1:6" x14ac:dyDescent="0.2">
      <c r="A4654">
        <v>846</v>
      </c>
      <c r="B4654" s="3" t="s">
        <v>306</v>
      </c>
      <c r="C4654" s="3" t="s">
        <v>273</v>
      </c>
      <c r="D4654" s="3">
        <v>3</v>
      </c>
      <c r="E4654" s="3">
        <v>99.575779999999995</v>
      </c>
      <c r="F4654">
        <f t="shared" si="74"/>
        <v>298.72733999999997</v>
      </c>
    </row>
    <row r="4655" spans="1:6" x14ac:dyDescent="0.2">
      <c r="A4655">
        <v>846</v>
      </c>
      <c r="B4655" s="3" t="s">
        <v>308</v>
      </c>
      <c r="C4655" s="3" t="s">
        <v>309</v>
      </c>
      <c r="D4655" s="3">
        <v>1</v>
      </c>
      <c r="E4655" s="3">
        <v>167.62309999999999</v>
      </c>
      <c r="F4655">
        <f t="shared" si="74"/>
        <v>167.62309999999999</v>
      </c>
    </row>
    <row r="4656" spans="1:6" x14ac:dyDescent="0.2">
      <c r="A4656">
        <v>846</v>
      </c>
      <c r="B4656" s="3" t="s">
        <v>310</v>
      </c>
      <c r="C4656" s="3" t="s">
        <v>273</v>
      </c>
      <c r="D4656" s="3">
        <v>1</v>
      </c>
      <c r="E4656" s="3">
        <v>0.33200000000000002</v>
      </c>
      <c r="F4656">
        <f t="shared" si="74"/>
        <v>0.33200000000000002</v>
      </c>
    </row>
    <row r="4657" spans="1:6" x14ac:dyDescent="0.2">
      <c r="A4657">
        <v>846</v>
      </c>
      <c r="B4657" s="3" t="s">
        <v>197</v>
      </c>
      <c r="C4657" s="3" t="s">
        <v>278</v>
      </c>
      <c r="D4657" s="3">
        <v>3</v>
      </c>
      <c r="E4657" s="3">
        <v>7.4700000000000003E-2</v>
      </c>
      <c r="F4657">
        <f t="shared" si="74"/>
        <v>0.22410000000000002</v>
      </c>
    </row>
    <row r="4658" spans="1:6" x14ac:dyDescent="0.2">
      <c r="A4658">
        <v>846</v>
      </c>
      <c r="B4658" s="3" t="s">
        <v>311</v>
      </c>
      <c r="C4658" s="3" t="s">
        <v>273</v>
      </c>
      <c r="D4658" s="3">
        <v>2</v>
      </c>
      <c r="E4658" s="3">
        <v>1.5935999999999999</v>
      </c>
      <c r="F4658">
        <f t="shared" si="74"/>
        <v>3.1871999999999998</v>
      </c>
    </row>
    <row r="4659" spans="1:6" x14ac:dyDescent="0.2">
      <c r="A4659">
        <v>846</v>
      </c>
      <c r="B4659" s="3" t="s">
        <v>312</v>
      </c>
      <c r="C4659" s="3" t="s">
        <v>278</v>
      </c>
      <c r="D4659" s="3">
        <v>1</v>
      </c>
      <c r="E4659" s="3">
        <v>21.040500000000002</v>
      </c>
      <c r="F4659">
        <f t="shared" si="74"/>
        <v>21.040500000000002</v>
      </c>
    </row>
    <row r="4660" spans="1:6" x14ac:dyDescent="0.2">
      <c r="A4660">
        <v>846</v>
      </c>
      <c r="B4660" s="3" t="s">
        <v>75</v>
      </c>
      <c r="C4660" s="3" t="s">
        <v>313</v>
      </c>
      <c r="D4660" s="3">
        <v>5</v>
      </c>
      <c r="E4660" s="3">
        <v>0.115385</v>
      </c>
      <c r="F4660">
        <f t="shared" si="74"/>
        <v>0.57692500000000002</v>
      </c>
    </row>
    <row r="4661" spans="1:6" x14ac:dyDescent="0.2">
      <c r="A4661">
        <v>846</v>
      </c>
      <c r="B4661" s="3" t="s">
        <v>314</v>
      </c>
      <c r="C4661" s="3" t="s">
        <v>273</v>
      </c>
      <c r="D4661" s="3">
        <v>1</v>
      </c>
      <c r="E4661" s="3">
        <v>0.45650000000000002</v>
      </c>
      <c r="F4661">
        <f t="shared" si="74"/>
        <v>0.45650000000000002</v>
      </c>
    </row>
    <row r="4662" spans="1:6" x14ac:dyDescent="0.2">
      <c r="A4662">
        <v>846</v>
      </c>
      <c r="B4662" s="3" t="s">
        <v>314</v>
      </c>
      <c r="C4662" s="3" t="s">
        <v>315</v>
      </c>
      <c r="D4662" s="3">
        <v>3</v>
      </c>
      <c r="E4662" s="3">
        <v>0.45650000000000002</v>
      </c>
      <c r="F4662">
        <f t="shared" si="74"/>
        <v>1.3694999999999999</v>
      </c>
    </row>
    <row r="4663" spans="1:6" x14ac:dyDescent="0.2">
      <c r="A4663">
        <v>846</v>
      </c>
      <c r="B4663" s="3" t="s">
        <v>316</v>
      </c>
      <c r="C4663" s="3" t="s">
        <v>317</v>
      </c>
      <c r="D4663" s="3">
        <v>6</v>
      </c>
      <c r="E4663" s="3">
        <v>92.206620000000001</v>
      </c>
      <c r="F4663">
        <f t="shared" si="74"/>
        <v>553.23972000000003</v>
      </c>
    </row>
    <row r="4664" spans="1:6" x14ac:dyDescent="0.2">
      <c r="A4664">
        <v>846</v>
      </c>
      <c r="B4664" s="3" t="s">
        <v>318</v>
      </c>
      <c r="C4664" s="3" t="s">
        <v>319</v>
      </c>
      <c r="D4664" s="3">
        <v>6</v>
      </c>
      <c r="E4664" s="3">
        <v>85.453850000000003</v>
      </c>
      <c r="F4664">
        <f t="shared" si="74"/>
        <v>512.72310000000004</v>
      </c>
    </row>
    <row r="4665" spans="1:6" x14ac:dyDescent="0.2">
      <c r="A4665">
        <v>846</v>
      </c>
      <c r="B4665" s="3" t="s">
        <v>320</v>
      </c>
      <c r="C4665" s="3" t="s">
        <v>321</v>
      </c>
      <c r="D4665" s="3">
        <v>1</v>
      </c>
      <c r="E4665" s="3">
        <v>92.206620000000001</v>
      </c>
      <c r="F4665">
        <f t="shared" si="74"/>
        <v>92.206620000000001</v>
      </c>
    </row>
    <row r="4666" spans="1:6" x14ac:dyDescent="0.2">
      <c r="A4666">
        <v>846</v>
      </c>
      <c r="B4666" s="3" t="s">
        <v>267</v>
      </c>
      <c r="C4666" s="3" t="s">
        <v>268</v>
      </c>
      <c r="D4666" s="3">
        <v>3</v>
      </c>
      <c r="E4666" s="3">
        <v>84863.13</v>
      </c>
      <c r="F4666">
        <f t="shared" si="74"/>
        <v>254589.39</v>
      </c>
    </row>
    <row r="4667" spans="1:6" x14ac:dyDescent="0.2">
      <c r="A4667">
        <v>846</v>
      </c>
      <c r="B4667" s="3" t="s">
        <v>260</v>
      </c>
      <c r="C4667" s="3" t="s">
        <v>261</v>
      </c>
      <c r="D4667" s="3">
        <v>1</v>
      </c>
      <c r="E4667" s="3">
        <v>2908.2939999999999</v>
      </c>
      <c r="F4667">
        <f t="shared" si="74"/>
        <v>2908.2939999999999</v>
      </c>
    </row>
    <row r="4668" spans="1:6" x14ac:dyDescent="0.2">
      <c r="A4668">
        <v>846</v>
      </c>
      <c r="B4668" s="3" t="s">
        <v>262</v>
      </c>
      <c r="C4668" s="3" t="s">
        <v>263</v>
      </c>
      <c r="D4668" s="3">
        <v>1</v>
      </c>
      <c r="E4668" s="3">
        <v>3207.1970000000001</v>
      </c>
      <c r="F4668">
        <f t="shared" si="74"/>
        <v>3207.1970000000001</v>
      </c>
    </row>
    <row r="4669" spans="1:6" x14ac:dyDescent="0.2">
      <c r="A4669">
        <v>846</v>
      </c>
      <c r="B4669" s="3" t="s">
        <v>264</v>
      </c>
      <c r="C4669" s="3" t="s">
        <v>265</v>
      </c>
      <c r="D4669" s="3">
        <v>3</v>
      </c>
      <c r="E4669" s="3">
        <v>3466.7310000000002</v>
      </c>
      <c r="F4669">
        <f t="shared" si="74"/>
        <v>10400.193000000001</v>
      </c>
    </row>
    <row r="4670" spans="1:6" x14ac:dyDescent="0.2">
      <c r="A4670">
        <v>846</v>
      </c>
      <c r="B4670" s="3" t="s">
        <v>259</v>
      </c>
      <c r="C4670" s="3" t="s">
        <v>258</v>
      </c>
      <c r="D4670" s="3">
        <v>2</v>
      </c>
      <c r="E4670" s="3">
        <v>3325.9760000000001</v>
      </c>
      <c r="F4670">
        <f t="shared" si="74"/>
        <v>6651.9520000000002</v>
      </c>
    </row>
    <row r="4671" spans="1:6" x14ac:dyDescent="0.2">
      <c r="A4671">
        <v>846</v>
      </c>
      <c r="B4671" s="3" t="s">
        <v>257</v>
      </c>
      <c r="C4671" s="3" t="s">
        <v>258</v>
      </c>
      <c r="D4671" s="3">
        <v>1</v>
      </c>
      <c r="E4671" s="3">
        <v>3325.9760000000001</v>
      </c>
      <c r="F4671">
        <f t="shared" si="74"/>
        <v>3325.9760000000001</v>
      </c>
    </row>
    <row r="4672" spans="1:6" x14ac:dyDescent="0.2">
      <c r="A4672">
        <v>846</v>
      </c>
      <c r="B4672" s="3" t="s">
        <v>255</v>
      </c>
      <c r="C4672" s="3" t="s">
        <v>256</v>
      </c>
      <c r="D4672" s="3">
        <v>5</v>
      </c>
      <c r="E4672" s="3">
        <v>18546.09</v>
      </c>
      <c r="F4672">
        <f t="shared" si="74"/>
        <v>92730.45</v>
      </c>
    </row>
    <row r="4673" spans="1:6" x14ac:dyDescent="0.2">
      <c r="A4673">
        <v>846</v>
      </c>
      <c r="B4673" s="3" t="s">
        <v>359</v>
      </c>
      <c r="C4673" s="3" t="s">
        <v>360</v>
      </c>
      <c r="D4673" s="3">
        <v>1</v>
      </c>
      <c r="E4673" s="3">
        <v>1844.9380000000001</v>
      </c>
      <c r="F4673">
        <f t="shared" si="74"/>
        <v>1844.9380000000001</v>
      </c>
    </row>
    <row r="4674" spans="1:6" x14ac:dyDescent="0.2">
      <c r="A4674">
        <v>846</v>
      </c>
      <c r="B4674" s="3" t="s">
        <v>389</v>
      </c>
      <c r="C4674" s="3" t="s">
        <v>390</v>
      </c>
      <c r="D4674">
        <v>1</v>
      </c>
      <c r="E4674" s="3">
        <v>4906</v>
      </c>
      <c r="F4674">
        <f t="shared" si="74"/>
        <v>4906</v>
      </c>
    </row>
    <row r="4675" spans="1:6" x14ac:dyDescent="0.2">
      <c r="A4675">
        <v>847</v>
      </c>
      <c r="B4675" s="3" t="s">
        <v>62</v>
      </c>
      <c r="C4675" s="3" t="s">
        <v>63</v>
      </c>
      <c r="D4675" s="3">
        <v>1</v>
      </c>
      <c r="E4675" s="3">
        <v>0.34860000000000002</v>
      </c>
      <c r="F4675">
        <f t="shared" si="74"/>
        <v>0.34860000000000002</v>
      </c>
    </row>
    <row r="4676" spans="1:6" x14ac:dyDescent="0.2">
      <c r="A4676">
        <v>847</v>
      </c>
      <c r="B4676" s="3" t="s">
        <v>64</v>
      </c>
      <c r="C4676" s="3" t="s">
        <v>65</v>
      </c>
      <c r="D4676" s="3">
        <v>5</v>
      </c>
      <c r="E4676" s="3">
        <v>803.07690000000002</v>
      </c>
      <c r="F4676">
        <f t="shared" si="74"/>
        <v>4015.3845000000001</v>
      </c>
    </row>
    <row r="4677" spans="1:6" x14ac:dyDescent="0.2">
      <c r="A4677">
        <v>847</v>
      </c>
      <c r="B4677" s="3" t="s">
        <v>67</v>
      </c>
      <c r="C4677" s="3" t="s">
        <v>68</v>
      </c>
      <c r="D4677" s="3">
        <v>5</v>
      </c>
      <c r="E4677" s="3">
        <v>49.678570000000001</v>
      </c>
      <c r="F4677">
        <f t="shared" si="74"/>
        <v>248.39285000000001</v>
      </c>
    </row>
    <row r="4678" spans="1:6" x14ac:dyDescent="0.2">
      <c r="A4678">
        <v>847</v>
      </c>
      <c r="B4678" s="3" t="s">
        <v>70</v>
      </c>
      <c r="C4678" s="3" t="s">
        <v>71</v>
      </c>
      <c r="D4678" s="3">
        <v>1</v>
      </c>
      <c r="E4678" s="3">
        <v>407.98649999999998</v>
      </c>
      <c r="F4678">
        <f t="shared" si="74"/>
        <v>407.98649999999998</v>
      </c>
    </row>
    <row r="4679" spans="1:6" x14ac:dyDescent="0.2">
      <c r="A4679">
        <v>847</v>
      </c>
      <c r="B4679" s="3" t="s">
        <v>73</v>
      </c>
      <c r="C4679" s="3" t="s">
        <v>74</v>
      </c>
      <c r="D4679" s="3">
        <v>1</v>
      </c>
      <c r="E4679" s="3">
        <v>0.57783899999999999</v>
      </c>
      <c r="F4679">
        <f t="shared" si="74"/>
        <v>0.57783899999999999</v>
      </c>
    </row>
    <row r="4680" spans="1:6" x14ac:dyDescent="0.2">
      <c r="A4680">
        <v>847</v>
      </c>
      <c r="B4680" s="3" t="s">
        <v>75</v>
      </c>
      <c r="C4680" s="3" t="s">
        <v>76</v>
      </c>
      <c r="D4680" s="3">
        <v>4</v>
      </c>
      <c r="E4680" s="3">
        <v>0.115385</v>
      </c>
      <c r="F4680">
        <f t="shared" si="74"/>
        <v>0.46154000000000001</v>
      </c>
    </row>
    <row r="4681" spans="1:6" x14ac:dyDescent="0.2">
      <c r="A4681">
        <v>847</v>
      </c>
      <c r="B4681" s="3" t="s">
        <v>77</v>
      </c>
      <c r="C4681" s="3" t="s">
        <v>74</v>
      </c>
      <c r="D4681" s="3">
        <v>3</v>
      </c>
      <c r="E4681" s="3">
        <v>1.3944000000000001</v>
      </c>
      <c r="F4681">
        <f t="shared" si="74"/>
        <v>4.1832000000000003</v>
      </c>
    </row>
    <row r="4682" spans="1:6" x14ac:dyDescent="0.2">
      <c r="A4682">
        <v>847</v>
      </c>
      <c r="B4682" s="3" t="s">
        <v>78</v>
      </c>
      <c r="C4682" s="3" t="s">
        <v>76</v>
      </c>
      <c r="D4682" s="3">
        <v>1</v>
      </c>
      <c r="E4682" s="3">
        <v>0.71839500000000001</v>
      </c>
      <c r="F4682">
        <f t="shared" si="74"/>
        <v>0.71839500000000001</v>
      </c>
    </row>
    <row r="4683" spans="1:6" x14ac:dyDescent="0.2">
      <c r="A4683">
        <v>847</v>
      </c>
      <c r="B4683" s="3" t="s">
        <v>79</v>
      </c>
      <c r="C4683" s="3" t="s">
        <v>74</v>
      </c>
      <c r="D4683" s="3">
        <v>3</v>
      </c>
      <c r="E4683" s="3">
        <v>1.930769</v>
      </c>
      <c r="F4683">
        <f t="shared" ref="F4683:F4746" si="75">D4683*E4683</f>
        <v>5.7923070000000001</v>
      </c>
    </row>
    <row r="4684" spans="1:6" x14ac:dyDescent="0.2">
      <c r="A4684">
        <v>847</v>
      </c>
      <c r="B4684" s="3" t="s">
        <v>80</v>
      </c>
      <c r="C4684" s="3" t="s">
        <v>74</v>
      </c>
      <c r="D4684" s="3">
        <v>2</v>
      </c>
      <c r="E4684" s="3">
        <v>0.95450000000000002</v>
      </c>
      <c r="F4684">
        <f t="shared" si="75"/>
        <v>1.909</v>
      </c>
    </row>
    <row r="4685" spans="1:6" x14ac:dyDescent="0.2">
      <c r="A4685">
        <v>847</v>
      </c>
      <c r="B4685" s="3" t="s">
        <v>81</v>
      </c>
      <c r="C4685" s="3" t="s">
        <v>74</v>
      </c>
      <c r="D4685" s="3">
        <v>4</v>
      </c>
      <c r="E4685" s="3">
        <v>0.76359999999999995</v>
      </c>
      <c r="F4685">
        <f t="shared" si="75"/>
        <v>3.0543999999999998</v>
      </c>
    </row>
    <row r="4686" spans="1:6" x14ac:dyDescent="0.2">
      <c r="A4686">
        <v>847</v>
      </c>
      <c r="B4686" s="3" t="s">
        <v>82</v>
      </c>
      <c r="C4686" s="3" t="s">
        <v>83</v>
      </c>
      <c r="D4686" s="3">
        <v>1</v>
      </c>
      <c r="E4686" s="3">
        <v>20.351600000000001</v>
      </c>
      <c r="F4686">
        <f t="shared" si="75"/>
        <v>20.351600000000001</v>
      </c>
    </row>
    <row r="4687" spans="1:6" x14ac:dyDescent="0.2">
      <c r="A4687">
        <v>847</v>
      </c>
      <c r="B4687" s="3" t="s">
        <v>84</v>
      </c>
      <c r="C4687" s="3" t="s">
        <v>85</v>
      </c>
      <c r="D4687" s="3">
        <v>118</v>
      </c>
      <c r="E4687" s="3">
        <v>102.3322</v>
      </c>
      <c r="F4687">
        <f t="shared" si="75"/>
        <v>12075.1996</v>
      </c>
    </row>
    <row r="4688" spans="1:6" x14ac:dyDescent="0.2">
      <c r="A4688">
        <v>847</v>
      </c>
      <c r="B4688" s="3" t="s">
        <v>86</v>
      </c>
      <c r="C4688" s="3" t="s">
        <v>85</v>
      </c>
      <c r="D4688" s="3">
        <v>1</v>
      </c>
      <c r="E4688" s="3">
        <v>144.2646</v>
      </c>
      <c r="F4688">
        <f t="shared" si="75"/>
        <v>144.2646</v>
      </c>
    </row>
    <row r="4689" spans="1:6" x14ac:dyDescent="0.2">
      <c r="A4689">
        <v>847</v>
      </c>
      <c r="B4689" s="3" t="s">
        <v>87</v>
      </c>
      <c r="C4689" s="3" t="s">
        <v>88</v>
      </c>
      <c r="D4689" s="3">
        <v>1</v>
      </c>
      <c r="E4689" s="3">
        <v>162.0215</v>
      </c>
      <c r="F4689">
        <f t="shared" si="75"/>
        <v>162.0215</v>
      </c>
    </row>
    <row r="4690" spans="1:6" x14ac:dyDescent="0.2">
      <c r="A4690">
        <v>847</v>
      </c>
      <c r="B4690" s="3" t="s">
        <v>89</v>
      </c>
      <c r="C4690" s="3" t="s">
        <v>85</v>
      </c>
      <c r="D4690" s="3">
        <v>3</v>
      </c>
      <c r="E4690" s="3">
        <v>211.0129</v>
      </c>
      <c r="F4690">
        <f t="shared" si="75"/>
        <v>633.03870000000006</v>
      </c>
    </row>
    <row r="4691" spans="1:6" x14ac:dyDescent="0.2">
      <c r="A4691">
        <v>847</v>
      </c>
      <c r="B4691" s="3" t="s">
        <v>90</v>
      </c>
      <c r="C4691" s="3" t="s">
        <v>88</v>
      </c>
      <c r="D4691" s="3">
        <v>1</v>
      </c>
      <c r="E4691" s="3">
        <v>238.1635</v>
      </c>
      <c r="F4691">
        <f t="shared" si="75"/>
        <v>238.1635</v>
      </c>
    </row>
    <row r="4692" spans="1:6" x14ac:dyDescent="0.2">
      <c r="A4692">
        <v>847</v>
      </c>
      <c r="B4692" s="3" t="s">
        <v>92</v>
      </c>
      <c r="C4692" s="3" t="s">
        <v>93</v>
      </c>
      <c r="D4692" s="3">
        <v>2</v>
      </c>
      <c r="E4692" s="3">
        <v>19.297499999999999</v>
      </c>
      <c r="F4692">
        <f t="shared" si="75"/>
        <v>38.594999999999999</v>
      </c>
    </row>
    <row r="4693" spans="1:6" x14ac:dyDescent="0.2">
      <c r="A4693">
        <v>847</v>
      </c>
      <c r="B4693" s="3" t="s">
        <v>94</v>
      </c>
      <c r="C4693" s="3" t="s">
        <v>95</v>
      </c>
      <c r="D4693" s="3">
        <v>3</v>
      </c>
      <c r="E4693" s="3">
        <v>644.46270000000004</v>
      </c>
      <c r="F4693">
        <f t="shared" si="75"/>
        <v>1933.3881000000001</v>
      </c>
    </row>
    <row r="4694" spans="1:6" x14ac:dyDescent="0.2">
      <c r="A4694">
        <v>847</v>
      </c>
      <c r="B4694" s="3" t="s">
        <v>236</v>
      </c>
      <c r="C4694" s="3" t="s">
        <v>237</v>
      </c>
      <c r="D4694" s="3">
        <v>6</v>
      </c>
      <c r="E4694" s="3">
        <v>132.80000000000001</v>
      </c>
      <c r="F4694">
        <f t="shared" si="75"/>
        <v>796.80000000000007</v>
      </c>
    </row>
    <row r="4695" spans="1:6" x14ac:dyDescent="0.2">
      <c r="A4695">
        <v>847</v>
      </c>
      <c r="B4695" s="3" t="s">
        <v>238</v>
      </c>
      <c r="C4695" s="3" t="s">
        <v>239</v>
      </c>
      <c r="D4695" s="3">
        <v>6</v>
      </c>
      <c r="E4695" s="3">
        <v>340.93849999999998</v>
      </c>
      <c r="F4695">
        <f t="shared" si="75"/>
        <v>2045.6309999999999</v>
      </c>
    </row>
    <row r="4696" spans="1:6" x14ac:dyDescent="0.2">
      <c r="A4696">
        <v>847</v>
      </c>
      <c r="B4696" s="3" t="s">
        <v>240</v>
      </c>
      <c r="C4696" s="3" t="s">
        <v>241</v>
      </c>
      <c r="D4696" s="3">
        <v>1</v>
      </c>
      <c r="E4696" s="3">
        <v>309.0154</v>
      </c>
      <c r="F4696">
        <f t="shared" si="75"/>
        <v>309.0154</v>
      </c>
    </row>
    <row r="4697" spans="1:6" x14ac:dyDescent="0.2">
      <c r="A4697">
        <v>847</v>
      </c>
      <c r="B4697" s="3" t="s">
        <v>242</v>
      </c>
      <c r="C4697" s="3" t="s">
        <v>243</v>
      </c>
      <c r="D4697" s="3">
        <v>3</v>
      </c>
      <c r="E4697" s="3">
        <v>427.76920000000001</v>
      </c>
      <c r="F4697">
        <f t="shared" si="75"/>
        <v>1283.3076000000001</v>
      </c>
    </row>
    <row r="4698" spans="1:6" x14ac:dyDescent="0.2">
      <c r="A4698">
        <v>847</v>
      </c>
      <c r="B4698" s="3" t="s">
        <v>244</v>
      </c>
      <c r="C4698" s="3" t="s">
        <v>184</v>
      </c>
      <c r="D4698" s="3">
        <v>1</v>
      </c>
      <c r="E4698" s="3">
        <v>18.643080000000001</v>
      </c>
      <c r="F4698">
        <f t="shared" si="75"/>
        <v>18.643080000000001</v>
      </c>
    </row>
    <row r="4699" spans="1:6" x14ac:dyDescent="0.2">
      <c r="A4699">
        <v>847</v>
      </c>
      <c r="B4699" s="3" t="s">
        <v>245</v>
      </c>
      <c r="C4699" s="3" t="s">
        <v>246</v>
      </c>
      <c r="D4699" s="3">
        <v>1</v>
      </c>
      <c r="E4699" s="3">
        <v>0.44819999999999999</v>
      </c>
      <c r="F4699">
        <f t="shared" si="75"/>
        <v>0.44819999999999999</v>
      </c>
    </row>
    <row r="4700" spans="1:6" x14ac:dyDescent="0.2">
      <c r="A4700">
        <v>847</v>
      </c>
      <c r="B4700" s="3" t="s">
        <v>75</v>
      </c>
      <c r="C4700" s="3" t="s">
        <v>247</v>
      </c>
      <c r="D4700" s="3">
        <v>3</v>
      </c>
      <c r="E4700" s="3">
        <v>0.115385</v>
      </c>
      <c r="F4700">
        <f t="shared" si="75"/>
        <v>0.34615499999999999</v>
      </c>
    </row>
    <row r="4701" spans="1:6" x14ac:dyDescent="0.2">
      <c r="A4701">
        <v>847</v>
      </c>
      <c r="B4701" s="3" t="s">
        <v>197</v>
      </c>
      <c r="C4701" s="3" t="s">
        <v>117</v>
      </c>
      <c r="D4701" s="3">
        <v>2</v>
      </c>
      <c r="E4701" s="3">
        <v>7.4700000000000003E-2</v>
      </c>
      <c r="F4701">
        <f t="shared" si="75"/>
        <v>0.14940000000000001</v>
      </c>
    </row>
    <row r="4702" spans="1:6" x14ac:dyDescent="0.2">
      <c r="A4702">
        <v>847</v>
      </c>
      <c r="B4702" s="3" t="s">
        <v>248</v>
      </c>
      <c r="C4702" s="3" t="s">
        <v>249</v>
      </c>
      <c r="D4702" s="3">
        <v>1</v>
      </c>
      <c r="E4702" s="3">
        <v>31064.98</v>
      </c>
      <c r="F4702">
        <f t="shared" si="75"/>
        <v>31064.98</v>
      </c>
    </row>
    <row r="4703" spans="1:6" x14ac:dyDescent="0.2">
      <c r="A4703">
        <v>847</v>
      </c>
      <c r="B4703" s="3" t="s">
        <v>250</v>
      </c>
      <c r="C4703" s="3" t="s">
        <v>251</v>
      </c>
      <c r="D4703" s="3">
        <v>5</v>
      </c>
      <c r="E4703" s="3">
        <v>564.5412</v>
      </c>
      <c r="F4703">
        <f t="shared" si="75"/>
        <v>2822.7060000000001</v>
      </c>
    </row>
    <row r="4704" spans="1:6" x14ac:dyDescent="0.2">
      <c r="A4704">
        <v>847</v>
      </c>
      <c r="B4704" s="3" t="s">
        <v>146</v>
      </c>
      <c r="C4704" s="3" t="s">
        <v>147</v>
      </c>
      <c r="D4704" s="3">
        <v>1</v>
      </c>
      <c r="E4704" s="3">
        <v>8021.5770000000002</v>
      </c>
      <c r="F4704">
        <f t="shared" si="75"/>
        <v>8021.5770000000002</v>
      </c>
    </row>
    <row r="4705" spans="1:6" x14ac:dyDescent="0.2">
      <c r="A4705">
        <v>847</v>
      </c>
      <c r="B4705" s="3" t="s">
        <v>215</v>
      </c>
      <c r="C4705" s="3" t="s">
        <v>208</v>
      </c>
      <c r="D4705" s="3">
        <v>1</v>
      </c>
      <c r="E4705" s="3">
        <v>1.4289810000000001</v>
      </c>
      <c r="F4705">
        <f t="shared" si="75"/>
        <v>1.4289810000000001</v>
      </c>
    </row>
    <row r="4706" spans="1:6" x14ac:dyDescent="0.2">
      <c r="A4706">
        <v>847</v>
      </c>
      <c r="B4706" s="3" t="s">
        <v>200</v>
      </c>
      <c r="C4706" s="3" t="s">
        <v>199</v>
      </c>
      <c r="D4706" s="3">
        <v>1</v>
      </c>
      <c r="E4706" s="3">
        <v>0.66373400000000005</v>
      </c>
      <c r="F4706">
        <f t="shared" si="75"/>
        <v>0.66373400000000005</v>
      </c>
    </row>
    <row r="4707" spans="1:6" x14ac:dyDescent="0.2">
      <c r="A4707">
        <v>847</v>
      </c>
      <c r="B4707" s="3" t="s">
        <v>216</v>
      </c>
      <c r="C4707" s="3" t="s">
        <v>199</v>
      </c>
      <c r="D4707" s="3">
        <v>5</v>
      </c>
      <c r="E4707" s="3">
        <v>0.66400000000000003</v>
      </c>
      <c r="F4707">
        <f t="shared" si="75"/>
        <v>3.3200000000000003</v>
      </c>
    </row>
    <row r="4708" spans="1:6" x14ac:dyDescent="0.2">
      <c r="A4708">
        <v>847</v>
      </c>
      <c r="B4708" s="3" t="s">
        <v>217</v>
      </c>
      <c r="C4708" s="3" t="s">
        <v>199</v>
      </c>
      <c r="D4708" s="3">
        <v>5</v>
      </c>
      <c r="E4708" s="3">
        <v>4.2164000000000001</v>
      </c>
      <c r="F4708">
        <f t="shared" si="75"/>
        <v>21.082000000000001</v>
      </c>
    </row>
    <row r="4709" spans="1:6" x14ac:dyDescent="0.2">
      <c r="A4709">
        <v>847</v>
      </c>
      <c r="B4709" s="3" t="s">
        <v>218</v>
      </c>
      <c r="C4709" s="3" t="s">
        <v>208</v>
      </c>
      <c r="D4709" s="3">
        <v>1</v>
      </c>
      <c r="E4709" s="3">
        <v>7.3455000000000004</v>
      </c>
      <c r="F4709">
        <f t="shared" si="75"/>
        <v>7.3455000000000004</v>
      </c>
    </row>
    <row r="4710" spans="1:6" x14ac:dyDescent="0.2">
      <c r="A4710">
        <v>847</v>
      </c>
      <c r="B4710" s="3" t="s">
        <v>219</v>
      </c>
      <c r="C4710" s="3" t="s">
        <v>199</v>
      </c>
      <c r="D4710" s="3">
        <v>1</v>
      </c>
      <c r="E4710" s="3">
        <v>1.4774</v>
      </c>
      <c r="F4710">
        <f t="shared" si="75"/>
        <v>1.4774</v>
      </c>
    </row>
    <row r="4711" spans="1:6" x14ac:dyDescent="0.2">
      <c r="A4711">
        <v>847</v>
      </c>
      <c r="B4711" s="3" t="s">
        <v>220</v>
      </c>
      <c r="C4711" s="3" t="s">
        <v>208</v>
      </c>
      <c r="D4711" s="3">
        <v>4</v>
      </c>
      <c r="E4711" s="3">
        <v>3.7267000000000001</v>
      </c>
      <c r="F4711">
        <f t="shared" si="75"/>
        <v>14.9068</v>
      </c>
    </row>
    <row r="4712" spans="1:6" x14ac:dyDescent="0.2">
      <c r="A4712">
        <v>847</v>
      </c>
      <c r="B4712" s="3" t="s">
        <v>221</v>
      </c>
      <c r="C4712" s="3" t="s">
        <v>199</v>
      </c>
      <c r="D4712" s="3">
        <v>3</v>
      </c>
      <c r="E4712" s="3">
        <v>0.97940000000000005</v>
      </c>
      <c r="F4712">
        <f t="shared" si="75"/>
        <v>2.9382000000000001</v>
      </c>
    </row>
    <row r="4713" spans="1:6" x14ac:dyDescent="0.2">
      <c r="A4713">
        <v>847</v>
      </c>
      <c r="B4713" s="3" t="s">
        <v>222</v>
      </c>
      <c r="C4713" s="3" t="s">
        <v>208</v>
      </c>
      <c r="D4713" s="3">
        <v>1</v>
      </c>
      <c r="E4713" s="3">
        <v>6.0673000000000004</v>
      </c>
      <c r="F4713">
        <f t="shared" si="75"/>
        <v>6.0673000000000004</v>
      </c>
    </row>
    <row r="4714" spans="1:6" x14ac:dyDescent="0.2">
      <c r="A4714">
        <v>847</v>
      </c>
      <c r="B4714" s="3" t="s">
        <v>223</v>
      </c>
      <c r="C4714" s="3" t="s">
        <v>224</v>
      </c>
      <c r="D4714" s="3">
        <v>3</v>
      </c>
      <c r="E4714" s="3">
        <v>19.4635</v>
      </c>
      <c r="F4714">
        <f t="shared" si="75"/>
        <v>58.390500000000003</v>
      </c>
    </row>
    <row r="4715" spans="1:6" x14ac:dyDescent="0.2">
      <c r="A4715">
        <v>847</v>
      </c>
      <c r="B4715" s="3" t="s">
        <v>225</v>
      </c>
      <c r="C4715" s="3" t="s">
        <v>226</v>
      </c>
      <c r="D4715" s="3">
        <v>2</v>
      </c>
      <c r="E4715" s="3">
        <v>10.22151</v>
      </c>
      <c r="F4715">
        <f t="shared" si="75"/>
        <v>20.443020000000001</v>
      </c>
    </row>
    <row r="4716" spans="1:6" x14ac:dyDescent="0.2">
      <c r="A4716">
        <v>847</v>
      </c>
      <c r="B4716" s="3" t="s">
        <v>227</v>
      </c>
      <c r="C4716" s="3" t="s">
        <v>208</v>
      </c>
      <c r="D4716" s="3">
        <v>4</v>
      </c>
      <c r="E4716" s="3">
        <v>3.6307689999999999</v>
      </c>
      <c r="F4716">
        <f t="shared" si="75"/>
        <v>14.523076</v>
      </c>
    </row>
    <row r="4717" spans="1:6" x14ac:dyDescent="0.2">
      <c r="A4717">
        <v>847</v>
      </c>
      <c r="B4717" s="3" t="s">
        <v>228</v>
      </c>
      <c r="C4717" s="3" t="s">
        <v>229</v>
      </c>
      <c r="D4717" s="3">
        <v>1</v>
      </c>
      <c r="E4717" s="3">
        <v>306.94979999999998</v>
      </c>
      <c r="F4717">
        <f t="shared" si="75"/>
        <v>306.94979999999998</v>
      </c>
    </row>
    <row r="4718" spans="1:6" x14ac:dyDescent="0.2">
      <c r="A4718">
        <v>847</v>
      </c>
      <c r="B4718" s="3" t="s">
        <v>116</v>
      </c>
      <c r="C4718" s="3" t="s">
        <v>117</v>
      </c>
      <c r="D4718" s="3">
        <v>118</v>
      </c>
      <c r="E4718" s="3">
        <v>0.25729999999999997</v>
      </c>
      <c r="F4718">
        <f t="shared" si="75"/>
        <v>30.361399999999996</v>
      </c>
    </row>
    <row r="4719" spans="1:6" x14ac:dyDescent="0.2">
      <c r="A4719">
        <v>847</v>
      </c>
      <c r="B4719" s="3" t="s">
        <v>78</v>
      </c>
      <c r="C4719" s="3" t="s">
        <v>76</v>
      </c>
      <c r="D4719" s="3">
        <v>1</v>
      </c>
      <c r="E4719" s="3">
        <v>0.71839500000000001</v>
      </c>
      <c r="F4719">
        <f t="shared" si="75"/>
        <v>0.71839500000000001</v>
      </c>
    </row>
    <row r="4720" spans="1:6" x14ac:dyDescent="0.2">
      <c r="A4720">
        <v>847</v>
      </c>
      <c r="B4720" s="3" t="s">
        <v>231</v>
      </c>
      <c r="C4720" s="3" t="s">
        <v>208</v>
      </c>
      <c r="D4720" s="3">
        <v>1</v>
      </c>
      <c r="E4720" s="3">
        <v>2.0832999999999999</v>
      </c>
      <c r="F4720">
        <f t="shared" si="75"/>
        <v>2.0832999999999999</v>
      </c>
    </row>
    <row r="4721" spans="1:6" x14ac:dyDescent="0.2">
      <c r="A4721">
        <v>847</v>
      </c>
      <c r="B4721" s="3" t="s">
        <v>232</v>
      </c>
      <c r="C4721" s="3" t="s">
        <v>119</v>
      </c>
      <c r="D4721" s="3">
        <v>3</v>
      </c>
      <c r="E4721" s="3">
        <v>1.5935999999999999</v>
      </c>
      <c r="F4721">
        <f t="shared" si="75"/>
        <v>4.7807999999999993</v>
      </c>
    </row>
    <row r="4722" spans="1:6" x14ac:dyDescent="0.2">
      <c r="A4722">
        <v>847</v>
      </c>
      <c r="B4722" s="3" t="s">
        <v>233</v>
      </c>
      <c r="C4722" s="3" t="s">
        <v>234</v>
      </c>
      <c r="D4722" s="3">
        <v>1</v>
      </c>
      <c r="E4722" s="3">
        <v>3989.2950000000001</v>
      </c>
      <c r="F4722">
        <f t="shared" si="75"/>
        <v>3989.2950000000001</v>
      </c>
    </row>
    <row r="4723" spans="1:6" x14ac:dyDescent="0.2">
      <c r="A4723">
        <v>847</v>
      </c>
      <c r="B4723" s="3" t="s">
        <v>142</v>
      </c>
      <c r="C4723" s="3" t="s">
        <v>143</v>
      </c>
      <c r="D4723" s="3">
        <v>2</v>
      </c>
      <c r="E4723" s="3">
        <v>18141.64</v>
      </c>
      <c r="F4723">
        <f t="shared" si="75"/>
        <v>36283.279999999999</v>
      </c>
    </row>
    <row r="4724" spans="1:6" x14ac:dyDescent="0.2">
      <c r="A4724">
        <v>847</v>
      </c>
      <c r="B4724" s="3" t="s">
        <v>144</v>
      </c>
      <c r="C4724" s="3" t="s">
        <v>145</v>
      </c>
      <c r="D4724" s="3">
        <v>3</v>
      </c>
      <c r="E4724" s="3">
        <v>7346.6769999999997</v>
      </c>
      <c r="F4724">
        <f t="shared" si="75"/>
        <v>22040.030999999999</v>
      </c>
    </row>
    <row r="4725" spans="1:6" x14ac:dyDescent="0.2">
      <c r="A4725">
        <v>847</v>
      </c>
      <c r="B4725" s="3" t="s">
        <v>197</v>
      </c>
      <c r="C4725" s="3" t="s">
        <v>117</v>
      </c>
      <c r="D4725" s="3">
        <v>6</v>
      </c>
      <c r="E4725" s="3">
        <v>7.4700000000000003E-2</v>
      </c>
      <c r="F4725">
        <f t="shared" si="75"/>
        <v>0.44820000000000004</v>
      </c>
    </row>
    <row r="4726" spans="1:6" x14ac:dyDescent="0.2">
      <c r="A4726">
        <v>847</v>
      </c>
      <c r="B4726" s="3" t="s">
        <v>198</v>
      </c>
      <c r="C4726" s="3" t="s">
        <v>199</v>
      </c>
      <c r="D4726" s="3">
        <v>6</v>
      </c>
      <c r="E4726" s="3">
        <v>0.66373400000000005</v>
      </c>
      <c r="F4726">
        <f t="shared" si="75"/>
        <v>3.9824040000000003</v>
      </c>
    </row>
    <row r="4727" spans="1:6" x14ac:dyDescent="0.2">
      <c r="A4727">
        <v>847</v>
      </c>
      <c r="B4727" s="3" t="s">
        <v>200</v>
      </c>
      <c r="C4727" s="3" t="s">
        <v>199</v>
      </c>
      <c r="D4727" s="3">
        <v>4</v>
      </c>
      <c r="E4727" s="3">
        <v>0.66373400000000005</v>
      </c>
      <c r="F4727">
        <f t="shared" si="75"/>
        <v>2.6549360000000002</v>
      </c>
    </row>
    <row r="4728" spans="1:6" x14ac:dyDescent="0.2">
      <c r="A4728">
        <v>847</v>
      </c>
      <c r="B4728" s="3" t="s">
        <v>201</v>
      </c>
      <c r="C4728" s="3" t="s">
        <v>76</v>
      </c>
      <c r="D4728" s="3">
        <v>16</v>
      </c>
      <c r="E4728" s="3">
        <v>0.22645100000000001</v>
      </c>
      <c r="F4728">
        <f t="shared" si="75"/>
        <v>3.6232160000000002</v>
      </c>
    </row>
    <row r="4729" spans="1:6" x14ac:dyDescent="0.2">
      <c r="A4729">
        <v>847</v>
      </c>
      <c r="B4729" s="3" t="s">
        <v>202</v>
      </c>
      <c r="C4729" s="3" t="s">
        <v>203</v>
      </c>
      <c r="D4729" s="3">
        <v>8</v>
      </c>
      <c r="E4729" s="3">
        <v>12.45</v>
      </c>
      <c r="F4729">
        <f t="shared" si="75"/>
        <v>99.6</v>
      </c>
    </row>
    <row r="4730" spans="1:6" x14ac:dyDescent="0.2">
      <c r="A4730">
        <v>847</v>
      </c>
      <c r="B4730" s="3" t="s">
        <v>204</v>
      </c>
      <c r="C4730" s="3" t="s">
        <v>205</v>
      </c>
      <c r="D4730" s="3">
        <v>2</v>
      </c>
      <c r="E4730" s="3">
        <v>103.7222</v>
      </c>
      <c r="F4730">
        <f t="shared" si="75"/>
        <v>207.4444</v>
      </c>
    </row>
    <row r="4731" spans="1:6" x14ac:dyDescent="0.2">
      <c r="A4731">
        <v>847</v>
      </c>
      <c r="B4731" s="3" t="s">
        <v>116</v>
      </c>
      <c r="C4731" s="3" t="s">
        <v>117</v>
      </c>
      <c r="D4731" s="3">
        <v>8</v>
      </c>
      <c r="E4731" s="3">
        <v>0.25729999999999997</v>
      </c>
      <c r="F4731">
        <f t="shared" si="75"/>
        <v>2.0583999999999998</v>
      </c>
    </row>
    <row r="4732" spans="1:6" x14ac:dyDescent="0.2">
      <c r="A4732">
        <v>847</v>
      </c>
      <c r="B4732" s="3" t="s">
        <v>78</v>
      </c>
      <c r="C4732" s="3" t="s">
        <v>76</v>
      </c>
      <c r="D4732" s="3">
        <v>8</v>
      </c>
      <c r="E4732" s="3">
        <v>0.71839500000000001</v>
      </c>
      <c r="F4732">
        <f t="shared" si="75"/>
        <v>5.74716</v>
      </c>
    </row>
    <row r="4733" spans="1:6" x14ac:dyDescent="0.2">
      <c r="A4733">
        <v>847</v>
      </c>
      <c r="B4733" s="3" t="s">
        <v>207</v>
      </c>
      <c r="C4733" s="3" t="s">
        <v>208</v>
      </c>
      <c r="D4733" s="3">
        <v>2</v>
      </c>
      <c r="E4733" s="3">
        <v>4.6314000000000002</v>
      </c>
      <c r="F4733">
        <f t="shared" si="75"/>
        <v>9.2628000000000004</v>
      </c>
    </row>
    <row r="4734" spans="1:6" x14ac:dyDescent="0.2">
      <c r="A4734">
        <v>847</v>
      </c>
      <c r="B4734" s="3" t="s">
        <v>209</v>
      </c>
      <c r="C4734" s="3" t="s">
        <v>210</v>
      </c>
      <c r="D4734" s="3">
        <v>2</v>
      </c>
      <c r="E4734" s="3">
        <v>39.550759999999997</v>
      </c>
      <c r="F4734">
        <f t="shared" si="75"/>
        <v>79.101519999999994</v>
      </c>
    </row>
    <row r="4735" spans="1:6" x14ac:dyDescent="0.2">
      <c r="A4735">
        <v>847</v>
      </c>
      <c r="B4735" s="3" t="s">
        <v>211</v>
      </c>
      <c r="C4735" s="3" t="s">
        <v>203</v>
      </c>
      <c r="D4735" s="3">
        <v>4</v>
      </c>
      <c r="E4735" s="3">
        <v>25.754899999999999</v>
      </c>
      <c r="F4735">
        <f t="shared" si="75"/>
        <v>103.0196</v>
      </c>
    </row>
    <row r="4736" spans="1:6" x14ac:dyDescent="0.2">
      <c r="A4736">
        <v>847</v>
      </c>
      <c r="B4736" s="3" t="s">
        <v>212</v>
      </c>
      <c r="C4736" s="3" t="s">
        <v>213</v>
      </c>
      <c r="D4736" s="3">
        <v>2</v>
      </c>
      <c r="E4736" s="3">
        <v>272.92059999999998</v>
      </c>
      <c r="F4736">
        <f t="shared" si="75"/>
        <v>545.84119999999996</v>
      </c>
    </row>
    <row r="4737" spans="1:6" x14ac:dyDescent="0.2">
      <c r="A4737">
        <v>847</v>
      </c>
      <c r="B4737" s="3" t="s">
        <v>149</v>
      </c>
      <c r="C4737" s="3" t="s">
        <v>150</v>
      </c>
      <c r="D4737" s="3">
        <v>1</v>
      </c>
      <c r="E4737" s="3">
        <v>0.70550000000000002</v>
      </c>
      <c r="F4737">
        <f t="shared" si="75"/>
        <v>0.70550000000000002</v>
      </c>
    </row>
    <row r="4738" spans="1:6" x14ac:dyDescent="0.2">
      <c r="A4738">
        <v>847</v>
      </c>
      <c r="B4738" s="3" t="s">
        <v>151</v>
      </c>
      <c r="C4738" s="3" t="s">
        <v>152</v>
      </c>
      <c r="D4738" s="3">
        <v>1</v>
      </c>
      <c r="E4738" s="3">
        <v>5.6191000000000004</v>
      </c>
      <c r="F4738">
        <f t="shared" si="75"/>
        <v>5.6191000000000004</v>
      </c>
    </row>
    <row r="4739" spans="1:6" x14ac:dyDescent="0.2">
      <c r="A4739">
        <v>847</v>
      </c>
      <c r="B4739" s="3" t="s">
        <v>153</v>
      </c>
      <c r="C4739" s="3" t="s">
        <v>119</v>
      </c>
      <c r="D4739" s="3">
        <v>5</v>
      </c>
      <c r="E4739" s="3">
        <v>1.116636</v>
      </c>
      <c r="F4739">
        <f t="shared" si="75"/>
        <v>5.5831799999999996</v>
      </c>
    </row>
    <row r="4740" spans="1:6" x14ac:dyDescent="0.2">
      <c r="A4740">
        <v>847</v>
      </c>
      <c r="B4740" s="3" t="s">
        <v>154</v>
      </c>
      <c r="C4740" s="3" t="s">
        <v>117</v>
      </c>
      <c r="D4740" s="3">
        <v>5</v>
      </c>
      <c r="E4740" s="3">
        <v>4.3658000000000001</v>
      </c>
      <c r="F4740">
        <f t="shared" si="75"/>
        <v>21.829000000000001</v>
      </c>
    </row>
    <row r="4741" spans="1:6" x14ac:dyDescent="0.2">
      <c r="A4741">
        <v>847</v>
      </c>
      <c r="B4741" s="3" t="s">
        <v>155</v>
      </c>
      <c r="C4741" s="3" t="s">
        <v>156</v>
      </c>
      <c r="D4741" s="3">
        <v>1</v>
      </c>
      <c r="E4741" s="3">
        <v>28.552</v>
      </c>
      <c r="F4741">
        <f t="shared" si="75"/>
        <v>28.552</v>
      </c>
    </row>
    <row r="4742" spans="1:6" x14ac:dyDescent="0.2">
      <c r="A4742">
        <v>847</v>
      </c>
      <c r="B4742" s="3" t="s">
        <v>157</v>
      </c>
      <c r="C4742" s="3" t="s">
        <v>158</v>
      </c>
      <c r="D4742" s="3">
        <v>1</v>
      </c>
      <c r="E4742" s="3">
        <v>29.456700000000001</v>
      </c>
      <c r="F4742">
        <f t="shared" si="75"/>
        <v>29.456700000000001</v>
      </c>
    </row>
    <row r="4743" spans="1:6" x14ac:dyDescent="0.2">
      <c r="A4743">
        <v>847</v>
      </c>
      <c r="B4743" s="3" t="s">
        <v>159</v>
      </c>
      <c r="C4743" s="3" t="s">
        <v>117</v>
      </c>
      <c r="D4743" s="3">
        <v>4</v>
      </c>
      <c r="E4743" s="3">
        <v>11.976900000000001</v>
      </c>
      <c r="F4743">
        <f t="shared" si="75"/>
        <v>47.907600000000002</v>
      </c>
    </row>
    <row r="4744" spans="1:6" x14ac:dyDescent="0.2">
      <c r="A4744">
        <v>847</v>
      </c>
      <c r="B4744" s="3" t="s">
        <v>116</v>
      </c>
      <c r="C4744" s="3" t="s">
        <v>117</v>
      </c>
      <c r="D4744" s="3">
        <v>3</v>
      </c>
      <c r="E4744" s="3">
        <v>0.25729999999999997</v>
      </c>
      <c r="F4744">
        <f t="shared" si="75"/>
        <v>0.77189999999999992</v>
      </c>
    </row>
    <row r="4745" spans="1:6" x14ac:dyDescent="0.2">
      <c r="A4745">
        <v>847</v>
      </c>
      <c r="B4745" s="3" t="s">
        <v>160</v>
      </c>
      <c r="C4745" s="3" t="s">
        <v>161</v>
      </c>
      <c r="D4745" s="3">
        <v>1</v>
      </c>
      <c r="E4745" s="3">
        <v>15.9194</v>
      </c>
      <c r="F4745">
        <f t="shared" si="75"/>
        <v>15.9194</v>
      </c>
    </row>
    <row r="4746" spans="1:6" x14ac:dyDescent="0.2">
      <c r="A4746">
        <v>847</v>
      </c>
      <c r="B4746" s="3" t="s">
        <v>162</v>
      </c>
      <c r="C4746" s="3" t="s">
        <v>163</v>
      </c>
      <c r="D4746" s="3">
        <v>3</v>
      </c>
      <c r="E4746" s="3">
        <v>62.822699999999998</v>
      </c>
      <c r="F4746">
        <f t="shared" si="75"/>
        <v>188.46809999999999</v>
      </c>
    </row>
    <row r="4747" spans="1:6" x14ac:dyDescent="0.2">
      <c r="A4747">
        <v>847</v>
      </c>
      <c r="B4747" s="3" t="s">
        <v>164</v>
      </c>
      <c r="C4747" s="3" t="s">
        <v>165</v>
      </c>
      <c r="D4747" s="3">
        <v>2</v>
      </c>
      <c r="E4747" s="3">
        <v>29.382000000000001</v>
      </c>
      <c r="F4747">
        <f t="shared" ref="F4747:F4810" si="76">D4747*E4747</f>
        <v>58.764000000000003</v>
      </c>
    </row>
    <row r="4748" spans="1:6" x14ac:dyDescent="0.2">
      <c r="A4748">
        <v>847</v>
      </c>
      <c r="B4748" s="3" t="s">
        <v>166</v>
      </c>
      <c r="C4748" s="3" t="s">
        <v>76</v>
      </c>
      <c r="D4748" s="3">
        <v>4</v>
      </c>
      <c r="E4748" s="3">
        <v>0.97109999999999996</v>
      </c>
      <c r="F4748">
        <f t="shared" si="76"/>
        <v>3.8843999999999999</v>
      </c>
    </row>
    <row r="4749" spans="1:6" x14ac:dyDescent="0.2">
      <c r="A4749">
        <v>847</v>
      </c>
      <c r="B4749" s="3" t="s">
        <v>167</v>
      </c>
      <c r="C4749" s="3" t="s">
        <v>168</v>
      </c>
      <c r="D4749" s="3">
        <v>1</v>
      </c>
      <c r="E4749" s="3">
        <v>68.201099999999997</v>
      </c>
      <c r="F4749">
        <f t="shared" si="76"/>
        <v>68.201099999999997</v>
      </c>
    </row>
    <row r="4750" spans="1:6" x14ac:dyDescent="0.2">
      <c r="A4750">
        <v>847</v>
      </c>
      <c r="B4750" s="3" t="s">
        <v>169</v>
      </c>
      <c r="C4750" s="3" t="s">
        <v>119</v>
      </c>
      <c r="D4750" s="3">
        <v>118</v>
      </c>
      <c r="E4750" s="3">
        <v>26.078600000000002</v>
      </c>
      <c r="F4750">
        <f t="shared" si="76"/>
        <v>3077.2748000000001</v>
      </c>
    </row>
    <row r="4751" spans="1:6" x14ac:dyDescent="0.2">
      <c r="A4751">
        <v>847</v>
      </c>
      <c r="B4751" s="3" t="s">
        <v>170</v>
      </c>
      <c r="C4751" s="3" t="s">
        <v>171</v>
      </c>
      <c r="D4751" s="3">
        <v>1</v>
      </c>
      <c r="E4751" s="3">
        <v>15.438000000000001</v>
      </c>
      <c r="F4751">
        <f t="shared" si="76"/>
        <v>15.438000000000001</v>
      </c>
    </row>
    <row r="4752" spans="1:6" x14ac:dyDescent="0.2">
      <c r="A4752">
        <v>847</v>
      </c>
      <c r="B4752" s="3" t="s">
        <v>172</v>
      </c>
      <c r="C4752" s="3" t="s">
        <v>173</v>
      </c>
      <c r="D4752" s="3">
        <v>1</v>
      </c>
      <c r="E4752" s="3">
        <v>158.41380000000001</v>
      </c>
      <c r="F4752">
        <f t="shared" si="76"/>
        <v>158.41380000000001</v>
      </c>
    </row>
    <row r="4753" spans="1:6" x14ac:dyDescent="0.2">
      <c r="A4753">
        <v>847</v>
      </c>
      <c r="B4753" s="3" t="s">
        <v>174</v>
      </c>
      <c r="C4753" s="3" t="s">
        <v>119</v>
      </c>
      <c r="D4753" s="3">
        <v>3</v>
      </c>
      <c r="E4753" s="3">
        <v>1.2616000000000001</v>
      </c>
      <c r="F4753">
        <f t="shared" si="76"/>
        <v>3.7848000000000002</v>
      </c>
    </row>
    <row r="4754" spans="1:6" x14ac:dyDescent="0.2">
      <c r="A4754">
        <v>847</v>
      </c>
      <c r="B4754" s="3" t="s">
        <v>175</v>
      </c>
      <c r="C4754" s="3" t="s">
        <v>176</v>
      </c>
      <c r="D4754" s="3">
        <v>1</v>
      </c>
      <c r="E4754" s="3">
        <v>194.7595</v>
      </c>
      <c r="F4754">
        <f t="shared" si="76"/>
        <v>194.7595</v>
      </c>
    </row>
    <row r="4755" spans="1:6" x14ac:dyDescent="0.2">
      <c r="A4755">
        <v>847</v>
      </c>
      <c r="B4755" s="3" t="s">
        <v>177</v>
      </c>
      <c r="C4755" s="3" t="s">
        <v>178</v>
      </c>
      <c r="D4755" s="3">
        <v>2</v>
      </c>
      <c r="E4755" s="3">
        <v>1660.624</v>
      </c>
      <c r="F4755">
        <f t="shared" si="76"/>
        <v>3321.248</v>
      </c>
    </row>
    <row r="4756" spans="1:6" x14ac:dyDescent="0.2">
      <c r="A4756">
        <v>847</v>
      </c>
      <c r="B4756" s="3" t="s">
        <v>179</v>
      </c>
      <c r="C4756" s="3" t="s">
        <v>119</v>
      </c>
      <c r="D4756" s="3">
        <v>3</v>
      </c>
      <c r="E4756" s="3">
        <v>32.444699999999997</v>
      </c>
      <c r="F4756">
        <f t="shared" si="76"/>
        <v>97.334099999999992</v>
      </c>
    </row>
    <row r="4757" spans="1:6" x14ac:dyDescent="0.2">
      <c r="A4757">
        <v>847</v>
      </c>
      <c r="B4757" s="3" t="s">
        <v>180</v>
      </c>
      <c r="C4757" s="3" t="s">
        <v>181</v>
      </c>
      <c r="D4757" s="3">
        <v>6</v>
      </c>
      <c r="E4757" s="3">
        <v>64.117500000000007</v>
      </c>
      <c r="F4757">
        <f t="shared" si="76"/>
        <v>384.70500000000004</v>
      </c>
    </row>
    <row r="4758" spans="1:6" x14ac:dyDescent="0.2">
      <c r="A4758">
        <v>847</v>
      </c>
      <c r="B4758" s="3" t="s">
        <v>182</v>
      </c>
      <c r="C4758" s="3" t="s">
        <v>158</v>
      </c>
      <c r="D4758" s="3">
        <v>6</v>
      </c>
      <c r="E4758" s="3">
        <v>80.78819</v>
      </c>
      <c r="F4758">
        <f t="shared" si="76"/>
        <v>484.72914000000003</v>
      </c>
    </row>
    <row r="4759" spans="1:6" x14ac:dyDescent="0.2">
      <c r="A4759">
        <v>847</v>
      </c>
      <c r="B4759" s="3" t="s">
        <v>183</v>
      </c>
      <c r="C4759" s="3" t="s">
        <v>184</v>
      </c>
      <c r="D4759" s="3">
        <v>1</v>
      </c>
      <c r="E4759" s="3">
        <v>548.61540000000002</v>
      </c>
      <c r="F4759">
        <f t="shared" si="76"/>
        <v>548.61540000000002</v>
      </c>
    </row>
    <row r="4760" spans="1:6" x14ac:dyDescent="0.2">
      <c r="A4760">
        <v>847</v>
      </c>
      <c r="B4760" s="3" t="s">
        <v>185</v>
      </c>
      <c r="C4760" s="3" t="s">
        <v>186</v>
      </c>
      <c r="D4760" s="3">
        <v>3</v>
      </c>
      <c r="E4760" s="3">
        <v>278.05</v>
      </c>
      <c r="F4760">
        <f t="shared" si="76"/>
        <v>834.15000000000009</v>
      </c>
    </row>
    <row r="4761" spans="1:6" x14ac:dyDescent="0.2">
      <c r="A4761">
        <v>847</v>
      </c>
      <c r="B4761" s="3" t="s">
        <v>187</v>
      </c>
      <c r="C4761" s="3" t="s">
        <v>188</v>
      </c>
      <c r="D4761" s="3">
        <v>1</v>
      </c>
      <c r="E4761" s="3">
        <v>105.0365</v>
      </c>
      <c r="F4761">
        <f t="shared" si="76"/>
        <v>105.0365</v>
      </c>
    </row>
    <row r="4762" spans="1:6" x14ac:dyDescent="0.2">
      <c r="A4762">
        <v>847</v>
      </c>
      <c r="B4762" s="3" t="s">
        <v>189</v>
      </c>
      <c r="C4762" s="3" t="s">
        <v>163</v>
      </c>
      <c r="D4762" s="3">
        <v>1</v>
      </c>
      <c r="E4762" s="3">
        <v>154.25970000000001</v>
      </c>
      <c r="F4762">
        <f t="shared" si="76"/>
        <v>154.25970000000001</v>
      </c>
    </row>
    <row r="4763" spans="1:6" x14ac:dyDescent="0.2">
      <c r="A4763">
        <v>847</v>
      </c>
      <c r="B4763" s="3" t="s">
        <v>190</v>
      </c>
      <c r="C4763" s="3" t="s">
        <v>191</v>
      </c>
      <c r="D4763" s="3">
        <v>3</v>
      </c>
      <c r="E4763" s="3">
        <v>1397.886</v>
      </c>
      <c r="F4763">
        <f t="shared" si="76"/>
        <v>4193.6579999999994</v>
      </c>
    </row>
    <row r="4764" spans="1:6" x14ac:dyDescent="0.2">
      <c r="A4764">
        <v>847</v>
      </c>
      <c r="B4764" s="3" t="s">
        <v>192</v>
      </c>
      <c r="C4764" s="3" t="s">
        <v>193</v>
      </c>
      <c r="D4764" s="3">
        <v>2</v>
      </c>
      <c r="E4764" s="3">
        <v>843.03639999999996</v>
      </c>
      <c r="F4764">
        <f t="shared" si="76"/>
        <v>1686.0727999999999</v>
      </c>
    </row>
    <row r="4765" spans="1:6" x14ac:dyDescent="0.2">
      <c r="A4765">
        <v>847</v>
      </c>
      <c r="B4765" s="3" t="s">
        <v>194</v>
      </c>
      <c r="C4765" s="3" t="s">
        <v>193</v>
      </c>
      <c r="D4765" s="3">
        <v>1</v>
      </c>
      <c r="E4765" s="3">
        <v>868.20489999999995</v>
      </c>
      <c r="F4765">
        <f t="shared" si="76"/>
        <v>868.20489999999995</v>
      </c>
    </row>
    <row r="4766" spans="1:6" x14ac:dyDescent="0.2">
      <c r="A4766">
        <v>847</v>
      </c>
      <c r="B4766" s="3" t="s">
        <v>195</v>
      </c>
      <c r="C4766" s="3" t="s">
        <v>117</v>
      </c>
      <c r="D4766" s="3">
        <v>5</v>
      </c>
      <c r="E4766" s="3">
        <v>1.0375000000000001</v>
      </c>
      <c r="F4766">
        <f t="shared" si="76"/>
        <v>5.1875</v>
      </c>
    </row>
    <row r="4767" spans="1:6" x14ac:dyDescent="0.2">
      <c r="A4767">
        <v>847</v>
      </c>
      <c r="B4767" s="3" t="s">
        <v>135</v>
      </c>
      <c r="C4767" s="3" t="s">
        <v>136</v>
      </c>
      <c r="D4767" s="3">
        <v>1</v>
      </c>
      <c r="E4767" s="3">
        <v>395.04689999999999</v>
      </c>
      <c r="F4767">
        <f t="shared" si="76"/>
        <v>395.04689999999999</v>
      </c>
    </row>
    <row r="4768" spans="1:6" x14ac:dyDescent="0.2">
      <c r="A4768">
        <v>847</v>
      </c>
      <c r="B4768" s="3" t="s">
        <v>137</v>
      </c>
      <c r="C4768" s="3" t="s">
        <v>138</v>
      </c>
      <c r="D4768" s="3">
        <v>1</v>
      </c>
      <c r="E4768" s="3">
        <v>252.98429999999999</v>
      </c>
      <c r="F4768">
        <f t="shared" si="76"/>
        <v>252.98429999999999</v>
      </c>
    </row>
    <row r="4769" spans="1:6" x14ac:dyDescent="0.2">
      <c r="A4769">
        <v>847</v>
      </c>
      <c r="B4769" s="3" t="s">
        <v>139</v>
      </c>
      <c r="C4769" s="3" t="s">
        <v>140</v>
      </c>
      <c r="D4769" s="3">
        <v>1</v>
      </c>
      <c r="E4769" s="3">
        <v>2054.4580000000001</v>
      </c>
      <c r="F4769">
        <f t="shared" si="76"/>
        <v>2054.4580000000001</v>
      </c>
    </row>
    <row r="4770" spans="1:6" x14ac:dyDescent="0.2">
      <c r="A4770">
        <v>847</v>
      </c>
      <c r="B4770" s="3" t="s">
        <v>116</v>
      </c>
      <c r="C4770" s="3" t="s">
        <v>117</v>
      </c>
      <c r="D4770" s="3">
        <v>5</v>
      </c>
      <c r="E4770" s="3">
        <v>0.25729999999999997</v>
      </c>
      <c r="F4770">
        <f t="shared" si="76"/>
        <v>1.2864999999999998</v>
      </c>
    </row>
    <row r="4771" spans="1:6" x14ac:dyDescent="0.2">
      <c r="A4771">
        <v>847</v>
      </c>
      <c r="B4771" s="3" t="s">
        <v>118</v>
      </c>
      <c r="C4771" s="3" t="s">
        <v>119</v>
      </c>
      <c r="D4771" s="3">
        <v>5</v>
      </c>
      <c r="E4771" s="3">
        <v>0.83</v>
      </c>
      <c r="F4771">
        <f t="shared" si="76"/>
        <v>4.1499999999999995</v>
      </c>
    </row>
    <row r="4772" spans="1:6" x14ac:dyDescent="0.2">
      <c r="A4772">
        <v>847</v>
      </c>
      <c r="B4772" s="3" t="s">
        <v>120</v>
      </c>
      <c r="C4772" s="3" t="s">
        <v>117</v>
      </c>
      <c r="D4772" s="3">
        <v>1</v>
      </c>
      <c r="E4772" s="3">
        <v>1.5604</v>
      </c>
      <c r="F4772">
        <f t="shared" si="76"/>
        <v>1.5604</v>
      </c>
    </row>
    <row r="4773" spans="1:6" x14ac:dyDescent="0.2">
      <c r="A4773">
        <v>847</v>
      </c>
      <c r="B4773" s="3" t="s">
        <v>121</v>
      </c>
      <c r="C4773" s="3" t="s">
        <v>117</v>
      </c>
      <c r="D4773" s="3">
        <v>1</v>
      </c>
      <c r="E4773" s="3">
        <v>270.83730000000003</v>
      </c>
      <c r="F4773">
        <f t="shared" si="76"/>
        <v>270.83730000000003</v>
      </c>
    </row>
    <row r="4774" spans="1:6" x14ac:dyDescent="0.2">
      <c r="A4774">
        <v>847</v>
      </c>
      <c r="B4774" s="3" t="s">
        <v>122</v>
      </c>
      <c r="C4774" s="3" t="s">
        <v>76</v>
      </c>
      <c r="D4774" s="3">
        <v>4</v>
      </c>
      <c r="E4774" s="3">
        <v>14.915100000000001</v>
      </c>
      <c r="F4774">
        <f t="shared" si="76"/>
        <v>59.660400000000003</v>
      </c>
    </row>
    <row r="4775" spans="1:6" x14ac:dyDescent="0.2">
      <c r="A4775">
        <v>847</v>
      </c>
      <c r="B4775" s="3" t="s">
        <v>123</v>
      </c>
      <c r="C4775" s="3" t="s">
        <v>119</v>
      </c>
      <c r="D4775" s="3">
        <v>3</v>
      </c>
      <c r="E4775" s="3">
        <v>122.52460000000001</v>
      </c>
      <c r="F4775">
        <f t="shared" si="76"/>
        <v>367.57380000000001</v>
      </c>
    </row>
    <row r="4776" spans="1:6" x14ac:dyDescent="0.2">
      <c r="A4776">
        <v>847</v>
      </c>
      <c r="B4776" s="3" t="s">
        <v>124</v>
      </c>
      <c r="C4776" s="3" t="s">
        <v>119</v>
      </c>
      <c r="D4776" s="3">
        <v>1</v>
      </c>
      <c r="E4776" s="3">
        <v>65.877099999999999</v>
      </c>
      <c r="F4776">
        <f t="shared" si="76"/>
        <v>65.877099999999999</v>
      </c>
    </row>
    <row r="4777" spans="1:6" x14ac:dyDescent="0.2">
      <c r="A4777">
        <v>847</v>
      </c>
      <c r="B4777" s="3" t="s">
        <v>125</v>
      </c>
      <c r="C4777" s="3" t="s">
        <v>117</v>
      </c>
      <c r="D4777" s="3">
        <v>3</v>
      </c>
      <c r="E4777" s="3">
        <v>45.957099999999997</v>
      </c>
      <c r="F4777">
        <f t="shared" si="76"/>
        <v>137.87129999999999</v>
      </c>
    </row>
    <row r="4778" spans="1:6" x14ac:dyDescent="0.2">
      <c r="A4778">
        <v>847</v>
      </c>
      <c r="B4778" s="3" t="s">
        <v>126</v>
      </c>
      <c r="C4778" s="3" t="s">
        <v>127</v>
      </c>
      <c r="D4778" s="3">
        <v>2</v>
      </c>
      <c r="E4778" s="3">
        <v>411.49740000000003</v>
      </c>
      <c r="F4778">
        <f t="shared" si="76"/>
        <v>822.99480000000005</v>
      </c>
    </row>
    <row r="4779" spans="1:6" x14ac:dyDescent="0.2">
      <c r="A4779">
        <v>847</v>
      </c>
      <c r="B4779" s="3" t="s">
        <v>129</v>
      </c>
      <c r="C4779" s="3" t="s">
        <v>130</v>
      </c>
      <c r="D4779" s="3">
        <v>4</v>
      </c>
      <c r="E4779" s="3">
        <v>6724.2780000000002</v>
      </c>
      <c r="F4779">
        <f t="shared" si="76"/>
        <v>26897.112000000001</v>
      </c>
    </row>
    <row r="4780" spans="1:6" x14ac:dyDescent="0.2">
      <c r="A4780">
        <v>847</v>
      </c>
      <c r="B4780" s="3">
        <v>4656354</v>
      </c>
      <c r="C4780" s="3" t="s">
        <v>133</v>
      </c>
      <c r="D4780" s="3">
        <v>1</v>
      </c>
      <c r="E4780" s="3">
        <v>1168.0260000000001</v>
      </c>
      <c r="F4780">
        <f t="shared" si="76"/>
        <v>1168.0260000000001</v>
      </c>
    </row>
    <row r="4781" spans="1:6" x14ac:dyDescent="0.2">
      <c r="A4781">
        <v>847</v>
      </c>
      <c r="B4781" s="3" t="s">
        <v>110</v>
      </c>
      <c r="C4781" s="3" t="s">
        <v>111</v>
      </c>
      <c r="D4781" s="3">
        <v>118</v>
      </c>
      <c r="E4781" s="3">
        <v>119.83540000000001</v>
      </c>
      <c r="F4781">
        <f t="shared" si="76"/>
        <v>14140.577200000002</v>
      </c>
    </row>
    <row r="4782" spans="1:6" x14ac:dyDescent="0.2">
      <c r="A4782">
        <v>847</v>
      </c>
      <c r="B4782" s="3" t="s">
        <v>112</v>
      </c>
      <c r="C4782" s="3" t="s">
        <v>113</v>
      </c>
      <c r="D4782" s="3">
        <v>1</v>
      </c>
      <c r="E4782" s="3">
        <v>97.646150000000006</v>
      </c>
      <c r="F4782">
        <f t="shared" si="76"/>
        <v>97.646150000000006</v>
      </c>
    </row>
    <row r="4783" spans="1:6" x14ac:dyDescent="0.2">
      <c r="A4783">
        <v>847</v>
      </c>
      <c r="B4783" s="3" t="s">
        <v>110</v>
      </c>
      <c r="C4783" s="3" t="s">
        <v>111</v>
      </c>
      <c r="D4783" s="3">
        <v>1</v>
      </c>
      <c r="E4783" s="3">
        <v>119.83540000000001</v>
      </c>
      <c r="F4783">
        <f t="shared" si="76"/>
        <v>119.83540000000001</v>
      </c>
    </row>
    <row r="4784" spans="1:6" x14ac:dyDescent="0.2">
      <c r="A4784">
        <v>847</v>
      </c>
      <c r="B4784" s="3" t="s">
        <v>112</v>
      </c>
      <c r="C4784" s="3" t="s">
        <v>113</v>
      </c>
      <c r="D4784" s="3">
        <v>3</v>
      </c>
      <c r="E4784" s="3">
        <v>97.646150000000006</v>
      </c>
      <c r="F4784">
        <f t="shared" si="76"/>
        <v>292.93844999999999</v>
      </c>
    </row>
    <row r="4785" spans="1:6" x14ac:dyDescent="0.2">
      <c r="A4785">
        <v>847</v>
      </c>
      <c r="B4785" s="3" t="s">
        <v>97</v>
      </c>
      <c r="C4785" s="3" t="s">
        <v>98</v>
      </c>
      <c r="D4785" s="3">
        <v>1</v>
      </c>
      <c r="E4785" s="3">
        <v>189.87909999999999</v>
      </c>
      <c r="F4785">
        <f t="shared" si="76"/>
        <v>189.87909999999999</v>
      </c>
    </row>
    <row r="4786" spans="1:6" x14ac:dyDescent="0.2">
      <c r="A4786">
        <v>847</v>
      </c>
      <c r="B4786" s="3" t="s">
        <v>99</v>
      </c>
      <c r="C4786" s="3" t="s">
        <v>100</v>
      </c>
      <c r="D4786" s="3">
        <v>2</v>
      </c>
      <c r="E4786" s="3">
        <v>1287.1379999999999</v>
      </c>
      <c r="F4786">
        <f t="shared" si="76"/>
        <v>2574.2759999999998</v>
      </c>
    </row>
    <row r="4787" spans="1:6" x14ac:dyDescent="0.2">
      <c r="A4787">
        <v>847</v>
      </c>
      <c r="B4787" s="3" t="s">
        <v>101</v>
      </c>
      <c r="C4787" s="3" t="s">
        <v>102</v>
      </c>
      <c r="D4787" s="3">
        <v>3</v>
      </c>
      <c r="E4787" s="3">
        <v>1363.037</v>
      </c>
      <c r="F4787">
        <f t="shared" si="76"/>
        <v>4089.1109999999999</v>
      </c>
    </row>
    <row r="4788" spans="1:6" x14ac:dyDescent="0.2">
      <c r="A4788">
        <v>847</v>
      </c>
      <c r="B4788" s="3" t="s">
        <v>103</v>
      </c>
      <c r="C4788" s="3" t="s">
        <v>104</v>
      </c>
      <c r="D4788" s="3">
        <v>6</v>
      </c>
      <c r="E4788" s="3">
        <v>423.5822</v>
      </c>
      <c r="F4788">
        <f t="shared" si="76"/>
        <v>2541.4931999999999</v>
      </c>
    </row>
    <row r="4789" spans="1:6" x14ac:dyDescent="0.2">
      <c r="A4789">
        <v>847</v>
      </c>
      <c r="B4789" s="3" t="s">
        <v>105</v>
      </c>
      <c r="C4789" s="3" t="s">
        <v>106</v>
      </c>
      <c r="D4789" s="3">
        <v>6</v>
      </c>
      <c r="E4789" s="3">
        <v>36.470199999999998</v>
      </c>
      <c r="F4789">
        <f t="shared" si="76"/>
        <v>218.82119999999998</v>
      </c>
    </row>
    <row r="4790" spans="1:6" x14ac:dyDescent="0.2">
      <c r="A4790">
        <v>847</v>
      </c>
      <c r="B4790" s="3" t="s">
        <v>107</v>
      </c>
      <c r="C4790" s="3" t="s">
        <v>108</v>
      </c>
      <c r="D4790" s="3">
        <v>1</v>
      </c>
      <c r="E4790" s="3">
        <v>61.492310000000003</v>
      </c>
      <c r="F4790">
        <f t="shared" si="76"/>
        <v>61.492310000000003</v>
      </c>
    </row>
    <row r="4791" spans="1:6" x14ac:dyDescent="0.2">
      <c r="A4791">
        <v>847</v>
      </c>
      <c r="B4791" s="3" t="s">
        <v>62</v>
      </c>
      <c r="C4791" s="3" t="s">
        <v>323</v>
      </c>
      <c r="D4791" s="3">
        <v>3</v>
      </c>
      <c r="E4791" s="3">
        <v>0.34860000000000002</v>
      </c>
      <c r="F4791">
        <f t="shared" si="76"/>
        <v>1.0458000000000001</v>
      </c>
    </row>
    <row r="4792" spans="1:6" x14ac:dyDescent="0.2">
      <c r="A4792">
        <v>847</v>
      </c>
      <c r="B4792" s="3" t="s">
        <v>324</v>
      </c>
      <c r="C4792" s="3" t="s">
        <v>273</v>
      </c>
      <c r="D4792" s="3">
        <v>1</v>
      </c>
      <c r="E4792" s="3">
        <v>0.95450000000000002</v>
      </c>
      <c r="F4792">
        <f t="shared" si="76"/>
        <v>0.95450000000000002</v>
      </c>
    </row>
    <row r="4793" spans="1:6" x14ac:dyDescent="0.2">
      <c r="A4793">
        <v>847</v>
      </c>
      <c r="B4793" s="3" t="s">
        <v>325</v>
      </c>
      <c r="C4793" s="3" t="s">
        <v>273</v>
      </c>
      <c r="D4793" s="3">
        <v>1</v>
      </c>
      <c r="E4793" s="3">
        <v>3.3692310000000001</v>
      </c>
      <c r="F4793">
        <f t="shared" si="76"/>
        <v>3.3692310000000001</v>
      </c>
    </row>
    <row r="4794" spans="1:6" x14ac:dyDescent="0.2">
      <c r="A4794">
        <v>847</v>
      </c>
      <c r="B4794" s="3" t="s">
        <v>154</v>
      </c>
      <c r="C4794" s="3" t="s">
        <v>278</v>
      </c>
      <c r="D4794" s="3">
        <v>3</v>
      </c>
      <c r="E4794" s="3">
        <v>4.3658000000000001</v>
      </c>
      <c r="F4794">
        <f t="shared" si="76"/>
        <v>13.0974</v>
      </c>
    </row>
    <row r="4795" spans="1:6" x14ac:dyDescent="0.2">
      <c r="A4795">
        <v>847</v>
      </c>
      <c r="B4795" s="3" t="s">
        <v>290</v>
      </c>
      <c r="C4795" s="3" t="s">
        <v>278</v>
      </c>
      <c r="D4795" s="3">
        <v>2</v>
      </c>
      <c r="E4795" s="3">
        <v>43.751809999999999</v>
      </c>
      <c r="F4795">
        <f t="shared" si="76"/>
        <v>87.503619999999998</v>
      </c>
    </row>
    <row r="4796" spans="1:6" x14ac:dyDescent="0.2">
      <c r="A4796">
        <v>847</v>
      </c>
      <c r="B4796" s="3" t="s">
        <v>288</v>
      </c>
      <c r="C4796" s="3" t="s">
        <v>289</v>
      </c>
      <c r="D4796" s="3">
        <v>1</v>
      </c>
      <c r="E4796" s="3">
        <v>7.340122</v>
      </c>
      <c r="F4796">
        <f t="shared" si="76"/>
        <v>7.340122</v>
      </c>
    </row>
    <row r="4797" spans="1:6" x14ac:dyDescent="0.2">
      <c r="A4797">
        <v>847</v>
      </c>
      <c r="B4797" s="3" t="s">
        <v>287</v>
      </c>
      <c r="C4797" s="3" t="s">
        <v>273</v>
      </c>
      <c r="D4797" s="3">
        <v>5</v>
      </c>
      <c r="E4797" s="3">
        <v>100.669</v>
      </c>
      <c r="F4797">
        <f t="shared" si="76"/>
        <v>503.34499999999997</v>
      </c>
    </row>
    <row r="4798" spans="1:6" x14ac:dyDescent="0.2">
      <c r="A4798">
        <v>847</v>
      </c>
      <c r="B4798" s="3" t="s">
        <v>285</v>
      </c>
      <c r="C4798" s="3" t="s">
        <v>286</v>
      </c>
      <c r="D4798" s="3">
        <v>1</v>
      </c>
      <c r="E4798" s="3">
        <v>58.189990000000002</v>
      </c>
      <c r="F4798">
        <f t="shared" si="76"/>
        <v>58.189990000000002</v>
      </c>
    </row>
    <row r="4799" spans="1:6" x14ac:dyDescent="0.2">
      <c r="A4799">
        <v>847</v>
      </c>
      <c r="B4799" s="3" t="s">
        <v>291</v>
      </c>
      <c r="C4799" s="3" t="s">
        <v>278</v>
      </c>
      <c r="D4799" s="3">
        <v>1</v>
      </c>
      <c r="E4799" s="3">
        <v>24.136399999999998</v>
      </c>
      <c r="F4799">
        <f t="shared" si="76"/>
        <v>24.136399999999998</v>
      </c>
    </row>
    <row r="4800" spans="1:6" x14ac:dyDescent="0.2">
      <c r="A4800">
        <v>847</v>
      </c>
      <c r="B4800" s="3" t="s">
        <v>277</v>
      </c>
      <c r="C4800" s="3" t="s">
        <v>278</v>
      </c>
      <c r="D4800" s="3">
        <v>1</v>
      </c>
      <c r="E4800" s="3">
        <v>41.026589999999999</v>
      </c>
      <c r="F4800">
        <f t="shared" si="76"/>
        <v>41.026589999999999</v>
      </c>
    </row>
    <row r="4801" spans="1:6" x14ac:dyDescent="0.2">
      <c r="A4801">
        <v>847</v>
      </c>
      <c r="B4801" s="3" t="s">
        <v>326</v>
      </c>
      <c r="C4801" s="3" t="s">
        <v>278</v>
      </c>
      <c r="D4801" s="3">
        <v>5</v>
      </c>
      <c r="E4801" s="3">
        <v>3.9745979999999999</v>
      </c>
      <c r="F4801">
        <f t="shared" si="76"/>
        <v>19.872989999999998</v>
      </c>
    </row>
    <row r="4802" spans="1:6" x14ac:dyDescent="0.2">
      <c r="A4802">
        <v>847</v>
      </c>
      <c r="B4802" s="3" t="s">
        <v>274</v>
      </c>
      <c r="C4802" s="3" t="s">
        <v>273</v>
      </c>
      <c r="D4802" s="3">
        <v>5</v>
      </c>
      <c r="E4802" s="3">
        <v>149.23089999999999</v>
      </c>
      <c r="F4802">
        <f t="shared" si="76"/>
        <v>746.15449999999998</v>
      </c>
    </row>
    <row r="4803" spans="1:6" x14ac:dyDescent="0.2">
      <c r="A4803">
        <v>847</v>
      </c>
      <c r="B4803" s="3" t="s">
        <v>327</v>
      </c>
      <c r="C4803" s="3" t="s">
        <v>309</v>
      </c>
      <c r="D4803" s="3">
        <v>1</v>
      </c>
      <c r="E4803" s="3">
        <v>1532.5239999999999</v>
      </c>
      <c r="F4803">
        <f t="shared" si="76"/>
        <v>1532.5239999999999</v>
      </c>
    </row>
    <row r="4804" spans="1:6" x14ac:dyDescent="0.2">
      <c r="A4804">
        <v>847</v>
      </c>
      <c r="B4804" s="3" t="s">
        <v>328</v>
      </c>
      <c r="C4804" s="3" t="s">
        <v>329</v>
      </c>
      <c r="D4804" s="3">
        <v>1</v>
      </c>
      <c r="E4804" s="3">
        <v>155.62309999999999</v>
      </c>
      <c r="F4804">
        <f t="shared" si="76"/>
        <v>155.62309999999999</v>
      </c>
    </row>
    <row r="4805" spans="1:6" x14ac:dyDescent="0.2">
      <c r="A4805">
        <v>847</v>
      </c>
      <c r="B4805" s="3" t="s">
        <v>330</v>
      </c>
      <c r="C4805" s="3" t="s">
        <v>331</v>
      </c>
      <c r="D4805" s="3">
        <v>4</v>
      </c>
      <c r="E4805" s="3">
        <v>710.44619999999998</v>
      </c>
      <c r="F4805">
        <f t="shared" si="76"/>
        <v>2841.7847999999999</v>
      </c>
    </row>
    <row r="4806" spans="1:6" x14ac:dyDescent="0.2">
      <c r="A4806">
        <v>847</v>
      </c>
      <c r="B4806" s="3" t="s">
        <v>332</v>
      </c>
      <c r="C4806" s="3" t="s">
        <v>333</v>
      </c>
      <c r="D4806" s="3">
        <v>3</v>
      </c>
      <c r="E4806" s="3">
        <v>167.5538</v>
      </c>
      <c r="F4806">
        <f t="shared" si="76"/>
        <v>502.66139999999996</v>
      </c>
    </row>
    <row r="4807" spans="1:6" x14ac:dyDescent="0.2">
      <c r="A4807">
        <v>847</v>
      </c>
      <c r="B4807" s="3" t="s">
        <v>272</v>
      </c>
      <c r="C4807" s="3" t="s">
        <v>273</v>
      </c>
      <c r="D4807" s="3">
        <v>1</v>
      </c>
      <c r="E4807" s="3">
        <v>170.1112</v>
      </c>
      <c r="F4807">
        <f t="shared" si="76"/>
        <v>170.1112</v>
      </c>
    </row>
    <row r="4808" spans="1:6" x14ac:dyDescent="0.2">
      <c r="A4808">
        <v>847</v>
      </c>
      <c r="B4808" s="3" t="s">
        <v>275</v>
      </c>
      <c r="C4808" s="3" t="s">
        <v>276</v>
      </c>
      <c r="D4808" s="3">
        <v>3</v>
      </c>
      <c r="E4808" s="3">
        <v>9.081448</v>
      </c>
      <c r="F4808">
        <f t="shared" si="76"/>
        <v>27.244343999999998</v>
      </c>
    </row>
    <row r="4809" spans="1:6" x14ac:dyDescent="0.2">
      <c r="A4809">
        <v>847</v>
      </c>
      <c r="B4809" s="3" t="s">
        <v>334</v>
      </c>
      <c r="C4809" s="3" t="s">
        <v>329</v>
      </c>
      <c r="D4809" s="3">
        <v>2</v>
      </c>
      <c r="E4809" s="3">
        <v>149.0308</v>
      </c>
      <c r="F4809">
        <f t="shared" si="76"/>
        <v>298.0616</v>
      </c>
    </row>
    <row r="4810" spans="1:6" x14ac:dyDescent="0.2">
      <c r="A4810">
        <v>847</v>
      </c>
      <c r="B4810" s="3" t="s">
        <v>335</v>
      </c>
      <c r="C4810" s="3" t="s">
        <v>331</v>
      </c>
      <c r="D4810" s="3">
        <v>4</v>
      </c>
      <c r="E4810" s="3">
        <v>703.1</v>
      </c>
      <c r="F4810">
        <f t="shared" si="76"/>
        <v>2812.4</v>
      </c>
    </row>
    <row r="4811" spans="1:6" x14ac:dyDescent="0.2">
      <c r="A4811">
        <v>847</v>
      </c>
      <c r="B4811" s="3" t="s">
        <v>336</v>
      </c>
      <c r="C4811" s="3" t="s">
        <v>333</v>
      </c>
      <c r="D4811" s="3">
        <v>1</v>
      </c>
      <c r="E4811" s="3">
        <v>288.42309999999998</v>
      </c>
      <c r="F4811">
        <f t="shared" ref="F4811:F4875" si="77">D4811*E4811</f>
        <v>288.42309999999998</v>
      </c>
    </row>
    <row r="4812" spans="1:6" x14ac:dyDescent="0.2">
      <c r="A4812">
        <v>847</v>
      </c>
      <c r="B4812" s="3" t="s">
        <v>337</v>
      </c>
      <c r="C4812" s="3" t="s">
        <v>297</v>
      </c>
      <c r="D4812" s="3">
        <v>118</v>
      </c>
      <c r="E4812" s="3">
        <v>11.761100000000001</v>
      </c>
      <c r="F4812">
        <f t="shared" si="77"/>
        <v>1387.8098</v>
      </c>
    </row>
    <row r="4813" spans="1:6" x14ac:dyDescent="0.2">
      <c r="A4813">
        <v>847</v>
      </c>
      <c r="B4813" s="3" t="s">
        <v>338</v>
      </c>
      <c r="C4813" s="3" t="s">
        <v>297</v>
      </c>
      <c r="D4813" s="3">
        <v>1</v>
      </c>
      <c r="E4813" s="3">
        <v>11.712960000000001</v>
      </c>
      <c r="F4813">
        <f t="shared" si="77"/>
        <v>11.712960000000001</v>
      </c>
    </row>
    <row r="4814" spans="1:6" x14ac:dyDescent="0.2">
      <c r="A4814">
        <v>847</v>
      </c>
      <c r="B4814" s="3" t="s">
        <v>339</v>
      </c>
      <c r="C4814" s="3" t="s">
        <v>297</v>
      </c>
      <c r="D4814" s="3">
        <v>1</v>
      </c>
      <c r="E4814" s="3">
        <v>20.279039999999998</v>
      </c>
      <c r="F4814">
        <f t="shared" si="77"/>
        <v>20.279039999999998</v>
      </c>
    </row>
    <row r="4815" spans="1:6" x14ac:dyDescent="0.2">
      <c r="A4815">
        <v>847</v>
      </c>
      <c r="B4815" s="3" t="s">
        <v>340</v>
      </c>
      <c r="C4815" s="3" t="s">
        <v>309</v>
      </c>
      <c r="D4815" s="3">
        <v>3</v>
      </c>
      <c r="E4815" s="3">
        <v>1536.3340000000001</v>
      </c>
      <c r="F4815">
        <f t="shared" si="77"/>
        <v>4609.0020000000004</v>
      </c>
    </row>
    <row r="4816" spans="1:6" x14ac:dyDescent="0.2">
      <c r="A4816">
        <v>847</v>
      </c>
      <c r="B4816" s="3" t="s">
        <v>341</v>
      </c>
      <c r="C4816" s="3" t="s">
        <v>342</v>
      </c>
      <c r="D4816" s="3">
        <v>1</v>
      </c>
      <c r="E4816" s="3">
        <v>307.22449999999998</v>
      </c>
      <c r="F4816">
        <f t="shared" si="77"/>
        <v>307.22449999999998</v>
      </c>
    </row>
    <row r="4817" spans="1:6" x14ac:dyDescent="0.2">
      <c r="A4817">
        <v>847</v>
      </c>
      <c r="B4817" s="3" t="s">
        <v>284</v>
      </c>
      <c r="C4817" s="3" t="s">
        <v>273</v>
      </c>
      <c r="D4817" s="3">
        <v>2</v>
      </c>
      <c r="E4817" s="3">
        <v>15.547000000000001</v>
      </c>
      <c r="F4817">
        <f t="shared" si="77"/>
        <v>31.094000000000001</v>
      </c>
    </row>
    <row r="4818" spans="1:6" x14ac:dyDescent="0.2">
      <c r="A4818">
        <v>847</v>
      </c>
      <c r="B4818" s="3" t="s">
        <v>283</v>
      </c>
      <c r="C4818" s="3" t="s">
        <v>278</v>
      </c>
      <c r="D4818" s="3">
        <v>3</v>
      </c>
      <c r="E4818" s="3">
        <v>101.76220000000001</v>
      </c>
      <c r="F4818">
        <f t="shared" si="77"/>
        <v>305.28660000000002</v>
      </c>
    </row>
    <row r="4819" spans="1:6" x14ac:dyDescent="0.2">
      <c r="A4819">
        <v>847</v>
      </c>
      <c r="B4819" s="3" t="s">
        <v>281</v>
      </c>
      <c r="C4819" s="3" t="s">
        <v>282</v>
      </c>
      <c r="D4819" s="3">
        <v>6</v>
      </c>
      <c r="E4819" s="3">
        <v>43.369190000000003</v>
      </c>
      <c r="F4819">
        <f t="shared" si="77"/>
        <v>260.21514000000002</v>
      </c>
    </row>
    <row r="4820" spans="1:6" x14ac:dyDescent="0.2">
      <c r="A4820">
        <v>847</v>
      </c>
      <c r="B4820" s="3" t="s">
        <v>279</v>
      </c>
      <c r="C4820" s="3" t="s">
        <v>280</v>
      </c>
      <c r="D4820" s="3">
        <v>6</v>
      </c>
      <c r="E4820" s="3">
        <v>36.786499999999997</v>
      </c>
      <c r="F4820">
        <f t="shared" si="77"/>
        <v>220.71899999999999</v>
      </c>
    </row>
    <row r="4821" spans="1:6" x14ac:dyDescent="0.2">
      <c r="A4821">
        <v>847</v>
      </c>
      <c r="B4821" s="3" t="s">
        <v>343</v>
      </c>
      <c r="C4821" s="3" t="s">
        <v>282</v>
      </c>
      <c r="D4821" s="3">
        <v>1</v>
      </c>
      <c r="E4821" s="3">
        <v>16.807500000000001</v>
      </c>
      <c r="F4821">
        <f t="shared" si="77"/>
        <v>16.807500000000001</v>
      </c>
    </row>
    <row r="4822" spans="1:6" x14ac:dyDescent="0.2">
      <c r="A4822">
        <v>847</v>
      </c>
      <c r="B4822" s="3" t="s">
        <v>344</v>
      </c>
      <c r="C4822" s="3" t="s">
        <v>282</v>
      </c>
      <c r="D4822" s="3">
        <v>3</v>
      </c>
      <c r="E4822" s="3">
        <v>12.76713</v>
      </c>
      <c r="F4822">
        <f t="shared" si="77"/>
        <v>38.301389999999998</v>
      </c>
    </row>
    <row r="4823" spans="1:6" x14ac:dyDescent="0.2">
      <c r="A4823">
        <v>847</v>
      </c>
      <c r="B4823" s="3" t="s">
        <v>270</v>
      </c>
      <c r="C4823" s="3" t="s">
        <v>271</v>
      </c>
      <c r="D4823" s="3">
        <v>1</v>
      </c>
      <c r="E4823" s="3">
        <v>3027.0970000000002</v>
      </c>
      <c r="F4823">
        <f t="shared" si="77"/>
        <v>3027.0970000000002</v>
      </c>
    </row>
    <row r="4824" spans="1:6" x14ac:dyDescent="0.2">
      <c r="A4824">
        <v>847</v>
      </c>
      <c r="B4824" s="3" t="s">
        <v>272</v>
      </c>
      <c r="C4824" s="3" t="s">
        <v>273</v>
      </c>
      <c r="D4824" s="3">
        <v>1</v>
      </c>
      <c r="E4824" s="3">
        <v>170.1112</v>
      </c>
      <c r="F4824">
        <f t="shared" si="77"/>
        <v>170.1112</v>
      </c>
    </row>
    <row r="4825" spans="1:6" x14ac:dyDescent="0.2">
      <c r="A4825">
        <v>847</v>
      </c>
      <c r="B4825" s="3" t="s">
        <v>274</v>
      </c>
      <c r="C4825" s="3" t="s">
        <v>273</v>
      </c>
      <c r="D4825" s="3">
        <v>3</v>
      </c>
      <c r="E4825" s="3">
        <v>149.23089999999999</v>
      </c>
      <c r="F4825">
        <f t="shared" si="77"/>
        <v>447.69269999999995</v>
      </c>
    </row>
    <row r="4826" spans="1:6" x14ac:dyDescent="0.2">
      <c r="A4826">
        <v>847</v>
      </c>
      <c r="B4826" s="3" t="s">
        <v>275</v>
      </c>
      <c r="C4826" s="3" t="s">
        <v>276</v>
      </c>
      <c r="D4826" s="3">
        <v>2</v>
      </c>
      <c r="E4826" s="3">
        <v>9.081448</v>
      </c>
      <c r="F4826">
        <f t="shared" si="77"/>
        <v>18.162896</v>
      </c>
    </row>
    <row r="4827" spans="1:6" x14ac:dyDescent="0.2">
      <c r="A4827">
        <v>847</v>
      </c>
      <c r="B4827" s="3" t="s">
        <v>277</v>
      </c>
      <c r="C4827" s="3" t="s">
        <v>278</v>
      </c>
      <c r="D4827" s="3">
        <v>1</v>
      </c>
      <c r="E4827" s="3">
        <v>41.026589999999999</v>
      </c>
      <c r="F4827">
        <f t="shared" si="77"/>
        <v>41.026589999999999</v>
      </c>
    </row>
    <row r="4828" spans="1:6" x14ac:dyDescent="0.2">
      <c r="A4828">
        <v>847</v>
      </c>
      <c r="B4828" s="3" t="s">
        <v>279</v>
      </c>
      <c r="C4828" s="3" t="s">
        <v>280</v>
      </c>
      <c r="D4828" s="3">
        <v>5</v>
      </c>
      <c r="E4828" s="3">
        <v>36.786499999999997</v>
      </c>
      <c r="F4828">
        <f t="shared" si="77"/>
        <v>183.93249999999998</v>
      </c>
    </row>
    <row r="4829" spans="1:6" x14ac:dyDescent="0.2">
      <c r="A4829">
        <v>847</v>
      </c>
      <c r="B4829" s="3" t="s">
        <v>281</v>
      </c>
      <c r="C4829" s="3" t="s">
        <v>282</v>
      </c>
      <c r="D4829" s="3">
        <v>1</v>
      </c>
      <c r="E4829" s="3">
        <v>43.369190000000003</v>
      </c>
      <c r="F4829">
        <f t="shared" si="77"/>
        <v>43.369190000000003</v>
      </c>
    </row>
    <row r="4830" spans="1:6" x14ac:dyDescent="0.2">
      <c r="A4830">
        <v>847</v>
      </c>
      <c r="B4830" s="3" t="s">
        <v>283</v>
      </c>
      <c r="C4830" s="3" t="s">
        <v>278</v>
      </c>
      <c r="D4830" s="3">
        <v>3</v>
      </c>
      <c r="E4830" s="3">
        <v>101.76220000000001</v>
      </c>
      <c r="F4830">
        <f t="shared" si="77"/>
        <v>305.28660000000002</v>
      </c>
    </row>
    <row r="4831" spans="1:6" x14ac:dyDescent="0.2">
      <c r="A4831">
        <v>847</v>
      </c>
      <c r="B4831" s="3" t="s">
        <v>284</v>
      </c>
      <c r="C4831" s="3" t="s">
        <v>273</v>
      </c>
      <c r="D4831" s="3">
        <v>6</v>
      </c>
      <c r="E4831" s="3">
        <v>15.547000000000001</v>
      </c>
      <c r="F4831">
        <f t="shared" si="77"/>
        <v>93.282000000000011</v>
      </c>
    </row>
    <row r="4832" spans="1:6" x14ac:dyDescent="0.2">
      <c r="A4832">
        <v>847</v>
      </c>
      <c r="B4832" s="3" t="s">
        <v>285</v>
      </c>
      <c r="C4832" s="3" t="s">
        <v>286</v>
      </c>
      <c r="D4832" s="3">
        <v>6</v>
      </c>
      <c r="E4832" s="3">
        <v>58.189990000000002</v>
      </c>
      <c r="F4832">
        <f t="shared" si="77"/>
        <v>349.13994000000002</v>
      </c>
    </row>
    <row r="4833" spans="1:6" x14ac:dyDescent="0.2">
      <c r="A4833">
        <v>847</v>
      </c>
      <c r="B4833" s="3" t="s">
        <v>287</v>
      </c>
      <c r="C4833" s="3" t="s">
        <v>273</v>
      </c>
      <c r="D4833" s="3">
        <v>1</v>
      </c>
      <c r="E4833" s="3">
        <v>100.669</v>
      </c>
      <c r="F4833">
        <f t="shared" si="77"/>
        <v>100.669</v>
      </c>
    </row>
    <row r="4834" spans="1:6" x14ac:dyDescent="0.2">
      <c r="A4834">
        <v>847</v>
      </c>
      <c r="B4834" s="3" t="s">
        <v>288</v>
      </c>
      <c r="C4834" s="3" t="s">
        <v>289</v>
      </c>
      <c r="D4834" s="3">
        <v>3</v>
      </c>
      <c r="E4834" s="3">
        <v>7.340122</v>
      </c>
      <c r="F4834">
        <f t="shared" si="77"/>
        <v>22.020365999999999</v>
      </c>
    </row>
    <row r="4835" spans="1:6" x14ac:dyDescent="0.2">
      <c r="A4835">
        <v>847</v>
      </c>
      <c r="B4835" s="3" t="s">
        <v>290</v>
      </c>
      <c r="C4835" s="3" t="s">
        <v>278</v>
      </c>
      <c r="D4835" s="3">
        <v>1</v>
      </c>
      <c r="E4835" s="3">
        <v>43.751809999999999</v>
      </c>
      <c r="F4835">
        <f t="shared" si="77"/>
        <v>43.751809999999999</v>
      </c>
    </row>
    <row r="4836" spans="1:6" x14ac:dyDescent="0.2">
      <c r="A4836">
        <v>847</v>
      </c>
      <c r="B4836" s="3" t="s">
        <v>277</v>
      </c>
      <c r="C4836" s="3" t="s">
        <v>278</v>
      </c>
      <c r="D4836" s="3">
        <v>1</v>
      </c>
      <c r="E4836" s="3">
        <v>41.026589999999999</v>
      </c>
      <c r="F4836">
        <f t="shared" si="77"/>
        <v>41.026589999999999</v>
      </c>
    </row>
    <row r="4837" spans="1:6" x14ac:dyDescent="0.2">
      <c r="A4837">
        <v>847</v>
      </c>
      <c r="B4837" s="3" t="s">
        <v>291</v>
      </c>
      <c r="C4837" s="3" t="s">
        <v>278</v>
      </c>
      <c r="D4837" s="3">
        <v>3</v>
      </c>
      <c r="E4837" s="3">
        <v>24.136399999999998</v>
      </c>
      <c r="F4837">
        <f t="shared" si="77"/>
        <v>72.409199999999998</v>
      </c>
    </row>
    <row r="4838" spans="1:6" x14ac:dyDescent="0.2">
      <c r="A4838">
        <v>847</v>
      </c>
      <c r="B4838" s="3" t="s">
        <v>292</v>
      </c>
      <c r="C4838" s="3" t="s">
        <v>293</v>
      </c>
      <c r="D4838" s="3">
        <v>2</v>
      </c>
      <c r="E4838" s="3">
        <v>96.852699999999999</v>
      </c>
      <c r="F4838">
        <f t="shared" si="77"/>
        <v>193.7054</v>
      </c>
    </row>
    <row r="4839" spans="1:6" x14ac:dyDescent="0.2">
      <c r="A4839">
        <v>847</v>
      </c>
      <c r="B4839" s="3" t="s">
        <v>294</v>
      </c>
      <c r="C4839" s="3" t="s">
        <v>278</v>
      </c>
      <c r="D4839" s="3">
        <v>1</v>
      </c>
      <c r="E4839" s="3">
        <v>26.221409999999999</v>
      </c>
      <c r="F4839">
        <f t="shared" si="77"/>
        <v>26.221409999999999</v>
      </c>
    </row>
    <row r="4840" spans="1:6" x14ac:dyDescent="0.2">
      <c r="A4840">
        <v>847</v>
      </c>
      <c r="B4840" s="3" t="s">
        <v>295</v>
      </c>
      <c r="C4840" s="3" t="s">
        <v>273</v>
      </c>
      <c r="D4840" s="3">
        <v>5</v>
      </c>
      <c r="E4840" s="3">
        <v>54.88693</v>
      </c>
      <c r="F4840">
        <f t="shared" si="77"/>
        <v>274.43464999999998</v>
      </c>
    </row>
    <row r="4841" spans="1:6" x14ac:dyDescent="0.2">
      <c r="A4841">
        <v>847</v>
      </c>
      <c r="B4841" s="3" t="s">
        <v>296</v>
      </c>
      <c r="C4841" s="3" t="s">
        <v>297</v>
      </c>
      <c r="D4841" s="3">
        <v>1</v>
      </c>
      <c r="E4841" s="3">
        <v>5.5029000000000003</v>
      </c>
      <c r="F4841">
        <f t="shared" si="77"/>
        <v>5.5029000000000003</v>
      </c>
    </row>
    <row r="4842" spans="1:6" x14ac:dyDescent="0.2">
      <c r="A4842">
        <v>847</v>
      </c>
      <c r="B4842" s="3" t="s">
        <v>298</v>
      </c>
      <c r="C4842" s="3" t="s">
        <v>297</v>
      </c>
      <c r="D4842" s="3">
        <v>1</v>
      </c>
      <c r="E4842" s="3">
        <v>5.9344999999999999</v>
      </c>
      <c r="F4842">
        <f t="shared" si="77"/>
        <v>5.9344999999999999</v>
      </c>
    </row>
    <row r="4843" spans="1:6" x14ac:dyDescent="0.2">
      <c r="A4843">
        <v>847</v>
      </c>
      <c r="B4843" s="3" t="s">
        <v>299</v>
      </c>
      <c r="C4843" s="3" t="s">
        <v>297</v>
      </c>
      <c r="D4843" s="3">
        <v>1</v>
      </c>
      <c r="E4843" s="3">
        <v>4.3574999999999999</v>
      </c>
      <c r="F4843">
        <f t="shared" si="77"/>
        <v>4.3574999999999999</v>
      </c>
    </row>
    <row r="4844" spans="1:6" x14ac:dyDescent="0.2">
      <c r="A4844">
        <v>847</v>
      </c>
      <c r="B4844" s="3" t="s">
        <v>122</v>
      </c>
      <c r="C4844" s="3" t="s">
        <v>276</v>
      </c>
      <c r="D4844" s="3">
        <v>5</v>
      </c>
      <c r="E4844" s="3">
        <v>14.915100000000001</v>
      </c>
      <c r="F4844">
        <f t="shared" si="77"/>
        <v>74.575500000000005</v>
      </c>
    </row>
    <row r="4845" spans="1:6" x14ac:dyDescent="0.2">
      <c r="A4845">
        <v>847</v>
      </c>
      <c r="B4845" s="3" t="s">
        <v>120</v>
      </c>
      <c r="C4845" s="3" t="s">
        <v>278</v>
      </c>
      <c r="D4845" s="3">
        <v>5</v>
      </c>
      <c r="E4845" s="3">
        <v>1.5604</v>
      </c>
      <c r="F4845">
        <f t="shared" si="77"/>
        <v>7.8019999999999996</v>
      </c>
    </row>
    <row r="4846" spans="1:6" x14ac:dyDescent="0.2">
      <c r="A4846">
        <v>847</v>
      </c>
      <c r="B4846" s="3" t="s">
        <v>300</v>
      </c>
      <c r="C4846" s="3" t="s">
        <v>273</v>
      </c>
      <c r="D4846" s="3">
        <v>1</v>
      </c>
      <c r="E4846" s="3">
        <v>60.59</v>
      </c>
      <c r="F4846">
        <f t="shared" si="77"/>
        <v>60.59</v>
      </c>
    </row>
    <row r="4847" spans="1:6" x14ac:dyDescent="0.2">
      <c r="A4847">
        <v>847</v>
      </c>
      <c r="B4847" s="3" t="s">
        <v>301</v>
      </c>
      <c r="C4847" s="3" t="s">
        <v>302</v>
      </c>
      <c r="D4847" s="3">
        <v>1</v>
      </c>
      <c r="E4847" s="3">
        <v>104.8857</v>
      </c>
      <c r="F4847">
        <f t="shared" si="77"/>
        <v>104.8857</v>
      </c>
    </row>
    <row r="4848" spans="1:6" x14ac:dyDescent="0.2">
      <c r="A4848">
        <v>847</v>
      </c>
      <c r="B4848" s="3" t="s">
        <v>303</v>
      </c>
      <c r="C4848" s="3" t="s">
        <v>304</v>
      </c>
      <c r="D4848" s="3">
        <v>4</v>
      </c>
      <c r="E4848" s="3">
        <v>683.94489999999996</v>
      </c>
      <c r="F4848">
        <f t="shared" si="77"/>
        <v>2735.7795999999998</v>
      </c>
    </row>
    <row r="4849" spans="1:6" x14ac:dyDescent="0.2">
      <c r="A4849">
        <v>847</v>
      </c>
      <c r="B4849" s="3" t="s">
        <v>305</v>
      </c>
      <c r="C4849" s="3" t="s">
        <v>273</v>
      </c>
      <c r="D4849" s="3">
        <v>3</v>
      </c>
      <c r="E4849" s="3">
        <v>71.189099999999996</v>
      </c>
      <c r="F4849">
        <f t="shared" si="77"/>
        <v>213.56729999999999</v>
      </c>
    </row>
    <row r="4850" spans="1:6" x14ac:dyDescent="0.2">
      <c r="A4850">
        <v>847</v>
      </c>
      <c r="B4850" s="3" t="s">
        <v>294</v>
      </c>
      <c r="C4850" s="3" t="s">
        <v>278</v>
      </c>
      <c r="D4850" s="3">
        <v>1</v>
      </c>
      <c r="E4850" s="3">
        <v>26.221409999999999</v>
      </c>
      <c r="F4850">
        <f t="shared" si="77"/>
        <v>26.221409999999999</v>
      </c>
    </row>
    <row r="4851" spans="1:6" x14ac:dyDescent="0.2">
      <c r="A4851">
        <v>847</v>
      </c>
      <c r="B4851" s="3" t="s">
        <v>306</v>
      </c>
      <c r="C4851" s="3" t="s">
        <v>273</v>
      </c>
      <c r="D4851" s="3">
        <v>3</v>
      </c>
      <c r="E4851" s="3">
        <v>99.575779999999995</v>
      </c>
      <c r="F4851">
        <f t="shared" si="77"/>
        <v>298.72733999999997</v>
      </c>
    </row>
    <row r="4852" spans="1:6" x14ac:dyDescent="0.2">
      <c r="A4852">
        <v>847</v>
      </c>
      <c r="B4852" s="3" t="s">
        <v>294</v>
      </c>
      <c r="C4852" s="3" t="s">
        <v>278</v>
      </c>
      <c r="D4852" s="3">
        <v>2</v>
      </c>
      <c r="E4852" s="3">
        <v>26.221409999999999</v>
      </c>
      <c r="F4852">
        <f t="shared" si="77"/>
        <v>52.442819999999998</v>
      </c>
    </row>
    <row r="4853" spans="1:6" x14ac:dyDescent="0.2">
      <c r="A4853">
        <v>847</v>
      </c>
      <c r="B4853" s="3" t="s">
        <v>306</v>
      </c>
      <c r="C4853" s="3" t="s">
        <v>273</v>
      </c>
      <c r="D4853" s="3">
        <v>4</v>
      </c>
      <c r="E4853" s="3">
        <v>99.575779999999995</v>
      </c>
      <c r="F4853">
        <f t="shared" si="77"/>
        <v>398.30311999999998</v>
      </c>
    </row>
    <row r="4854" spans="1:6" x14ac:dyDescent="0.2">
      <c r="A4854">
        <v>847</v>
      </c>
      <c r="B4854" s="3" t="s">
        <v>308</v>
      </c>
      <c r="C4854" s="3" t="s">
        <v>309</v>
      </c>
      <c r="D4854" s="3">
        <v>1</v>
      </c>
      <c r="E4854" s="3">
        <v>167.62309999999999</v>
      </c>
      <c r="F4854">
        <f t="shared" si="77"/>
        <v>167.62309999999999</v>
      </c>
    </row>
    <row r="4855" spans="1:6" x14ac:dyDescent="0.2">
      <c r="A4855">
        <v>847</v>
      </c>
      <c r="B4855" s="3" t="s">
        <v>310</v>
      </c>
      <c r="C4855" s="3" t="s">
        <v>273</v>
      </c>
      <c r="D4855" s="3">
        <v>118</v>
      </c>
      <c r="E4855" s="3">
        <v>0.33200000000000002</v>
      </c>
      <c r="F4855">
        <f t="shared" si="77"/>
        <v>39.176000000000002</v>
      </c>
    </row>
    <row r="4856" spans="1:6" x14ac:dyDescent="0.2">
      <c r="A4856">
        <v>847</v>
      </c>
      <c r="B4856" s="3" t="s">
        <v>197</v>
      </c>
      <c r="C4856" s="3" t="s">
        <v>278</v>
      </c>
      <c r="D4856" s="3">
        <v>1</v>
      </c>
      <c r="E4856" s="3">
        <v>7.4700000000000003E-2</v>
      </c>
      <c r="F4856">
        <f t="shared" si="77"/>
        <v>7.4700000000000003E-2</v>
      </c>
    </row>
    <row r="4857" spans="1:6" x14ac:dyDescent="0.2">
      <c r="A4857">
        <v>847</v>
      </c>
      <c r="B4857" s="3" t="s">
        <v>311</v>
      </c>
      <c r="C4857" s="3" t="s">
        <v>273</v>
      </c>
      <c r="D4857" s="3">
        <v>1</v>
      </c>
      <c r="E4857" s="3">
        <v>1.5935999999999999</v>
      </c>
      <c r="F4857">
        <f t="shared" si="77"/>
        <v>1.5935999999999999</v>
      </c>
    </row>
    <row r="4858" spans="1:6" x14ac:dyDescent="0.2">
      <c r="A4858">
        <v>847</v>
      </c>
      <c r="B4858" s="3" t="s">
        <v>312</v>
      </c>
      <c r="C4858" s="3" t="s">
        <v>278</v>
      </c>
      <c r="D4858" s="3">
        <v>3</v>
      </c>
      <c r="E4858" s="3">
        <v>21.040500000000002</v>
      </c>
      <c r="F4858">
        <f t="shared" si="77"/>
        <v>63.121500000000005</v>
      </c>
    </row>
    <row r="4859" spans="1:6" x14ac:dyDescent="0.2">
      <c r="A4859">
        <v>847</v>
      </c>
      <c r="B4859" s="3" t="s">
        <v>75</v>
      </c>
      <c r="C4859" s="3" t="s">
        <v>313</v>
      </c>
      <c r="D4859" s="3">
        <v>1</v>
      </c>
      <c r="E4859" s="3">
        <v>0.115385</v>
      </c>
      <c r="F4859">
        <f t="shared" si="77"/>
        <v>0.115385</v>
      </c>
    </row>
    <row r="4860" spans="1:6" x14ac:dyDescent="0.2">
      <c r="A4860">
        <v>847</v>
      </c>
      <c r="B4860" s="3" t="s">
        <v>314</v>
      </c>
      <c r="C4860" s="3" t="s">
        <v>273</v>
      </c>
      <c r="D4860" s="3">
        <v>2</v>
      </c>
      <c r="E4860" s="3">
        <v>0.45650000000000002</v>
      </c>
      <c r="F4860">
        <f t="shared" si="77"/>
        <v>0.91300000000000003</v>
      </c>
    </row>
    <row r="4861" spans="1:6" x14ac:dyDescent="0.2">
      <c r="A4861">
        <v>847</v>
      </c>
      <c r="B4861" s="3" t="s">
        <v>314</v>
      </c>
      <c r="C4861" s="3" t="s">
        <v>315</v>
      </c>
      <c r="D4861" s="3">
        <v>3</v>
      </c>
      <c r="E4861" s="3">
        <v>0.45650000000000002</v>
      </c>
      <c r="F4861">
        <f t="shared" si="77"/>
        <v>1.3694999999999999</v>
      </c>
    </row>
    <row r="4862" spans="1:6" x14ac:dyDescent="0.2">
      <c r="A4862">
        <v>847</v>
      </c>
      <c r="B4862" s="3" t="s">
        <v>316</v>
      </c>
      <c r="C4862" s="3" t="s">
        <v>317</v>
      </c>
      <c r="D4862" s="3">
        <v>6</v>
      </c>
      <c r="E4862" s="3">
        <v>92.206620000000001</v>
      </c>
      <c r="F4862">
        <f t="shared" si="77"/>
        <v>553.23972000000003</v>
      </c>
    </row>
    <row r="4863" spans="1:6" x14ac:dyDescent="0.2">
      <c r="A4863">
        <v>847</v>
      </c>
      <c r="B4863" s="3" t="s">
        <v>318</v>
      </c>
      <c r="C4863" s="3" t="s">
        <v>319</v>
      </c>
      <c r="D4863" s="3">
        <v>6</v>
      </c>
      <c r="E4863" s="3">
        <v>85.453850000000003</v>
      </c>
      <c r="F4863">
        <f t="shared" si="77"/>
        <v>512.72310000000004</v>
      </c>
    </row>
    <row r="4864" spans="1:6" x14ac:dyDescent="0.2">
      <c r="A4864">
        <v>847</v>
      </c>
      <c r="B4864" s="3" t="s">
        <v>320</v>
      </c>
      <c r="C4864" s="3" t="s">
        <v>321</v>
      </c>
      <c r="D4864" s="3">
        <v>1</v>
      </c>
      <c r="E4864" s="3">
        <v>92.206620000000001</v>
      </c>
      <c r="F4864">
        <f t="shared" si="77"/>
        <v>92.206620000000001</v>
      </c>
    </row>
    <row r="4865" spans="1:6" x14ac:dyDescent="0.2">
      <c r="A4865">
        <v>847</v>
      </c>
      <c r="B4865" s="3" t="s">
        <v>267</v>
      </c>
      <c r="C4865" s="3" t="s">
        <v>268</v>
      </c>
      <c r="D4865" s="3">
        <v>3</v>
      </c>
      <c r="E4865" s="3">
        <v>84863.13</v>
      </c>
      <c r="F4865">
        <f t="shared" si="77"/>
        <v>254589.39</v>
      </c>
    </row>
    <row r="4866" spans="1:6" x14ac:dyDescent="0.2">
      <c r="A4866">
        <v>847</v>
      </c>
      <c r="B4866" s="3" t="s">
        <v>260</v>
      </c>
      <c r="C4866" s="3" t="s">
        <v>261</v>
      </c>
      <c r="D4866" s="3">
        <v>1</v>
      </c>
      <c r="E4866" s="3">
        <v>2908.2939999999999</v>
      </c>
      <c r="F4866">
        <f t="shared" si="77"/>
        <v>2908.2939999999999</v>
      </c>
    </row>
    <row r="4867" spans="1:6" x14ac:dyDescent="0.2">
      <c r="A4867">
        <v>847</v>
      </c>
      <c r="B4867" s="3" t="s">
        <v>262</v>
      </c>
      <c r="C4867" s="3" t="s">
        <v>263</v>
      </c>
      <c r="D4867" s="3">
        <v>1</v>
      </c>
      <c r="E4867" s="3">
        <v>3207.1970000000001</v>
      </c>
      <c r="F4867">
        <f t="shared" si="77"/>
        <v>3207.1970000000001</v>
      </c>
    </row>
    <row r="4868" spans="1:6" x14ac:dyDescent="0.2">
      <c r="A4868">
        <v>847</v>
      </c>
      <c r="B4868" s="3" t="s">
        <v>264</v>
      </c>
      <c r="C4868" s="3" t="s">
        <v>265</v>
      </c>
      <c r="D4868" s="3">
        <v>3</v>
      </c>
      <c r="E4868" s="3">
        <v>3466.7310000000002</v>
      </c>
      <c r="F4868">
        <f t="shared" si="77"/>
        <v>10400.193000000001</v>
      </c>
    </row>
    <row r="4869" spans="1:6" x14ac:dyDescent="0.2">
      <c r="A4869">
        <v>847</v>
      </c>
      <c r="B4869" s="3" t="s">
        <v>259</v>
      </c>
      <c r="C4869" s="3" t="s">
        <v>258</v>
      </c>
      <c r="D4869" s="3">
        <v>2</v>
      </c>
      <c r="E4869" s="3">
        <v>3325.9760000000001</v>
      </c>
      <c r="F4869">
        <f t="shared" si="77"/>
        <v>6651.9520000000002</v>
      </c>
    </row>
    <row r="4870" spans="1:6" x14ac:dyDescent="0.2">
      <c r="A4870">
        <v>847</v>
      </c>
      <c r="B4870" s="3" t="s">
        <v>257</v>
      </c>
      <c r="C4870" s="3" t="s">
        <v>258</v>
      </c>
      <c r="D4870" s="3">
        <v>1</v>
      </c>
      <c r="E4870" s="3">
        <v>3325.9760000000001</v>
      </c>
      <c r="F4870">
        <f t="shared" si="77"/>
        <v>3325.9760000000001</v>
      </c>
    </row>
    <row r="4871" spans="1:6" x14ac:dyDescent="0.2">
      <c r="A4871">
        <v>847</v>
      </c>
      <c r="B4871" s="3" t="s">
        <v>255</v>
      </c>
      <c r="C4871" s="3" t="s">
        <v>256</v>
      </c>
      <c r="D4871" s="3">
        <v>5</v>
      </c>
      <c r="E4871" s="3">
        <v>18546.09</v>
      </c>
      <c r="F4871">
        <f t="shared" si="77"/>
        <v>92730.45</v>
      </c>
    </row>
    <row r="4872" spans="1:6" x14ac:dyDescent="0.2">
      <c r="A4872">
        <v>847</v>
      </c>
      <c r="B4872" s="3" t="s">
        <v>253</v>
      </c>
      <c r="C4872" s="3" t="s">
        <v>254</v>
      </c>
      <c r="D4872" s="3">
        <v>1</v>
      </c>
      <c r="E4872" s="3">
        <v>21043.68</v>
      </c>
      <c r="F4872">
        <f t="shared" si="77"/>
        <v>21043.68</v>
      </c>
    </row>
    <row r="4873" spans="1:6" x14ac:dyDescent="0.2">
      <c r="A4873">
        <v>847</v>
      </c>
      <c r="B4873" s="3" t="s">
        <v>359</v>
      </c>
      <c r="C4873" s="3" t="s">
        <v>360</v>
      </c>
      <c r="D4873" s="3">
        <v>1</v>
      </c>
      <c r="E4873" s="3">
        <v>1844.9380000000001</v>
      </c>
      <c r="F4873">
        <f t="shared" si="77"/>
        <v>1844.9380000000001</v>
      </c>
    </row>
    <row r="4874" spans="1:6" x14ac:dyDescent="0.2">
      <c r="A4874">
        <v>847</v>
      </c>
      <c r="B4874" s="3" t="s">
        <v>389</v>
      </c>
      <c r="C4874" s="3" t="s">
        <v>390</v>
      </c>
      <c r="D4874">
        <v>1</v>
      </c>
      <c r="E4874" s="3">
        <v>4906</v>
      </c>
      <c r="F4874">
        <f t="shared" si="77"/>
        <v>4906</v>
      </c>
    </row>
    <row r="4875" spans="1:6" x14ac:dyDescent="0.2">
      <c r="A4875">
        <v>848</v>
      </c>
      <c r="B4875" s="3" t="s">
        <v>62</v>
      </c>
      <c r="C4875" s="3" t="s">
        <v>63</v>
      </c>
      <c r="D4875" s="3">
        <v>5</v>
      </c>
      <c r="E4875" s="3">
        <v>0.34860000000000002</v>
      </c>
      <c r="F4875">
        <f t="shared" si="77"/>
        <v>1.7430000000000001</v>
      </c>
    </row>
    <row r="4876" spans="1:6" x14ac:dyDescent="0.2">
      <c r="A4876">
        <v>848</v>
      </c>
      <c r="B4876" s="3" t="s">
        <v>64</v>
      </c>
      <c r="C4876" s="3" t="s">
        <v>65</v>
      </c>
      <c r="D4876" s="3">
        <v>5</v>
      </c>
      <c r="E4876" s="3">
        <v>803.07690000000002</v>
      </c>
      <c r="F4876">
        <f t="shared" ref="F4876:F4939" si="78">D4876*E4876</f>
        <v>4015.3845000000001</v>
      </c>
    </row>
    <row r="4877" spans="1:6" x14ac:dyDescent="0.2">
      <c r="A4877">
        <v>848</v>
      </c>
      <c r="B4877" s="3" t="s">
        <v>67</v>
      </c>
      <c r="C4877" s="3" t="s">
        <v>68</v>
      </c>
      <c r="D4877" s="3">
        <v>1</v>
      </c>
      <c r="E4877" s="3">
        <v>49.678570000000001</v>
      </c>
      <c r="F4877">
        <f t="shared" si="78"/>
        <v>49.678570000000001</v>
      </c>
    </row>
    <row r="4878" spans="1:6" x14ac:dyDescent="0.2">
      <c r="A4878">
        <v>848</v>
      </c>
      <c r="B4878" s="3" t="s">
        <v>70</v>
      </c>
      <c r="C4878" s="3" t="s">
        <v>71</v>
      </c>
      <c r="D4878" s="3">
        <v>1</v>
      </c>
      <c r="E4878" s="3">
        <v>407.98649999999998</v>
      </c>
      <c r="F4878">
        <f t="shared" si="78"/>
        <v>407.98649999999998</v>
      </c>
    </row>
    <row r="4879" spans="1:6" x14ac:dyDescent="0.2">
      <c r="A4879">
        <v>848</v>
      </c>
      <c r="B4879" s="3" t="s">
        <v>73</v>
      </c>
      <c r="C4879" s="3" t="s">
        <v>74</v>
      </c>
      <c r="D4879" s="3">
        <v>4</v>
      </c>
      <c r="E4879" s="3">
        <v>0.57783899999999999</v>
      </c>
      <c r="F4879">
        <f t="shared" si="78"/>
        <v>2.311356</v>
      </c>
    </row>
    <row r="4880" spans="1:6" x14ac:dyDescent="0.2">
      <c r="A4880">
        <v>848</v>
      </c>
      <c r="B4880" s="3" t="s">
        <v>75</v>
      </c>
      <c r="C4880" s="3" t="s">
        <v>76</v>
      </c>
      <c r="D4880" s="3">
        <v>3</v>
      </c>
      <c r="E4880" s="3">
        <v>0.115385</v>
      </c>
      <c r="F4880">
        <f t="shared" si="78"/>
        <v>0.34615499999999999</v>
      </c>
    </row>
    <row r="4881" spans="1:6" x14ac:dyDescent="0.2">
      <c r="A4881">
        <v>848</v>
      </c>
      <c r="B4881" s="3" t="s">
        <v>77</v>
      </c>
      <c r="C4881" s="3" t="s">
        <v>74</v>
      </c>
      <c r="D4881" s="3">
        <v>1</v>
      </c>
      <c r="E4881" s="3">
        <v>1.3944000000000001</v>
      </c>
      <c r="F4881">
        <f t="shared" si="78"/>
        <v>1.3944000000000001</v>
      </c>
    </row>
    <row r="4882" spans="1:6" x14ac:dyDescent="0.2">
      <c r="A4882">
        <v>848</v>
      </c>
      <c r="B4882" s="3" t="s">
        <v>78</v>
      </c>
      <c r="C4882" s="3" t="s">
        <v>76</v>
      </c>
      <c r="D4882" s="3">
        <v>3</v>
      </c>
      <c r="E4882" s="3">
        <v>0.71839500000000001</v>
      </c>
      <c r="F4882">
        <f t="shared" si="78"/>
        <v>2.1551849999999999</v>
      </c>
    </row>
    <row r="4883" spans="1:6" x14ac:dyDescent="0.2">
      <c r="A4883">
        <v>848</v>
      </c>
      <c r="B4883" s="3" t="s">
        <v>79</v>
      </c>
      <c r="C4883" s="3" t="s">
        <v>74</v>
      </c>
      <c r="D4883" s="3">
        <v>2</v>
      </c>
      <c r="E4883" s="3">
        <v>1.930769</v>
      </c>
      <c r="F4883">
        <f t="shared" si="78"/>
        <v>3.8615379999999999</v>
      </c>
    </row>
    <row r="4884" spans="1:6" x14ac:dyDescent="0.2">
      <c r="A4884">
        <v>848</v>
      </c>
      <c r="B4884" s="3" t="s">
        <v>80</v>
      </c>
      <c r="C4884" s="3" t="s">
        <v>74</v>
      </c>
      <c r="D4884" s="3">
        <v>4</v>
      </c>
      <c r="E4884" s="3">
        <v>0.95450000000000002</v>
      </c>
      <c r="F4884">
        <f t="shared" si="78"/>
        <v>3.8180000000000001</v>
      </c>
    </row>
    <row r="4885" spans="1:6" x14ac:dyDescent="0.2">
      <c r="A4885">
        <v>848</v>
      </c>
      <c r="B4885" s="3" t="s">
        <v>81</v>
      </c>
      <c r="C4885" s="3" t="s">
        <v>74</v>
      </c>
      <c r="D4885" s="3">
        <v>1</v>
      </c>
      <c r="E4885" s="3">
        <v>0.76359999999999995</v>
      </c>
      <c r="F4885">
        <f t="shared" si="78"/>
        <v>0.76359999999999995</v>
      </c>
    </row>
    <row r="4886" spans="1:6" x14ac:dyDescent="0.2">
      <c r="A4886">
        <v>848</v>
      </c>
      <c r="B4886" s="3" t="s">
        <v>82</v>
      </c>
      <c r="C4886" s="3" t="s">
        <v>83</v>
      </c>
      <c r="D4886" s="3">
        <v>118</v>
      </c>
      <c r="E4886" s="3">
        <v>20.351600000000001</v>
      </c>
      <c r="F4886">
        <f t="shared" si="78"/>
        <v>2401.4888000000001</v>
      </c>
    </row>
    <row r="4887" spans="1:6" x14ac:dyDescent="0.2">
      <c r="A4887">
        <v>848</v>
      </c>
      <c r="B4887" s="3" t="s">
        <v>84</v>
      </c>
      <c r="C4887" s="3" t="s">
        <v>85</v>
      </c>
      <c r="D4887" s="3">
        <v>1</v>
      </c>
      <c r="E4887" s="3">
        <v>102.3322</v>
      </c>
      <c r="F4887">
        <f t="shared" si="78"/>
        <v>102.3322</v>
      </c>
    </row>
    <row r="4888" spans="1:6" x14ac:dyDescent="0.2">
      <c r="A4888">
        <v>848</v>
      </c>
      <c r="B4888" s="3" t="s">
        <v>86</v>
      </c>
      <c r="C4888" s="3" t="s">
        <v>85</v>
      </c>
      <c r="D4888" s="3">
        <v>1</v>
      </c>
      <c r="E4888" s="3">
        <v>144.2646</v>
      </c>
      <c r="F4888">
        <f t="shared" si="78"/>
        <v>144.2646</v>
      </c>
    </row>
    <row r="4889" spans="1:6" x14ac:dyDescent="0.2">
      <c r="A4889">
        <v>848</v>
      </c>
      <c r="B4889" s="3" t="s">
        <v>87</v>
      </c>
      <c r="C4889" s="3" t="s">
        <v>88</v>
      </c>
      <c r="D4889" s="3">
        <v>3</v>
      </c>
      <c r="E4889" s="3">
        <v>162.0215</v>
      </c>
      <c r="F4889">
        <f t="shared" si="78"/>
        <v>486.06450000000001</v>
      </c>
    </row>
    <row r="4890" spans="1:6" x14ac:dyDescent="0.2">
      <c r="A4890">
        <v>848</v>
      </c>
      <c r="B4890" s="3" t="s">
        <v>89</v>
      </c>
      <c r="C4890" s="3" t="s">
        <v>85</v>
      </c>
      <c r="D4890" s="3">
        <v>1</v>
      </c>
      <c r="E4890" s="3">
        <v>211.0129</v>
      </c>
      <c r="F4890">
        <f t="shared" si="78"/>
        <v>211.0129</v>
      </c>
    </row>
    <row r="4891" spans="1:6" x14ac:dyDescent="0.2">
      <c r="A4891">
        <v>848</v>
      </c>
      <c r="B4891" s="3" t="s">
        <v>90</v>
      </c>
      <c r="C4891" s="3" t="s">
        <v>88</v>
      </c>
      <c r="D4891" s="3">
        <v>2</v>
      </c>
      <c r="E4891" s="3">
        <v>238.1635</v>
      </c>
      <c r="F4891">
        <f t="shared" si="78"/>
        <v>476.327</v>
      </c>
    </row>
    <row r="4892" spans="1:6" x14ac:dyDescent="0.2">
      <c r="A4892">
        <v>848</v>
      </c>
      <c r="B4892" s="3" t="s">
        <v>92</v>
      </c>
      <c r="C4892" s="3" t="s">
        <v>93</v>
      </c>
      <c r="D4892" s="3">
        <v>3</v>
      </c>
      <c r="E4892" s="3">
        <v>19.297499999999999</v>
      </c>
      <c r="F4892">
        <f t="shared" si="78"/>
        <v>57.892499999999998</v>
      </c>
    </row>
    <row r="4893" spans="1:6" x14ac:dyDescent="0.2">
      <c r="A4893">
        <v>848</v>
      </c>
      <c r="B4893" s="3" t="s">
        <v>94</v>
      </c>
      <c r="C4893" s="3" t="s">
        <v>95</v>
      </c>
      <c r="D4893" s="3">
        <v>6</v>
      </c>
      <c r="E4893" s="3">
        <v>644.46270000000004</v>
      </c>
      <c r="F4893">
        <f t="shared" si="78"/>
        <v>3866.7762000000002</v>
      </c>
    </row>
    <row r="4894" spans="1:6" x14ac:dyDescent="0.2">
      <c r="A4894">
        <v>848</v>
      </c>
      <c r="B4894" s="3" t="s">
        <v>236</v>
      </c>
      <c r="C4894" s="3" t="s">
        <v>237</v>
      </c>
      <c r="D4894" s="3">
        <v>6</v>
      </c>
      <c r="E4894" s="3">
        <v>132.80000000000001</v>
      </c>
      <c r="F4894">
        <f t="shared" si="78"/>
        <v>796.80000000000007</v>
      </c>
    </row>
    <row r="4895" spans="1:6" x14ac:dyDescent="0.2">
      <c r="A4895">
        <v>848</v>
      </c>
      <c r="B4895" s="3" t="s">
        <v>238</v>
      </c>
      <c r="C4895" s="3" t="s">
        <v>239</v>
      </c>
      <c r="D4895" s="3">
        <v>4</v>
      </c>
      <c r="E4895" s="3">
        <v>340.93849999999998</v>
      </c>
      <c r="F4895">
        <f t="shared" si="78"/>
        <v>1363.7539999999999</v>
      </c>
    </row>
    <row r="4896" spans="1:6" x14ac:dyDescent="0.2">
      <c r="A4896">
        <v>848</v>
      </c>
      <c r="B4896" s="3" t="s">
        <v>240</v>
      </c>
      <c r="C4896" s="3" t="s">
        <v>241</v>
      </c>
      <c r="D4896" s="3">
        <v>4</v>
      </c>
      <c r="E4896" s="3">
        <v>309.0154</v>
      </c>
      <c r="F4896">
        <f t="shared" si="78"/>
        <v>1236.0616</v>
      </c>
    </row>
    <row r="4897" spans="1:6" x14ac:dyDescent="0.2">
      <c r="A4897">
        <v>848</v>
      </c>
      <c r="B4897" s="3" t="s">
        <v>242</v>
      </c>
      <c r="C4897" s="3" t="s">
        <v>243</v>
      </c>
      <c r="D4897" s="3">
        <v>2</v>
      </c>
      <c r="E4897" s="3">
        <v>427.76920000000001</v>
      </c>
      <c r="F4897">
        <f t="shared" si="78"/>
        <v>855.53840000000002</v>
      </c>
    </row>
    <row r="4898" spans="1:6" x14ac:dyDescent="0.2">
      <c r="A4898">
        <v>848</v>
      </c>
      <c r="B4898" s="3" t="s">
        <v>244</v>
      </c>
      <c r="C4898" s="3" t="s">
        <v>184</v>
      </c>
      <c r="D4898" s="3">
        <v>4</v>
      </c>
      <c r="E4898" s="3">
        <v>18.643080000000001</v>
      </c>
      <c r="F4898">
        <f t="shared" si="78"/>
        <v>74.572320000000005</v>
      </c>
    </row>
    <row r="4899" spans="1:6" x14ac:dyDescent="0.2">
      <c r="A4899">
        <v>848</v>
      </c>
      <c r="B4899" s="3" t="s">
        <v>245</v>
      </c>
      <c r="C4899" s="3" t="s">
        <v>246</v>
      </c>
      <c r="D4899" s="3">
        <v>8</v>
      </c>
      <c r="E4899" s="3">
        <v>0.44819999999999999</v>
      </c>
      <c r="F4899">
        <f t="shared" si="78"/>
        <v>3.5855999999999999</v>
      </c>
    </row>
    <row r="4900" spans="1:6" x14ac:dyDescent="0.2">
      <c r="A4900">
        <v>848</v>
      </c>
      <c r="B4900" s="3" t="s">
        <v>75</v>
      </c>
      <c r="C4900" s="3" t="s">
        <v>247</v>
      </c>
      <c r="D4900" s="3">
        <v>8</v>
      </c>
      <c r="E4900" s="3">
        <v>0.115385</v>
      </c>
      <c r="F4900">
        <f t="shared" si="78"/>
        <v>0.92308000000000001</v>
      </c>
    </row>
    <row r="4901" spans="1:6" x14ac:dyDescent="0.2">
      <c r="A4901">
        <v>848</v>
      </c>
      <c r="B4901" s="3" t="s">
        <v>197</v>
      </c>
      <c r="C4901" s="3" t="s">
        <v>117</v>
      </c>
      <c r="D4901" s="3">
        <v>8</v>
      </c>
      <c r="E4901" s="3">
        <v>7.4700000000000003E-2</v>
      </c>
      <c r="F4901">
        <f t="shared" si="78"/>
        <v>0.59760000000000002</v>
      </c>
    </row>
    <row r="4902" spans="1:6" x14ac:dyDescent="0.2">
      <c r="A4902">
        <v>848</v>
      </c>
      <c r="B4902" s="3" t="s">
        <v>248</v>
      </c>
      <c r="C4902" s="3" t="s">
        <v>249</v>
      </c>
      <c r="D4902" s="3">
        <v>1</v>
      </c>
      <c r="E4902" s="3">
        <v>31064.98</v>
      </c>
      <c r="F4902">
        <f t="shared" si="78"/>
        <v>31064.98</v>
      </c>
    </row>
    <row r="4903" spans="1:6" x14ac:dyDescent="0.2">
      <c r="A4903">
        <v>848</v>
      </c>
      <c r="B4903" s="3" t="s">
        <v>250</v>
      </c>
      <c r="C4903" s="3" t="s">
        <v>251</v>
      </c>
      <c r="D4903" s="3">
        <v>2</v>
      </c>
      <c r="E4903" s="3">
        <v>564.5412</v>
      </c>
      <c r="F4903">
        <f t="shared" si="78"/>
        <v>1129.0824</v>
      </c>
    </row>
    <row r="4904" spans="1:6" x14ac:dyDescent="0.2">
      <c r="A4904">
        <v>848</v>
      </c>
      <c r="B4904" s="3" t="s">
        <v>146</v>
      </c>
      <c r="C4904" s="3" t="s">
        <v>147</v>
      </c>
      <c r="D4904" s="3">
        <v>3</v>
      </c>
      <c r="E4904" s="3">
        <v>8021.5770000000002</v>
      </c>
      <c r="F4904">
        <f t="shared" si="78"/>
        <v>24064.731</v>
      </c>
    </row>
    <row r="4905" spans="1:6" x14ac:dyDescent="0.2">
      <c r="A4905">
        <v>848</v>
      </c>
      <c r="B4905" s="3" t="s">
        <v>215</v>
      </c>
      <c r="C4905" s="3" t="s">
        <v>208</v>
      </c>
      <c r="D4905" s="3">
        <v>1</v>
      </c>
      <c r="E4905" s="3">
        <v>1.4289810000000001</v>
      </c>
      <c r="F4905">
        <f t="shared" si="78"/>
        <v>1.4289810000000001</v>
      </c>
    </row>
    <row r="4906" spans="1:6" x14ac:dyDescent="0.2">
      <c r="A4906">
        <v>848</v>
      </c>
      <c r="B4906" s="3" t="s">
        <v>200</v>
      </c>
      <c r="C4906" s="3" t="s">
        <v>199</v>
      </c>
      <c r="D4906" s="3">
        <v>3</v>
      </c>
      <c r="E4906" s="3">
        <v>0.66373400000000005</v>
      </c>
      <c r="F4906">
        <f t="shared" si="78"/>
        <v>1.9912020000000001</v>
      </c>
    </row>
    <row r="4907" spans="1:6" x14ac:dyDescent="0.2">
      <c r="A4907">
        <v>848</v>
      </c>
      <c r="B4907" s="3" t="s">
        <v>216</v>
      </c>
      <c r="C4907" s="3" t="s">
        <v>199</v>
      </c>
      <c r="D4907" s="3">
        <v>3</v>
      </c>
      <c r="E4907" s="3">
        <v>0.66400000000000003</v>
      </c>
      <c r="F4907">
        <f t="shared" si="78"/>
        <v>1.992</v>
      </c>
    </row>
    <row r="4908" spans="1:6" x14ac:dyDescent="0.2">
      <c r="A4908">
        <v>848</v>
      </c>
      <c r="B4908" s="3" t="s">
        <v>217</v>
      </c>
      <c r="C4908" s="3" t="s">
        <v>199</v>
      </c>
      <c r="D4908" s="3">
        <v>1</v>
      </c>
      <c r="E4908" s="3">
        <v>4.2164000000000001</v>
      </c>
      <c r="F4908">
        <f t="shared" si="78"/>
        <v>4.2164000000000001</v>
      </c>
    </row>
    <row r="4909" spans="1:6" x14ac:dyDescent="0.2">
      <c r="A4909">
        <v>848</v>
      </c>
      <c r="B4909" s="3" t="s">
        <v>218</v>
      </c>
      <c r="C4909" s="3" t="s">
        <v>208</v>
      </c>
      <c r="D4909" s="3">
        <v>1</v>
      </c>
      <c r="E4909" s="3">
        <v>7.3455000000000004</v>
      </c>
      <c r="F4909">
        <f t="shared" si="78"/>
        <v>7.3455000000000004</v>
      </c>
    </row>
    <row r="4910" spans="1:6" x14ac:dyDescent="0.2">
      <c r="A4910">
        <v>848</v>
      </c>
      <c r="B4910" s="3" t="s">
        <v>219</v>
      </c>
      <c r="C4910" s="3" t="s">
        <v>199</v>
      </c>
      <c r="D4910" s="3">
        <v>3</v>
      </c>
      <c r="E4910" s="3">
        <v>1.4774</v>
      </c>
      <c r="F4910">
        <f t="shared" si="78"/>
        <v>4.4321999999999999</v>
      </c>
    </row>
    <row r="4911" spans="1:6" x14ac:dyDescent="0.2">
      <c r="A4911">
        <v>848</v>
      </c>
      <c r="B4911" s="3" t="s">
        <v>220</v>
      </c>
      <c r="C4911" s="3" t="s">
        <v>208</v>
      </c>
      <c r="D4911" s="3">
        <v>1</v>
      </c>
      <c r="E4911" s="3">
        <v>3.7267000000000001</v>
      </c>
      <c r="F4911">
        <f t="shared" si="78"/>
        <v>3.7267000000000001</v>
      </c>
    </row>
    <row r="4912" spans="1:6" x14ac:dyDescent="0.2">
      <c r="A4912">
        <v>848</v>
      </c>
      <c r="B4912" s="3" t="s">
        <v>221</v>
      </c>
      <c r="C4912" s="3" t="s">
        <v>199</v>
      </c>
      <c r="D4912" s="3">
        <v>6</v>
      </c>
      <c r="E4912" s="3">
        <v>0.97940000000000005</v>
      </c>
      <c r="F4912">
        <f t="shared" si="78"/>
        <v>5.8764000000000003</v>
      </c>
    </row>
    <row r="4913" spans="1:6" x14ac:dyDescent="0.2">
      <c r="A4913">
        <v>848</v>
      </c>
      <c r="B4913" s="3" t="s">
        <v>222</v>
      </c>
      <c r="C4913" s="3" t="s">
        <v>208</v>
      </c>
      <c r="D4913" s="3">
        <v>2</v>
      </c>
      <c r="E4913" s="3">
        <v>6.0673000000000004</v>
      </c>
      <c r="F4913">
        <f t="shared" si="78"/>
        <v>12.134600000000001</v>
      </c>
    </row>
    <row r="4914" spans="1:6" x14ac:dyDescent="0.2">
      <c r="A4914">
        <v>848</v>
      </c>
      <c r="B4914" s="3" t="s">
        <v>223</v>
      </c>
      <c r="C4914" s="3" t="s">
        <v>224</v>
      </c>
      <c r="D4914" s="3">
        <v>1</v>
      </c>
      <c r="E4914" s="3">
        <v>19.4635</v>
      </c>
      <c r="F4914">
        <f t="shared" si="78"/>
        <v>19.4635</v>
      </c>
    </row>
    <row r="4915" spans="1:6" x14ac:dyDescent="0.2">
      <c r="A4915">
        <v>848</v>
      </c>
      <c r="B4915" s="3" t="s">
        <v>225</v>
      </c>
      <c r="C4915" s="3" t="s">
        <v>226</v>
      </c>
      <c r="D4915" s="3">
        <v>1</v>
      </c>
      <c r="E4915" s="3">
        <v>10.22151</v>
      </c>
      <c r="F4915">
        <f t="shared" si="78"/>
        <v>10.22151</v>
      </c>
    </row>
    <row r="4916" spans="1:6" x14ac:dyDescent="0.2">
      <c r="A4916">
        <v>848</v>
      </c>
      <c r="B4916" s="3" t="s">
        <v>227</v>
      </c>
      <c r="C4916" s="3" t="s">
        <v>208</v>
      </c>
      <c r="D4916" s="3">
        <v>5</v>
      </c>
      <c r="E4916" s="3">
        <v>3.6307689999999999</v>
      </c>
      <c r="F4916">
        <f t="shared" si="78"/>
        <v>18.153845</v>
      </c>
    </row>
    <row r="4917" spans="1:6" x14ac:dyDescent="0.2">
      <c r="A4917">
        <v>848</v>
      </c>
      <c r="B4917" s="3" t="s">
        <v>228</v>
      </c>
      <c r="C4917" s="3" t="s">
        <v>229</v>
      </c>
      <c r="D4917" s="3">
        <v>1</v>
      </c>
      <c r="E4917" s="3">
        <v>306.94979999999998</v>
      </c>
      <c r="F4917">
        <f t="shared" si="78"/>
        <v>306.94979999999998</v>
      </c>
    </row>
    <row r="4918" spans="1:6" x14ac:dyDescent="0.2">
      <c r="A4918">
        <v>848</v>
      </c>
      <c r="B4918" s="3" t="s">
        <v>116</v>
      </c>
      <c r="C4918" s="3" t="s">
        <v>117</v>
      </c>
      <c r="D4918" s="3">
        <v>7</v>
      </c>
      <c r="E4918" s="3">
        <v>0.25729999999999997</v>
      </c>
      <c r="F4918">
        <f t="shared" si="78"/>
        <v>1.8010999999999999</v>
      </c>
    </row>
    <row r="4919" spans="1:6" x14ac:dyDescent="0.2">
      <c r="A4919">
        <v>848</v>
      </c>
      <c r="B4919" s="3" t="s">
        <v>78</v>
      </c>
      <c r="C4919" s="3" t="s">
        <v>76</v>
      </c>
      <c r="D4919" s="3">
        <v>7</v>
      </c>
      <c r="E4919" s="3">
        <v>0.71839500000000001</v>
      </c>
      <c r="F4919">
        <f t="shared" si="78"/>
        <v>5.0287649999999999</v>
      </c>
    </row>
    <row r="4920" spans="1:6" x14ac:dyDescent="0.2">
      <c r="A4920">
        <v>848</v>
      </c>
      <c r="B4920" s="3" t="s">
        <v>231</v>
      </c>
      <c r="C4920" s="3" t="s">
        <v>208</v>
      </c>
      <c r="D4920" s="3">
        <v>4</v>
      </c>
      <c r="E4920" s="3">
        <v>2.0832999999999999</v>
      </c>
      <c r="F4920">
        <f t="shared" si="78"/>
        <v>8.3331999999999997</v>
      </c>
    </row>
    <row r="4921" spans="1:6" x14ac:dyDescent="0.2">
      <c r="A4921">
        <v>848</v>
      </c>
      <c r="B4921" s="3" t="s">
        <v>232</v>
      </c>
      <c r="C4921" s="3" t="s">
        <v>119</v>
      </c>
      <c r="D4921" s="3">
        <v>7</v>
      </c>
      <c r="E4921" s="3">
        <v>1.5935999999999999</v>
      </c>
      <c r="F4921">
        <f t="shared" si="78"/>
        <v>11.155199999999999</v>
      </c>
    </row>
    <row r="4922" spans="1:6" x14ac:dyDescent="0.2">
      <c r="A4922">
        <v>848</v>
      </c>
      <c r="B4922" s="3" t="s">
        <v>233</v>
      </c>
      <c r="C4922" s="3" t="s">
        <v>234</v>
      </c>
      <c r="D4922" s="3">
        <v>1</v>
      </c>
      <c r="E4922" s="3">
        <v>3989.2950000000001</v>
      </c>
      <c r="F4922">
        <f t="shared" si="78"/>
        <v>3989.2950000000001</v>
      </c>
    </row>
    <row r="4923" spans="1:6" x14ac:dyDescent="0.2">
      <c r="A4923">
        <v>848</v>
      </c>
      <c r="B4923" s="3" t="s">
        <v>142</v>
      </c>
      <c r="C4923" s="3" t="s">
        <v>143</v>
      </c>
      <c r="D4923" s="3">
        <v>2</v>
      </c>
      <c r="E4923" s="3">
        <v>18141.64</v>
      </c>
      <c r="F4923">
        <f t="shared" si="78"/>
        <v>36283.279999999999</v>
      </c>
    </row>
    <row r="4924" spans="1:6" x14ac:dyDescent="0.2">
      <c r="A4924">
        <v>848</v>
      </c>
      <c r="B4924" s="3" t="s">
        <v>144</v>
      </c>
      <c r="C4924" s="3" t="s">
        <v>145</v>
      </c>
      <c r="D4924" s="3">
        <v>2</v>
      </c>
      <c r="E4924" s="3">
        <v>7346.6769999999997</v>
      </c>
      <c r="F4924">
        <f t="shared" si="78"/>
        <v>14693.353999999999</v>
      </c>
    </row>
    <row r="4925" spans="1:6" x14ac:dyDescent="0.2">
      <c r="A4925">
        <v>848</v>
      </c>
      <c r="B4925" s="3" t="s">
        <v>197</v>
      </c>
      <c r="C4925" s="3" t="s">
        <v>117</v>
      </c>
      <c r="D4925" s="3">
        <v>16</v>
      </c>
      <c r="E4925" s="3">
        <v>7.4700000000000003E-2</v>
      </c>
      <c r="F4925">
        <f t="shared" si="78"/>
        <v>1.1952</v>
      </c>
    </row>
    <row r="4926" spans="1:6" x14ac:dyDescent="0.2">
      <c r="A4926">
        <v>848</v>
      </c>
      <c r="B4926" s="3" t="s">
        <v>198</v>
      </c>
      <c r="C4926" s="3" t="s">
        <v>199</v>
      </c>
      <c r="D4926" s="3">
        <v>4</v>
      </c>
      <c r="E4926" s="3">
        <v>0.66373400000000005</v>
      </c>
      <c r="F4926">
        <f t="shared" si="78"/>
        <v>2.6549360000000002</v>
      </c>
    </row>
    <row r="4927" spans="1:6" x14ac:dyDescent="0.2">
      <c r="A4927">
        <v>848</v>
      </c>
      <c r="B4927" s="3" t="s">
        <v>200</v>
      </c>
      <c r="C4927" s="3" t="s">
        <v>199</v>
      </c>
      <c r="D4927" s="3">
        <v>4</v>
      </c>
      <c r="E4927" s="3">
        <v>0.66373400000000005</v>
      </c>
      <c r="F4927">
        <f t="shared" si="78"/>
        <v>2.6549360000000002</v>
      </c>
    </row>
    <row r="4928" spans="1:6" x14ac:dyDescent="0.2">
      <c r="A4928">
        <v>848</v>
      </c>
      <c r="B4928" s="3" t="s">
        <v>201</v>
      </c>
      <c r="C4928" s="3" t="s">
        <v>76</v>
      </c>
      <c r="D4928" s="3">
        <v>16</v>
      </c>
      <c r="E4928" s="3">
        <v>0.22645100000000001</v>
      </c>
      <c r="F4928">
        <f t="shared" si="78"/>
        <v>3.6232160000000002</v>
      </c>
    </row>
    <row r="4929" spans="1:6" x14ac:dyDescent="0.2">
      <c r="A4929">
        <v>848</v>
      </c>
      <c r="B4929" s="3" t="s">
        <v>202</v>
      </c>
      <c r="C4929" s="3" t="s">
        <v>203</v>
      </c>
      <c r="D4929" s="3">
        <v>8</v>
      </c>
      <c r="E4929" s="3">
        <v>12.45</v>
      </c>
      <c r="F4929">
        <f t="shared" si="78"/>
        <v>99.6</v>
      </c>
    </row>
    <row r="4930" spans="1:6" x14ac:dyDescent="0.2">
      <c r="A4930">
        <v>848</v>
      </c>
      <c r="B4930" s="3" t="s">
        <v>204</v>
      </c>
      <c r="C4930" s="3" t="s">
        <v>205</v>
      </c>
      <c r="D4930" s="3">
        <v>2</v>
      </c>
      <c r="E4930" s="3">
        <v>103.7222</v>
      </c>
      <c r="F4930">
        <f t="shared" si="78"/>
        <v>207.4444</v>
      </c>
    </row>
    <row r="4931" spans="1:6" x14ac:dyDescent="0.2">
      <c r="A4931">
        <v>848</v>
      </c>
      <c r="B4931" s="3" t="s">
        <v>116</v>
      </c>
      <c r="C4931" s="3" t="s">
        <v>117</v>
      </c>
      <c r="D4931" s="3">
        <v>8</v>
      </c>
      <c r="E4931" s="3">
        <v>0.25729999999999997</v>
      </c>
      <c r="F4931">
        <f t="shared" si="78"/>
        <v>2.0583999999999998</v>
      </c>
    </row>
    <row r="4932" spans="1:6" x14ac:dyDescent="0.2">
      <c r="A4932">
        <v>848</v>
      </c>
      <c r="B4932" s="3" t="s">
        <v>78</v>
      </c>
      <c r="C4932" s="3" t="s">
        <v>76</v>
      </c>
      <c r="D4932" s="3">
        <v>8</v>
      </c>
      <c r="E4932" s="3">
        <v>0.71839500000000001</v>
      </c>
      <c r="F4932">
        <f t="shared" si="78"/>
        <v>5.74716</v>
      </c>
    </row>
    <row r="4933" spans="1:6" x14ac:dyDescent="0.2">
      <c r="A4933">
        <v>848</v>
      </c>
      <c r="B4933" s="3" t="s">
        <v>207</v>
      </c>
      <c r="C4933" s="3" t="s">
        <v>208</v>
      </c>
      <c r="D4933" s="3">
        <v>2</v>
      </c>
      <c r="E4933" s="3">
        <v>4.6314000000000002</v>
      </c>
      <c r="F4933">
        <f t="shared" si="78"/>
        <v>9.2628000000000004</v>
      </c>
    </row>
    <row r="4934" spans="1:6" x14ac:dyDescent="0.2">
      <c r="A4934">
        <v>848</v>
      </c>
      <c r="B4934" s="3" t="s">
        <v>209</v>
      </c>
      <c r="C4934" s="3" t="s">
        <v>210</v>
      </c>
      <c r="D4934" s="3">
        <v>2</v>
      </c>
      <c r="E4934" s="3">
        <v>39.550759999999997</v>
      </c>
      <c r="F4934">
        <f t="shared" si="78"/>
        <v>79.101519999999994</v>
      </c>
    </row>
    <row r="4935" spans="1:6" x14ac:dyDescent="0.2">
      <c r="A4935">
        <v>848</v>
      </c>
      <c r="B4935" s="3" t="s">
        <v>211</v>
      </c>
      <c r="C4935" s="3" t="s">
        <v>203</v>
      </c>
      <c r="D4935" s="3">
        <v>4</v>
      </c>
      <c r="E4935" s="3">
        <v>25.754899999999999</v>
      </c>
      <c r="F4935">
        <f t="shared" si="78"/>
        <v>103.0196</v>
      </c>
    </row>
    <row r="4936" spans="1:6" x14ac:dyDescent="0.2">
      <c r="A4936">
        <v>848</v>
      </c>
      <c r="B4936" s="3" t="s">
        <v>212</v>
      </c>
      <c r="C4936" s="3" t="s">
        <v>213</v>
      </c>
      <c r="D4936" s="3">
        <v>2</v>
      </c>
      <c r="E4936" s="3">
        <v>272.92059999999998</v>
      </c>
      <c r="F4936">
        <f t="shared" si="78"/>
        <v>545.84119999999996</v>
      </c>
    </row>
    <row r="4937" spans="1:6" x14ac:dyDescent="0.2">
      <c r="A4937">
        <v>848</v>
      </c>
      <c r="B4937" s="3" t="s">
        <v>149</v>
      </c>
      <c r="C4937" s="3" t="s">
        <v>150</v>
      </c>
      <c r="D4937" s="3">
        <v>1</v>
      </c>
      <c r="E4937" s="3">
        <v>0.70550000000000002</v>
      </c>
      <c r="F4937">
        <f t="shared" si="78"/>
        <v>0.70550000000000002</v>
      </c>
    </row>
    <row r="4938" spans="1:6" x14ac:dyDescent="0.2">
      <c r="A4938">
        <v>848</v>
      </c>
      <c r="B4938" s="3" t="s">
        <v>151</v>
      </c>
      <c r="C4938" s="3" t="s">
        <v>152</v>
      </c>
      <c r="D4938" s="3">
        <v>1</v>
      </c>
      <c r="E4938" s="3">
        <v>5.6191000000000004</v>
      </c>
      <c r="F4938">
        <f t="shared" si="78"/>
        <v>5.6191000000000004</v>
      </c>
    </row>
    <row r="4939" spans="1:6" x14ac:dyDescent="0.2">
      <c r="A4939">
        <v>848</v>
      </c>
      <c r="B4939" s="3" t="s">
        <v>153</v>
      </c>
      <c r="C4939" s="3" t="s">
        <v>119</v>
      </c>
      <c r="D4939" s="3">
        <v>5</v>
      </c>
      <c r="E4939" s="3">
        <v>1.116636</v>
      </c>
      <c r="F4939">
        <f t="shared" si="78"/>
        <v>5.5831799999999996</v>
      </c>
    </row>
    <row r="4940" spans="1:6" x14ac:dyDescent="0.2">
      <c r="A4940">
        <v>848</v>
      </c>
      <c r="B4940" s="3" t="s">
        <v>154</v>
      </c>
      <c r="C4940" s="3" t="s">
        <v>117</v>
      </c>
      <c r="D4940" s="3">
        <v>5</v>
      </c>
      <c r="E4940" s="3">
        <v>4.3658000000000001</v>
      </c>
      <c r="F4940">
        <f t="shared" ref="F4940:F5003" si="79">D4940*E4940</f>
        <v>21.829000000000001</v>
      </c>
    </row>
    <row r="4941" spans="1:6" x14ac:dyDescent="0.2">
      <c r="A4941">
        <v>848</v>
      </c>
      <c r="B4941" s="3" t="s">
        <v>155</v>
      </c>
      <c r="C4941" s="3" t="s">
        <v>156</v>
      </c>
      <c r="D4941" s="3">
        <v>1</v>
      </c>
      <c r="E4941" s="3">
        <v>28.552</v>
      </c>
      <c r="F4941">
        <f t="shared" si="79"/>
        <v>28.552</v>
      </c>
    </row>
    <row r="4942" spans="1:6" x14ac:dyDescent="0.2">
      <c r="A4942">
        <v>848</v>
      </c>
      <c r="B4942" s="3" t="s">
        <v>157</v>
      </c>
      <c r="C4942" s="3" t="s">
        <v>158</v>
      </c>
      <c r="D4942" s="3">
        <v>1</v>
      </c>
      <c r="E4942" s="3">
        <v>29.456700000000001</v>
      </c>
      <c r="F4942">
        <f t="shared" si="79"/>
        <v>29.456700000000001</v>
      </c>
    </row>
    <row r="4943" spans="1:6" x14ac:dyDescent="0.2">
      <c r="A4943">
        <v>848</v>
      </c>
      <c r="B4943" s="3" t="s">
        <v>159</v>
      </c>
      <c r="C4943" s="3" t="s">
        <v>117</v>
      </c>
      <c r="D4943" s="3">
        <v>3</v>
      </c>
      <c r="E4943" s="3">
        <v>11.976900000000001</v>
      </c>
      <c r="F4943">
        <f t="shared" si="79"/>
        <v>35.930700000000002</v>
      </c>
    </row>
    <row r="4944" spans="1:6" x14ac:dyDescent="0.2">
      <c r="A4944">
        <v>848</v>
      </c>
      <c r="B4944" s="3" t="s">
        <v>116</v>
      </c>
      <c r="C4944" s="3" t="s">
        <v>117</v>
      </c>
      <c r="D4944" s="3">
        <v>168</v>
      </c>
      <c r="E4944" s="3">
        <v>0.25729999999999997</v>
      </c>
      <c r="F4944">
        <f t="shared" si="79"/>
        <v>43.226399999999998</v>
      </c>
    </row>
    <row r="4945" spans="1:6" x14ac:dyDescent="0.2">
      <c r="A4945">
        <v>848</v>
      </c>
      <c r="B4945" s="3" t="s">
        <v>160</v>
      </c>
      <c r="C4945" s="3" t="s">
        <v>161</v>
      </c>
      <c r="D4945" s="3">
        <v>3</v>
      </c>
      <c r="E4945" s="3">
        <v>15.9194</v>
      </c>
      <c r="F4945">
        <f t="shared" si="79"/>
        <v>47.758200000000002</v>
      </c>
    </row>
    <row r="4946" spans="1:6" x14ac:dyDescent="0.2">
      <c r="A4946">
        <v>848</v>
      </c>
      <c r="B4946" s="3" t="s">
        <v>162</v>
      </c>
      <c r="C4946" s="3" t="s">
        <v>163</v>
      </c>
      <c r="D4946" s="3">
        <v>1</v>
      </c>
      <c r="E4946" s="3">
        <v>62.822699999999998</v>
      </c>
      <c r="F4946">
        <f t="shared" si="79"/>
        <v>62.822699999999998</v>
      </c>
    </row>
    <row r="4947" spans="1:6" x14ac:dyDescent="0.2">
      <c r="A4947">
        <v>848</v>
      </c>
      <c r="B4947" s="3" t="s">
        <v>164</v>
      </c>
      <c r="C4947" s="3" t="s">
        <v>165</v>
      </c>
      <c r="D4947" s="3">
        <v>3</v>
      </c>
      <c r="E4947" s="3">
        <v>29.382000000000001</v>
      </c>
      <c r="F4947">
        <f t="shared" si="79"/>
        <v>88.146000000000001</v>
      </c>
    </row>
    <row r="4948" spans="1:6" x14ac:dyDescent="0.2">
      <c r="A4948">
        <v>848</v>
      </c>
      <c r="B4948" s="3" t="s">
        <v>166</v>
      </c>
      <c r="C4948" s="3" t="s">
        <v>76</v>
      </c>
      <c r="D4948" s="3">
        <v>84</v>
      </c>
      <c r="E4948" s="3">
        <v>0.97109999999999996</v>
      </c>
      <c r="F4948">
        <f t="shared" si="79"/>
        <v>81.572400000000002</v>
      </c>
    </row>
    <row r="4949" spans="1:6" x14ac:dyDescent="0.2">
      <c r="A4949">
        <v>848</v>
      </c>
      <c r="B4949" s="3" t="s">
        <v>167</v>
      </c>
      <c r="C4949" s="3" t="s">
        <v>168</v>
      </c>
      <c r="D4949" s="3">
        <v>2</v>
      </c>
      <c r="E4949" s="3">
        <v>68.201099999999997</v>
      </c>
      <c r="F4949">
        <f t="shared" si="79"/>
        <v>136.40219999999999</v>
      </c>
    </row>
    <row r="4950" spans="1:6" x14ac:dyDescent="0.2">
      <c r="A4950">
        <v>848</v>
      </c>
      <c r="B4950" s="3" t="s">
        <v>169</v>
      </c>
      <c r="C4950" s="3" t="s">
        <v>119</v>
      </c>
      <c r="D4950" s="3">
        <v>3</v>
      </c>
      <c r="E4950" s="3">
        <v>26.078600000000002</v>
      </c>
      <c r="F4950">
        <f t="shared" si="79"/>
        <v>78.235800000000012</v>
      </c>
    </row>
    <row r="4951" spans="1:6" x14ac:dyDescent="0.2">
      <c r="A4951">
        <v>848</v>
      </c>
      <c r="B4951" s="3" t="s">
        <v>170</v>
      </c>
      <c r="C4951" s="3" t="s">
        <v>171</v>
      </c>
      <c r="D4951" s="3">
        <v>8</v>
      </c>
      <c r="E4951" s="3">
        <v>15.438000000000001</v>
      </c>
      <c r="F4951">
        <f t="shared" si="79"/>
        <v>123.504</v>
      </c>
    </row>
    <row r="4952" spans="1:6" x14ac:dyDescent="0.2">
      <c r="A4952">
        <v>848</v>
      </c>
      <c r="B4952" s="3" t="s">
        <v>172</v>
      </c>
      <c r="C4952" s="3" t="s">
        <v>173</v>
      </c>
      <c r="D4952" s="3">
        <v>1</v>
      </c>
      <c r="E4952" s="3">
        <v>158.41380000000001</v>
      </c>
      <c r="F4952">
        <f t="shared" si="79"/>
        <v>158.41380000000001</v>
      </c>
    </row>
    <row r="4953" spans="1:6" x14ac:dyDescent="0.2">
      <c r="A4953">
        <v>848</v>
      </c>
      <c r="B4953" s="3" t="s">
        <v>174</v>
      </c>
      <c r="C4953" s="3" t="s">
        <v>119</v>
      </c>
      <c r="D4953" s="3">
        <v>118</v>
      </c>
      <c r="E4953" s="3">
        <v>1.2616000000000001</v>
      </c>
      <c r="F4953">
        <f t="shared" si="79"/>
        <v>148.86879999999999</v>
      </c>
    </row>
    <row r="4954" spans="1:6" x14ac:dyDescent="0.2">
      <c r="A4954">
        <v>848</v>
      </c>
      <c r="B4954" s="3" t="s">
        <v>175</v>
      </c>
      <c r="C4954" s="3" t="s">
        <v>176</v>
      </c>
      <c r="D4954" s="3">
        <v>1</v>
      </c>
      <c r="E4954" s="3">
        <v>194.7595</v>
      </c>
      <c r="F4954">
        <f t="shared" si="79"/>
        <v>194.7595</v>
      </c>
    </row>
    <row r="4955" spans="1:6" x14ac:dyDescent="0.2">
      <c r="A4955">
        <v>848</v>
      </c>
      <c r="B4955" s="3" t="s">
        <v>177</v>
      </c>
      <c r="C4955" s="3" t="s">
        <v>178</v>
      </c>
      <c r="D4955" s="3">
        <v>1</v>
      </c>
      <c r="E4955" s="3">
        <v>1660.624</v>
      </c>
      <c r="F4955">
        <f t="shared" si="79"/>
        <v>1660.624</v>
      </c>
    </row>
    <row r="4956" spans="1:6" x14ac:dyDescent="0.2">
      <c r="A4956">
        <v>848</v>
      </c>
      <c r="B4956" s="3" t="s">
        <v>179</v>
      </c>
      <c r="C4956" s="3" t="s">
        <v>119</v>
      </c>
      <c r="D4956" s="3">
        <v>12</v>
      </c>
      <c r="E4956" s="3">
        <v>32.444699999999997</v>
      </c>
      <c r="F4956">
        <f t="shared" si="79"/>
        <v>389.33639999999997</v>
      </c>
    </row>
    <row r="4957" spans="1:6" x14ac:dyDescent="0.2">
      <c r="A4957">
        <v>848</v>
      </c>
      <c r="B4957" s="3" t="s">
        <v>180</v>
      </c>
      <c r="C4957" s="3" t="s">
        <v>181</v>
      </c>
      <c r="D4957" s="3">
        <v>8</v>
      </c>
      <c r="E4957" s="3">
        <v>64.117500000000007</v>
      </c>
      <c r="F4957">
        <f t="shared" si="79"/>
        <v>512.94000000000005</v>
      </c>
    </row>
    <row r="4958" spans="1:6" x14ac:dyDescent="0.2">
      <c r="A4958">
        <v>848</v>
      </c>
      <c r="B4958" s="3" t="s">
        <v>182</v>
      </c>
      <c r="C4958" s="3" t="s">
        <v>158</v>
      </c>
      <c r="D4958" s="3">
        <v>6</v>
      </c>
      <c r="E4958" s="3">
        <v>80.78819</v>
      </c>
      <c r="F4958">
        <f t="shared" si="79"/>
        <v>484.72914000000003</v>
      </c>
    </row>
    <row r="4959" spans="1:6" x14ac:dyDescent="0.2">
      <c r="A4959">
        <v>848</v>
      </c>
      <c r="B4959" s="3" t="s">
        <v>183</v>
      </c>
      <c r="C4959" s="3" t="s">
        <v>184</v>
      </c>
      <c r="D4959" s="3">
        <v>1</v>
      </c>
      <c r="E4959" s="3">
        <v>548.61540000000002</v>
      </c>
      <c r="F4959">
        <f t="shared" si="79"/>
        <v>548.61540000000002</v>
      </c>
    </row>
    <row r="4960" spans="1:6" x14ac:dyDescent="0.2">
      <c r="A4960">
        <v>848</v>
      </c>
      <c r="B4960" s="3" t="s">
        <v>185</v>
      </c>
      <c r="C4960" s="3" t="s">
        <v>186</v>
      </c>
      <c r="D4960" s="3">
        <v>3</v>
      </c>
      <c r="E4960" s="3">
        <v>278.05</v>
      </c>
      <c r="F4960">
        <f t="shared" si="79"/>
        <v>834.15000000000009</v>
      </c>
    </row>
    <row r="4961" spans="1:6" x14ac:dyDescent="0.2">
      <c r="A4961">
        <v>848</v>
      </c>
      <c r="B4961" s="3" t="s">
        <v>187</v>
      </c>
      <c r="C4961" s="3" t="s">
        <v>188</v>
      </c>
      <c r="D4961" s="3">
        <v>8</v>
      </c>
      <c r="E4961" s="3">
        <v>105.0365</v>
      </c>
      <c r="F4961">
        <f t="shared" si="79"/>
        <v>840.29200000000003</v>
      </c>
    </row>
    <row r="4962" spans="1:6" x14ac:dyDescent="0.2">
      <c r="A4962">
        <v>848</v>
      </c>
      <c r="B4962" s="3" t="s">
        <v>189</v>
      </c>
      <c r="C4962" s="3" t="s">
        <v>163</v>
      </c>
      <c r="D4962" s="3">
        <v>6</v>
      </c>
      <c r="E4962" s="3">
        <v>154.25970000000001</v>
      </c>
      <c r="F4962">
        <f t="shared" si="79"/>
        <v>925.55820000000006</v>
      </c>
    </row>
    <row r="4963" spans="1:6" x14ac:dyDescent="0.2">
      <c r="A4963">
        <v>848</v>
      </c>
      <c r="B4963" s="3" t="s">
        <v>190</v>
      </c>
      <c r="C4963" s="3" t="s">
        <v>191</v>
      </c>
      <c r="D4963" s="3">
        <v>1</v>
      </c>
      <c r="E4963" s="3">
        <v>1397.886</v>
      </c>
      <c r="F4963">
        <f t="shared" si="79"/>
        <v>1397.886</v>
      </c>
    </row>
    <row r="4964" spans="1:6" x14ac:dyDescent="0.2">
      <c r="A4964">
        <v>848</v>
      </c>
      <c r="B4964" s="3" t="s">
        <v>192</v>
      </c>
      <c r="C4964" s="3" t="s">
        <v>193</v>
      </c>
      <c r="D4964" s="3">
        <v>2</v>
      </c>
      <c r="E4964" s="3">
        <v>843.03639999999996</v>
      </c>
      <c r="F4964">
        <f t="shared" si="79"/>
        <v>1686.0727999999999</v>
      </c>
    </row>
    <row r="4965" spans="1:6" x14ac:dyDescent="0.2">
      <c r="A4965">
        <v>848</v>
      </c>
      <c r="B4965" s="3" t="s">
        <v>194</v>
      </c>
      <c r="C4965" s="3" t="s">
        <v>193</v>
      </c>
      <c r="D4965" s="3">
        <v>8</v>
      </c>
      <c r="E4965" s="3">
        <v>868.20489999999995</v>
      </c>
      <c r="F4965">
        <f t="shared" si="79"/>
        <v>6945.6391999999996</v>
      </c>
    </row>
    <row r="4966" spans="1:6" x14ac:dyDescent="0.2">
      <c r="A4966">
        <v>848</v>
      </c>
      <c r="B4966" s="3" t="s">
        <v>195</v>
      </c>
      <c r="C4966" s="3" t="s">
        <v>117</v>
      </c>
      <c r="D4966" s="3">
        <v>2</v>
      </c>
      <c r="E4966" s="3">
        <v>1.0375000000000001</v>
      </c>
      <c r="F4966">
        <f t="shared" si="79"/>
        <v>2.0750000000000002</v>
      </c>
    </row>
    <row r="4967" spans="1:6" x14ac:dyDescent="0.2">
      <c r="A4967">
        <v>848</v>
      </c>
      <c r="B4967" s="3" t="s">
        <v>135</v>
      </c>
      <c r="C4967" s="3" t="s">
        <v>136</v>
      </c>
      <c r="D4967" s="3">
        <v>1</v>
      </c>
      <c r="E4967" s="3">
        <v>395.04689999999999</v>
      </c>
      <c r="F4967">
        <f t="shared" si="79"/>
        <v>395.04689999999999</v>
      </c>
    </row>
    <row r="4968" spans="1:6" x14ac:dyDescent="0.2">
      <c r="A4968">
        <v>848</v>
      </c>
      <c r="B4968" s="3" t="s">
        <v>137</v>
      </c>
      <c r="C4968" s="3" t="s">
        <v>138</v>
      </c>
      <c r="D4968" s="3">
        <v>1</v>
      </c>
      <c r="E4968" s="3">
        <v>252.98429999999999</v>
      </c>
      <c r="F4968">
        <f t="shared" si="79"/>
        <v>252.98429999999999</v>
      </c>
    </row>
    <row r="4969" spans="1:6" x14ac:dyDescent="0.2">
      <c r="A4969">
        <v>848</v>
      </c>
      <c r="B4969" s="3" t="s">
        <v>139</v>
      </c>
      <c r="C4969" s="3" t="s">
        <v>140</v>
      </c>
      <c r="D4969" s="3">
        <v>2</v>
      </c>
      <c r="E4969" s="3">
        <v>2054.4580000000001</v>
      </c>
      <c r="F4969">
        <f t="shared" si="79"/>
        <v>4108.9160000000002</v>
      </c>
    </row>
    <row r="4970" spans="1:6" x14ac:dyDescent="0.2">
      <c r="A4970">
        <v>848</v>
      </c>
      <c r="B4970" s="3" t="s">
        <v>116</v>
      </c>
      <c r="C4970" s="3" t="s">
        <v>117</v>
      </c>
      <c r="D4970" s="3">
        <v>1</v>
      </c>
      <c r="E4970" s="3">
        <v>0.25729999999999997</v>
      </c>
      <c r="F4970">
        <f t="shared" si="79"/>
        <v>0.25729999999999997</v>
      </c>
    </row>
    <row r="4971" spans="1:6" x14ac:dyDescent="0.2">
      <c r="A4971">
        <v>848</v>
      </c>
      <c r="B4971" s="3" t="s">
        <v>118</v>
      </c>
      <c r="C4971" s="3" t="s">
        <v>119</v>
      </c>
      <c r="D4971" s="3">
        <v>1</v>
      </c>
      <c r="E4971" s="3">
        <v>0.83</v>
      </c>
      <c r="F4971">
        <f t="shared" si="79"/>
        <v>0.83</v>
      </c>
    </row>
    <row r="4972" spans="1:6" x14ac:dyDescent="0.2">
      <c r="A4972">
        <v>848</v>
      </c>
      <c r="B4972" s="3" t="s">
        <v>120</v>
      </c>
      <c r="C4972" s="3" t="s">
        <v>117</v>
      </c>
      <c r="D4972" s="3">
        <v>6</v>
      </c>
      <c r="E4972" s="3">
        <v>1.5604</v>
      </c>
      <c r="F4972">
        <f t="shared" si="79"/>
        <v>9.3624000000000009</v>
      </c>
    </row>
    <row r="4973" spans="1:6" x14ac:dyDescent="0.2">
      <c r="A4973">
        <v>848</v>
      </c>
      <c r="B4973" s="3" t="s">
        <v>121</v>
      </c>
      <c r="C4973" s="3" t="s">
        <v>117</v>
      </c>
      <c r="D4973" s="3">
        <v>1</v>
      </c>
      <c r="E4973" s="3">
        <v>270.83730000000003</v>
      </c>
      <c r="F4973">
        <f t="shared" si="79"/>
        <v>270.83730000000003</v>
      </c>
    </row>
    <row r="4974" spans="1:6" x14ac:dyDescent="0.2">
      <c r="A4974">
        <v>848</v>
      </c>
      <c r="B4974" s="3" t="s">
        <v>122</v>
      </c>
      <c r="C4974" s="3" t="s">
        <v>76</v>
      </c>
      <c r="D4974" s="3">
        <v>6</v>
      </c>
      <c r="E4974" s="3">
        <v>14.915100000000001</v>
      </c>
      <c r="F4974">
        <f t="shared" si="79"/>
        <v>89.490600000000001</v>
      </c>
    </row>
    <row r="4975" spans="1:6" x14ac:dyDescent="0.2">
      <c r="A4975">
        <v>848</v>
      </c>
      <c r="B4975" s="3" t="s">
        <v>123</v>
      </c>
      <c r="C4975" s="3" t="s">
        <v>119</v>
      </c>
      <c r="D4975" s="3">
        <v>2</v>
      </c>
      <c r="E4975" s="3">
        <v>122.52460000000001</v>
      </c>
      <c r="F4975">
        <f t="shared" si="79"/>
        <v>245.04920000000001</v>
      </c>
    </row>
    <row r="4976" spans="1:6" x14ac:dyDescent="0.2">
      <c r="A4976">
        <v>848</v>
      </c>
      <c r="B4976" s="3" t="s">
        <v>124</v>
      </c>
      <c r="C4976" s="3" t="s">
        <v>119</v>
      </c>
      <c r="D4976" s="3">
        <v>4</v>
      </c>
      <c r="E4976" s="3">
        <v>65.877099999999999</v>
      </c>
      <c r="F4976">
        <f t="shared" si="79"/>
        <v>263.50839999999999</v>
      </c>
    </row>
    <row r="4977" spans="1:6" x14ac:dyDescent="0.2">
      <c r="A4977">
        <v>848</v>
      </c>
      <c r="B4977" s="3" t="s">
        <v>125</v>
      </c>
      <c r="C4977" s="3" t="s">
        <v>117</v>
      </c>
      <c r="D4977" s="3">
        <v>6</v>
      </c>
      <c r="E4977" s="3">
        <v>45.957099999999997</v>
      </c>
      <c r="F4977">
        <f t="shared" si="79"/>
        <v>275.74259999999998</v>
      </c>
    </row>
    <row r="4978" spans="1:6" x14ac:dyDescent="0.2">
      <c r="A4978">
        <v>848</v>
      </c>
      <c r="B4978" s="3" t="s">
        <v>126</v>
      </c>
      <c r="C4978" s="3" t="s">
        <v>127</v>
      </c>
      <c r="D4978" s="3">
        <v>6</v>
      </c>
      <c r="E4978" s="3">
        <v>411.49740000000003</v>
      </c>
      <c r="F4978">
        <f t="shared" si="79"/>
        <v>2468.9844000000003</v>
      </c>
    </row>
    <row r="4979" spans="1:6" x14ac:dyDescent="0.2">
      <c r="A4979">
        <v>848</v>
      </c>
      <c r="B4979" s="3" t="s">
        <v>129</v>
      </c>
      <c r="C4979" s="3" t="s">
        <v>130</v>
      </c>
      <c r="D4979" s="3">
        <v>1</v>
      </c>
      <c r="E4979" s="3">
        <v>6724.2780000000002</v>
      </c>
      <c r="F4979">
        <f t="shared" si="79"/>
        <v>6724.2780000000002</v>
      </c>
    </row>
    <row r="4980" spans="1:6" x14ac:dyDescent="0.2">
      <c r="A4980">
        <v>848</v>
      </c>
      <c r="B4980" s="3">
        <v>4656354</v>
      </c>
      <c r="C4980" s="3" t="s">
        <v>133</v>
      </c>
      <c r="D4980" s="3">
        <v>1</v>
      </c>
      <c r="E4980" s="3">
        <v>1168.0260000000001</v>
      </c>
      <c r="F4980">
        <f t="shared" si="79"/>
        <v>1168.0260000000001</v>
      </c>
    </row>
    <row r="4981" spans="1:6" x14ac:dyDescent="0.2">
      <c r="A4981">
        <v>848</v>
      </c>
      <c r="B4981" s="3" t="s">
        <v>110</v>
      </c>
      <c r="C4981" s="3" t="s">
        <v>111</v>
      </c>
      <c r="D4981" s="3">
        <v>3</v>
      </c>
      <c r="E4981" s="3">
        <v>119.83540000000001</v>
      </c>
      <c r="F4981">
        <f t="shared" si="79"/>
        <v>359.50620000000004</v>
      </c>
    </row>
    <row r="4982" spans="1:6" x14ac:dyDescent="0.2">
      <c r="A4982">
        <v>848</v>
      </c>
      <c r="B4982" s="3" t="s">
        <v>112</v>
      </c>
      <c r="C4982" s="3" t="s">
        <v>113</v>
      </c>
      <c r="D4982" s="3">
        <v>5</v>
      </c>
      <c r="E4982" s="3">
        <v>97.646150000000006</v>
      </c>
      <c r="F4982">
        <f t="shared" si="79"/>
        <v>488.23075000000006</v>
      </c>
    </row>
    <row r="4983" spans="1:6" x14ac:dyDescent="0.2">
      <c r="A4983">
        <v>848</v>
      </c>
      <c r="B4983" s="3" t="s">
        <v>110</v>
      </c>
      <c r="C4983" s="3" t="s">
        <v>111</v>
      </c>
      <c r="D4983" s="3">
        <v>6</v>
      </c>
      <c r="E4983" s="3">
        <v>119.83540000000001</v>
      </c>
      <c r="F4983">
        <f t="shared" si="79"/>
        <v>719.01240000000007</v>
      </c>
    </row>
    <row r="4984" spans="1:6" x14ac:dyDescent="0.2">
      <c r="A4984">
        <v>848</v>
      </c>
      <c r="B4984" s="3" t="s">
        <v>112</v>
      </c>
      <c r="C4984" s="3" t="s">
        <v>113</v>
      </c>
      <c r="D4984" s="3">
        <v>6</v>
      </c>
      <c r="E4984" s="3">
        <v>97.646150000000006</v>
      </c>
      <c r="F4984">
        <f t="shared" si="79"/>
        <v>585.87689999999998</v>
      </c>
    </row>
    <row r="4985" spans="1:6" x14ac:dyDescent="0.2">
      <c r="A4985">
        <v>848</v>
      </c>
      <c r="B4985" s="3" t="s">
        <v>97</v>
      </c>
      <c r="C4985" s="3" t="s">
        <v>98</v>
      </c>
      <c r="D4985" s="3">
        <v>5</v>
      </c>
      <c r="E4985" s="3">
        <v>189.87909999999999</v>
      </c>
      <c r="F4985">
        <f t="shared" si="79"/>
        <v>949.39549999999997</v>
      </c>
    </row>
    <row r="4986" spans="1:6" x14ac:dyDescent="0.2">
      <c r="A4986">
        <v>848</v>
      </c>
      <c r="B4986" s="3" t="s">
        <v>99</v>
      </c>
      <c r="C4986" s="3" t="s">
        <v>100</v>
      </c>
      <c r="D4986" s="3">
        <v>5</v>
      </c>
      <c r="E4986" s="3">
        <v>1287.1379999999999</v>
      </c>
      <c r="F4986">
        <f t="shared" si="79"/>
        <v>6435.69</v>
      </c>
    </row>
    <row r="4987" spans="1:6" x14ac:dyDescent="0.2">
      <c r="A4987">
        <v>848</v>
      </c>
      <c r="B4987" s="3" t="s">
        <v>101</v>
      </c>
      <c r="C4987" s="3" t="s">
        <v>102</v>
      </c>
      <c r="D4987" s="3">
        <v>1</v>
      </c>
      <c r="E4987" s="3">
        <v>1363.037</v>
      </c>
      <c r="F4987">
        <f t="shared" si="79"/>
        <v>1363.037</v>
      </c>
    </row>
    <row r="4988" spans="1:6" x14ac:dyDescent="0.2">
      <c r="A4988">
        <v>848</v>
      </c>
      <c r="B4988" s="3" t="s">
        <v>103</v>
      </c>
      <c r="C4988" s="3" t="s">
        <v>104</v>
      </c>
      <c r="D4988" s="3">
        <v>1</v>
      </c>
      <c r="E4988" s="3">
        <v>423.5822</v>
      </c>
      <c r="F4988">
        <f t="shared" si="79"/>
        <v>423.5822</v>
      </c>
    </row>
    <row r="4989" spans="1:6" x14ac:dyDescent="0.2">
      <c r="A4989">
        <v>848</v>
      </c>
      <c r="B4989" s="3" t="s">
        <v>105</v>
      </c>
      <c r="C4989" s="3" t="s">
        <v>106</v>
      </c>
      <c r="D4989" s="3">
        <v>1</v>
      </c>
      <c r="E4989" s="3">
        <v>36.470199999999998</v>
      </c>
      <c r="F4989">
        <f t="shared" si="79"/>
        <v>36.470199999999998</v>
      </c>
    </row>
    <row r="4990" spans="1:6" x14ac:dyDescent="0.2">
      <c r="A4990">
        <v>848</v>
      </c>
      <c r="B4990" s="3" t="s">
        <v>107</v>
      </c>
      <c r="C4990" s="3" t="s">
        <v>108</v>
      </c>
      <c r="D4990" s="3">
        <v>1</v>
      </c>
      <c r="E4990" s="3">
        <v>61.492310000000003</v>
      </c>
      <c r="F4990">
        <f t="shared" si="79"/>
        <v>61.492310000000003</v>
      </c>
    </row>
    <row r="4991" spans="1:6" x14ac:dyDescent="0.2">
      <c r="A4991">
        <v>848</v>
      </c>
      <c r="B4991" s="3" t="s">
        <v>62</v>
      </c>
      <c r="C4991" s="3" t="s">
        <v>323</v>
      </c>
      <c r="D4991" s="3">
        <v>1</v>
      </c>
      <c r="E4991" s="3">
        <v>0.34860000000000002</v>
      </c>
      <c r="F4991">
        <f t="shared" si="79"/>
        <v>0.34860000000000002</v>
      </c>
    </row>
    <row r="4992" spans="1:6" x14ac:dyDescent="0.2">
      <c r="A4992">
        <v>848</v>
      </c>
      <c r="B4992" s="3" t="s">
        <v>324</v>
      </c>
      <c r="C4992" s="3" t="s">
        <v>273</v>
      </c>
      <c r="D4992" s="3">
        <v>1</v>
      </c>
      <c r="E4992" s="3">
        <v>0.95450000000000002</v>
      </c>
      <c r="F4992">
        <f t="shared" si="79"/>
        <v>0.95450000000000002</v>
      </c>
    </row>
    <row r="4993" spans="1:6" x14ac:dyDescent="0.2">
      <c r="A4993">
        <v>848</v>
      </c>
      <c r="B4993" s="3" t="s">
        <v>325</v>
      </c>
      <c r="C4993" s="3" t="s">
        <v>273</v>
      </c>
      <c r="D4993" s="3">
        <v>1</v>
      </c>
      <c r="E4993" s="3">
        <v>3.3692310000000001</v>
      </c>
      <c r="F4993">
        <f t="shared" si="79"/>
        <v>3.3692310000000001</v>
      </c>
    </row>
    <row r="4994" spans="1:6" x14ac:dyDescent="0.2">
      <c r="A4994">
        <v>848</v>
      </c>
      <c r="B4994" s="3" t="s">
        <v>154</v>
      </c>
      <c r="C4994" s="3" t="s">
        <v>278</v>
      </c>
      <c r="D4994" s="3">
        <v>1</v>
      </c>
      <c r="E4994" s="3">
        <v>4.3658000000000001</v>
      </c>
      <c r="F4994">
        <f t="shared" si="79"/>
        <v>4.3658000000000001</v>
      </c>
    </row>
    <row r="4995" spans="1:6" x14ac:dyDescent="0.2">
      <c r="A4995">
        <v>848</v>
      </c>
      <c r="B4995" s="3" t="s">
        <v>290</v>
      </c>
      <c r="C4995" s="3" t="s">
        <v>278</v>
      </c>
      <c r="D4995" s="3">
        <v>1</v>
      </c>
      <c r="E4995" s="3">
        <v>43.751809999999999</v>
      </c>
      <c r="F4995">
        <f t="shared" si="79"/>
        <v>43.751809999999999</v>
      </c>
    </row>
    <row r="4996" spans="1:6" x14ac:dyDescent="0.2">
      <c r="A4996">
        <v>848</v>
      </c>
      <c r="B4996" s="3" t="s">
        <v>288</v>
      </c>
      <c r="C4996" s="3" t="s">
        <v>289</v>
      </c>
      <c r="D4996" s="3">
        <v>1</v>
      </c>
      <c r="E4996" s="3">
        <v>7.340122</v>
      </c>
      <c r="F4996">
        <f t="shared" si="79"/>
        <v>7.340122</v>
      </c>
    </row>
    <row r="4997" spans="1:6" x14ac:dyDescent="0.2">
      <c r="A4997">
        <v>848</v>
      </c>
      <c r="B4997" s="3" t="s">
        <v>287</v>
      </c>
      <c r="C4997" s="3" t="s">
        <v>273</v>
      </c>
      <c r="D4997" s="3">
        <v>1</v>
      </c>
      <c r="E4997" s="3">
        <v>100.669</v>
      </c>
      <c r="F4997">
        <f t="shared" si="79"/>
        <v>100.669</v>
      </c>
    </row>
    <row r="4998" spans="1:6" x14ac:dyDescent="0.2">
      <c r="A4998">
        <v>848</v>
      </c>
      <c r="B4998" s="3" t="s">
        <v>285</v>
      </c>
      <c r="C4998" s="3" t="s">
        <v>286</v>
      </c>
      <c r="D4998" s="3">
        <v>1</v>
      </c>
      <c r="E4998" s="3">
        <v>58.189990000000002</v>
      </c>
      <c r="F4998">
        <f t="shared" si="79"/>
        <v>58.189990000000002</v>
      </c>
    </row>
    <row r="4999" spans="1:6" x14ac:dyDescent="0.2">
      <c r="A4999">
        <v>848</v>
      </c>
      <c r="B4999" s="3" t="s">
        <v>291</v>
      </c>
      <c r="C4999" s="3" t="s">
        <v>278</v>
      </c>
      <c r="D4999" s="3">
        <v>1</v>
      </c>
      <c r="E4999" s="3">
        <v>24.136399999999998</v>
      </c>
      <c r="F4999">
        <f t="shared" si="79"/>
        <v>24.136399999999998</v>
      </c>
    </row>
    <row r="5000" spans="1:6" x14ac:dyDescent="0.2">
      <c r="A5000">
        <v>848</v>
      </c>
      <c r="B5000" s="3" t="s">
        <v>277</v>
      </c>
      <c r="C5000" s="3" t="s">
        <v>278</v>
      </c>
      <c r="D5000" s="3">
        <v>1</v>
      </c>
      <c r="E5000" s="3">
        <v>41.026589999999999</v>
      </c>
      <c r="F5000">
        <f t="shared" si="79"/>
        <v>41.026589999999999</v>
      </c>
    </row>
    <row r="5001" spans="1:6" x14ac:dyDescent="0.2">
      <c r="A5001">
        <v>848</v>
      </c>
      <c r="B5001" s="3" t="s">
        <v>326</v>
      </c>
      <c r="C5001" s="3" t="s">
        <v>278</v>
      </c>
      <c r="D5001" s="3">
        <v>1</v>
      </c>
      <c r="E5001" s="3">
        <v>3.9745979999999999</v>
      </c>
      <c r="F5001">
        <f t="shared" si="79"/>
        <v>3.9745979999999999</v>
      </c>
    </row>
    <row r="5002" spans="1:6" x14ac:dyDescent="0.2">
      <c r="A5002">
        <v>848</v>
      </c>
      <c r="B5002" s="3" t="s">
        <v>274</v>
      </c>
      <c r="C5002" s="3" t="s">
        <v>273</v>
      </c>
      <c r="D5002" s="3">
        <v>1</v>
      </c>
      <c r="E5002" s="3">
        <v>149.23089999999999</v>
      </c>
      <c r="F5002">
        <f t="shared" si="79"/>
        <v>149.23089999999999</v>
      </c>
    </row>
    <row r="5003" spans="1:6" x14ac:dyDescent="0.2">
      <c r="A5003">
        <v>848</v>
      </c>
      <c r="B5003" s="3" t="s">
        <v>327</v>
      </c>
      <c r="C5003" s="3" t="s">
        <v>309</v>
      </c>
      <c r="D5003" s="3">
        <v>1</v>
      </c>
      <c r="E5003" s="3">
        <v>1532.5239999999999</v>
      </c>
      <c r="F5003">
        <f t="shared" si="79"/>
        <v>1532.5239999999999</v>
      </c>
    </row>
    <row r="5004" spans="1:6" x14ac:dyDescent="0.2">
      <c r="A5004">
        <v>848</v>
      </c>
      <c r="B5004" s="3" t="s">
        <v>328</v>
      </c>
      <c r="C5004" s="3" t="s">
        <v>329</v>
      </c>
      <c r="D5004" s="3">
        <v>1</v>
      </c>
      <c r="E5004" s="3">
        <v>155.62309999999999</v>
      </c>
      <c r="F5004">
        <f t="shared" ref="F5004:F5067" si="80">D5004*E5004</f>
        <v>155.62309999999999</v>
      </c>
    </row>
    <row r="5005" spans="1:6" x14ac:dyDescent="0.2">
      <c r="A5005">
        <v>848</v>
      </c>
      <c r="B5005" s="3" t="s">
        <v>330</v>
      </c>
      <c r="C5005" s="3" t="s">
        <v>331</v>
      </c>
      <c r="D5005" s="3">
        <v>1</v>
      </c>
      <c r="E5005" s="3">
        <v>710.44619999999998</v>
      </c>
      <c r="F5005">
        <f t="shared" si="80"/>
        <v>710.44619999999998</v>
      </c>
    </row>
    <row r="5006" spans="1:6" x14ac:dyDescent="0.2">
      <c r="A5006">
        <v>848</v>
      </c>
      <c r="B5006" s="3" t="s">
        <v>332</v>
      </c>
      <c r="C5006" s="3" t="s">
        <v>333</v>
      </c>
      <c r="D5006" s="3">
        <v>1</v>
      </c>
      <c r="E5006" s="3">
        <v>167.5538</v>
      </c>
      <c r="F5006">
        <f t="shared" si="80"/>
        <v>167.5538</v>
      </c>
    </row>
    <row r="5007" spans="1:6" x14ac:dyDescent="0.2">
      <c r="A5007">
        <v>848</v>
      </c>
      <c r="B5007" s="3" t="s">
        <v>272</v>
      </c>
      <c r="C5007" s="3" t="s">
        <v>273</v>
      </c>
      <c r="D5007" s="3">
        <v>1</v>
      </c>
      <c r="E5007" s="3">
        <v>170.1112</v>
      </c>
      <c r="F5007">
        <f t="shared" si="80"/>
        <v>170.1112</v>
      </c>
    </row>
    <row r="5008" spans="1:6" x14ac:dyDescent="0.2">
      <c r="A5008">
        <v>848</v>
      </c>
      <c r="B5008" s="3" t="s">
        <v>275</v>
      </c>
      <c r="C5008" s="3" t="s">
        <v>276</v>
      </c>
      <c r="D5008" s="3">
        <v>1</v>
      </c>
      <c r="E5008" s="3">
        <v>9.081448</v>
      </c>
      <c r="F5008">
        <f t="shared" si="80"/>
        <v>9.081448</v>
      </c>
    </row>
    <row r="5009" spans="1:6" x14ac:dyDescent="0.2">
      <c r="A5009">
        <v>848</v>
      </c>
      <c r="B5009" s="3" t="s">
        <v>334</v>
      </c>
      <c r="C5009" s="3" t="s">
        <v>329</v>
      </c>
      <c r="D5009" s="3">
        <v>1</v>
      </c>
      <c r="E5009" s="3">
        <v>149.0308</v>
      </c>
      <c r="F5009">
        <f t="shared" si="80"/>
        <v>149.0308</v>
      </c>
    </row>
    <row r="5010" spans="1:6" x14ac:dyDescent="0.2">
      <c r="A5010">
        <v>848</v>
      </c>
      <c r="B5010" s="3" t="s">
        <v>335</v>
      </c>
      <c r="C5010" s="3" t="s">
        <v>331</v>
      </c>
      <c r="D5010" s="3">
        <v>1</v>
      </c>
      <c r="E5010" s="3">
        <v>703.1</v>
      </c>
      <c r="F5010">
        <f t="shared" si="80"/>
        <v>703.1</v>
      </c>
    </row>
    <row r="5011" spans="1:6" x14ac:dyDescent="0.2">
      <c r="A5011">
        <v>848</v>
      </c>
      <c r="B5011" s="3" t="s">
        <v>336</v>
      </c>
      <c r="C5011" s="3" t="s">
        <v>333</v>
      </c>
      <c r="D5011" s="3">
        <v>1</v>
      </c>
      <c r="E5011" s="3">
        <v>288.42309999999998</v>
      </c>
      <c r="F5011">
        <f t="shared" si="80"/>
        <v>288.42309999999998</v>
      </c>
    </row>
    <row r="5012" spans="1:6" x14ac:dyDescent="0.2">
      <c r="A5012">
        <v>848</v>
      </c>
      <c r="B5012" s="3" t="s">
        <v>337</v>
      </c>
      <c r="C5012" s="3" t="s">
        <v>297</v>
      </c>
      <c r="D5012" s="3">
        <v>1</v>
      </c>
      <c r="E5012" s="3">
        <v>11.761100000000001</v>
      </c>
      <c r="F5012">
        <f t="shared" si="80"/>
        <v>11.761100000000001</v>
      </c>
    </row>
    <row r="5013" spans="1:6" x14ac:dyDescent="0.2">
      <c r="A5013">
        <v>848</v>
      </c>
      <c r="B5013" s="3" t="s">
        <v>338</v>
      </c>
      <c r="C5013" s="3" t="s">
        <v>297</v>
      </c>
      <c r="D5013" s="3">
        <v>1</v>
      </c>
      <c r="E5013" s="3">
        <v>11.712960000000001</v>
      </c>
      <c r="F5013">
        <f t="shared" si="80"/>
        <v>11.712960000000001</v>
      </c>
    </row>
    <row r="5014" spans="1:6" x14ac:dyDescent="0.2">
      <c r="A5014">
        <v>848</v>
      </c>
      <c r="B5014" s="3" t="s">
        <v>339</v>
      </c>
      <c r="C5014" s="3" t="s">
        <v>297</v>
      </c>
      <c r="D5014" s="3">
        <v>1</v>
      </c>
      <c r="E5014" s="3">
        <v>20.279039999999998</v>
      </c>
      <c r="F5014">
        <f t="shared" si="80"/>
        <v>20.279039999999998</v>
      </c>
    </row>
    <row r="5015" spans="1:6" x14ac:dyDescent="0.2">
      <c r="A5015">
        <v>848</v>
      </c>
      <c r="B5015" s="3" t="s">
        <v>340</v>
      </c>
      <c r="C5015" s="3" t="s">
        <v>309</v>
      </c>
      <c r="D5015" s="3">
        <v>1</v>
      </c>
      <c r="E5015" s="3">
        <v>1536.3340000000001</v>
      </c>
      <c r="F5015">
        <f t="shared" si="80"/>
        <v>1536.3340000000001</v>
      </c>
    </row>
    <row r="5016" spans="1:6" x14ac:dyDescent="0.2">
      <c r="A5016">
        <v>848</v>
      </c>
      <c r="B5016" s="3" t="s">
        <v>341</v>
      </c>
      <c r="C5016" s="3" t="s">
        <v>342</v>
      </c>
      <c r="D5016" s="3">
        <v>1</v>
      </c>
      <c r="E5016" s="3">
        <v>307.22449999999998</v>
      </c>
      <c r="F5016">
        <f t="shared" si="80"/>
        <v>307.22449999999998</v>
      </c>
    </row>
    <row r="5017" spans="1:6" x14ac:dyDescent="0.2">
      <c r="A5017">
        <v>848</v>
      </c>
      <c r="B5017" s="3" t="s">
        <v>284</v>
      </c>
      <c r="C5017" s="3" t="s">
        <v>273</v>
      </c>
      <c r="D5017" s="3">
        <v>1</v>
      </c>
      <c r="E5017" s="3">
        <v>15.547000000000001</v>
      </c>
      <c r="F5017">
        <f t="shared" si="80"/>
        <v>15.547000000000001</v>
      </c>
    </row>
    <row r="5018" spans="1:6" x14ac:dyDescent="0.2">
      <c r="A5018">
        <v>848</v>
      </c>
      <c r="B5018" s="3" t="s">
        <v>283</v>
      </c>
      <c r="C5018" s="3" t="s">
        <v>278</v>
      </c>
      <c r="D5018" s="3">
        <v>1</v>
      </c>
      <c r="E5018" s="3">
        <v>101.76220000000001</v>
      </c>
      <c r="F5018">
        <f t="shared" si="80"/>
        <v>101.76220000000001</v>
      </c>
    </row>
    <row r="5019" spans="1:6" x14ac:dyDescent="0.2">
      <c r="A5019">
        <v>848</v>
      </c>
      <c r="B5019" s="3" t="s">
        <v>281</v>
      </c>
      <c r="C5019" s="3" t="s">
        <v>282</v>
      </c>
      <c r="D5019" s="3">
        <v>1</v>
      </c>
      <c r="E5019" s="3">
        <v>43.369190000000003</v>
      </c>
      <c r="F5019">
        <f t="shared" si="80"/>
        <v>43.369190000000003</v>
      </c>
    </row>
    <row r="5020" spans="1:6" x14ac:dyDescent="0.2">
      <c r="A5020">
        <v>848</v>
      </c>
      <c r="B5020" s="3" t="s">
        <v>279</v>
      </c>
      <c r="C5020" s="3" t="s">
        <v>280</v>
      </c>
      <c r="D5020" s="3">
        <v>1</v>
      </c>
      <c r="E5020" s="3">
        <v>36.786499999999997</v>
      </c>
      <c r="F5020">
        <f t="shared" si="80"/>
        <v>36.786499999999997</v>
      </c>
    </row>
    <row r="5021" spans="1:6" x14ac:dyDescent="0.2">
      <c r="A5021">
        <v>848</v>
      </c>
      <c r="B5021" s="3" t="s">
        <v>343</v>
      </c>
      <c r="C5021" s="3" t="s">
        <v>282</v>
      </c>
      <c r="D5021" s="3">
        <v>1</v>
      </c>
      <c r="E5021" s="3">
        <v>16.807500000000001</v>
      </c>
      <c r="F5021">
        <f t="shared" si="80"/>
        <v>16.807500000000001</v>
      </c>
    </row>
    <row r="5022" spans="1:6" x14ac:dyDescent="0.2">
      <c r="A5022">
        <v>848</v>
      </c>
      <c r="B5022" s="3" t="s">
        <v>344</v>
      </c>
      <c r="C5022" s="3" t="s">
        <v>282</v>
      </c>
      <c r="D5022" s="3">
        <v>1</v>
      </c>
      <c r="E5022" s="3">
        <v>12.76713</v>
      </c>
      <c r="F5022">
        <f t="shared" si="80"/>
        <v>12.76713</v>
      </c>
    </row>
    <row r="5023" spans="1:6" x14ac:dyDescent="0.2">
      <c r="A5023">
        <v>848</v>
      </c>
      <c r="B5023" s="3" t="s">
        <v>270</v>
      </c>
      <c r="C5023" s="3" t="s">
        <v>271</v>
      </c>
      <c r="D5023" s="3">
        <v>1</v>
      </c>
      <c r="E5023" s="3">
        <v>3027.0970000000002</v>
      </c>
      <c r="F5023">
        <f t="shared" si="80"/>
        <v>3027.0970000000002</v>
      </c>
    </row>
    <row r="5024" spans="1:6" x14ac:dyDescent="0.2">
      <c r="A5024">
        <v>848</v>
      </c>
      <c r="B5024" s="3" t="s">
        <v>272</v>
      </c>
      <c r="C5024" s="3" t="s">
        <v>273</v>
      </c>
      <c r="D5024" s="3">
        <v>1</v>
      </c>
      <c r="E5024" s="3">
        <v>170.1112</v>
      </c>
      <c r="F5024">
        <f t="shared" si="80"/>
        <v>170.1112</v>
      </c>
    </row>
    <row r="5025" spans="1:6" x14ac:dyDescent="0.2">
      <c r="A5025">
        <v>848</v>
      </c>
      <c r="B5025" s="3" t="s">
        <v>274</v>
      </c>
      <c r="C5025" s="3" t="s">
        <v>273</v>
      </c>
      <c r="D5025" s="3">
        <v>1</v>
      </c>
      <c r="E5025" s="3">
        <v>149.23089999999999</v>
      </c>
      <c r="F5025">
        <f t="shared" si="80"/>
        <v>149.23089999999999</v>
      </c>
    </row>
    <row r="5026" spans="1:6" x14ac:dyDescent="0.2">
      <c r="A5026">
        <v>848</v>
      </c>
      <c r="B5026" s="3" t="s">
        <v>275</v>
      </c>
      <c r="C5026" s="3" t="s">
        <v>276</v>
      </c>
      <c r="D5026" s="3">
        <v>2</v>
      </c>
      <c r="E5026" s="3">
        <v>9.081448</v>
      </c>
      <c r="F5026">
        <f t="shared" si="80"/>
        <v>18.162896</v>
      </c>
    </row>
    <row r="5027" spans="1:6" x14ac:dyDescent="0.2">
      <c r="A5027">
        <v>848</v>
      </c>
      <c r="B5027" s="3" t="s">
        <v>277</v>
      </c>
      <c r="C5027" s="3" t="s">
        <v>278</v>
      </c>
      <c r="D5027" s="3">
        <v>5</v>
      </c>
      <c r="E5027" s="3">
        <v>41.026589999999999</v>
      </c>
      <c r="F5027">
        <f t="shared" si="80"/>
        <v>205.13294999999999</v>
      </c>
    </row>
    <row r="5028" spans="1:6" x14ac:dyDescent="0.2">
      <c r="A5028">
        <v>848</v>
      </c>
      <c r="B5028" s="3" t="s">
        <v>279</v>
      </c>
      <c r="C5028" s="3" t="s">
        <v>280</v>
      </c>
      <c r="D5028" s="3">
        <v>1</v>
      </c>
      <c r="E5028" s="3">
        <v>36.786499999999997</v>
      </c>
      <c r="F5028">
        <f t="shared" si="80"/>
        <v>36.786499999999997</v>
      </c>
    </row>
    <row r="5029" spans="1:6" x14ac:dyDescent="0.2">
      <c r="A5029">
        <v>848</v>
      </c>
      <c r="B5029" s="3" t="s">
        <v>281</v>
      </c>
      <c r="C5029" s="3" t="s">
        <v>282</v>
      </c>
      <c r="D5029" s="3">
        <v>1</v>
      </c>
      <c r="E5029" s="3">
        <v>43.369190000000003</v>
      </c>
      <c r="F5029">
        <f t="shared" si="80"/>
        <v>43.369190000000003</v>
      </c>
    </row>
    <row r="5030" spans="1:6" x14ac:dyDescent="0.2">
      <c r="A5030">
        <v>848</v>
      </c>
      <c r="B5030" s="3" t="s">
        <v>283</v>
      </c>
      <c r="C5030" s="3" t="s">
        <v>278</v>
      </c>
      <c r="D5030" s="3">
        <v>3</v>
      </c>
      <c r="E5030" s="3">
        <v>101.76220000000001</v>
      </c>
      <c r="F5030">
        <f t="shared" si="80"/>
        <v>305.28660000000002</v>
      </c>
    </row>
    <row r="5031" spans="1:6" x14ac:dyDescent="0.2">
      <c r="A5031">
        <v>848</v>
      </c>
      <c r="B5031" s="3" t="s">
        <v>284</v>
      </c>
      <c r="C5031" s="3" t="s">
        <v>273</v>
      </c>
      <c r="D5031" s="3">
        <v>1</v>
      </c>
      <c r="E5031" s="3">
        <v>15.547000000000001</v>
      </c>
      <c r="F5031">
        <f t="shared" si="80"/>
        <v>15.547000000000001</v>
      </c>
    </row>
    <row r="5032" spans="1:6" x14ac:dyDescent="0.2">
      <c r="A5032">
        <v>848</v>
      </c>
      <c r="B5032" s="3" t="s">
        <v>285</v>
      </c>
      <c r="C5032" s="3" t="s">
        <v>286</v>
      </c>
      <c r="D5032" s="3">
        <v>2</v>
      </c>
      <c r="E5032" s="3">
        <v>58.189990000000002</v>
      </c>
      <c r="F5032">
        <f t="shared" si="80"/>
        <v>116.37998</v>
      </c>
    </row>
    <row r="5033" spans="1:6" x14ac:dyDescent="0.2">
      <c r="A5033">
        <v>848</v>
      </c>
      <c r="B5033" s="3" t="s">
        <v>287</v>
      </c>
      <c r="C5033" s="3" t="s">
        <v>273</v>
      </c>
      <c r="D5033" s="3">
        <v>2</v>
      </c>
      <c r="E5033" s="3">
        <v>100.669</v>
      </c>
      <c r="F5033">
        <f t="shared" si="80"/>
        <v>201.33799999999999</v>
      </c>
    </row>
    <row r="5034" spans="1:6" x14ac:dyDescent="0.2">
      <c r="A5034">
        <v>848</v>
      </c>
      <c r="B5034" s="3" t="s">
        <v>288</v>
      </c>
      <c r="C5034" s="3" t="s">
        <v>289</v>
      </c>
      <c r="D5034" s="3">
        <v>2</v>
      </c>
      <c r="E5034" s="3">
        <v>7.340122</v>
      </c>
      <c r="F5034">
        <f t="shared" si="80"/>
        <v>14.680244</v>
      </c>
    </row>
    <row r="5035" spans="1:6" x14ac:dyDescent="0.2">
      <c r="A5035">
        <v>848</v>
      </c>
      <c r="B5035" s="3" t="s">
        <v>290</v>
      </c>
      <c r="C5035" s="3" t="s">
        <v>278</v>
      </c>
      <c r="D5035" s="3">
        <v>4</v>
      </c>
      <c r="E5035" s="3">
        <v>43.751809999999999</v>
      </c>
      <c r="F5035">
        <f t="shared" si="80"/>
        <v>175.00724</v>
      </c>
    </row>
    <row r="5036" spans="1:6" x14ac:dyDescent="0.2">
      <c r="A5036">
        <v>848</v>
      </c>
      <c r="B5036" s="3" t="s">
        <v>277</v>
      </c>
      <c r="C5036" s="3" t="s">
        <v>278</v>
      </c>
      <c r="D5036" s="3">
        <v>5</v>
      </c>
      <c r="E5036" s="3">
        <v>41.026589999999999</v>
      </c>
      <c r="F5036">
        <f t="shared" si="80"/>
        <v>205.13294999999999</v>
      </c>
    </row>
    <row r="5037" spans="1:6" x14ac:dyDescent="0.2">
      <c r="A5037">
        <v>848</v>
      </c>
      <c r="B5037" s="3" t="s">
        <v>291</v>
      </c>
      <c r="C5037" s="3" t="s">
        <v>278</v>
      </c>
      <c r="D5037" s="3">
        <v>5</v>
      </c>
      <c r="E5037" s="3">
        <v>24.136399999999998</v>
      </c>
      <c r="F5037">
        <f t="shared" si="80"/>
        <v>120.68199999999999</v>
      </c>
    </row>
    <row r="5038" spans="1:6" x14ac:dyDescent="0.2">
      <c r="A5038">
        <v>848</v>
      </c>
      <c r="B5038" s="3" t="s">
        <v>292</v>
      </c>
      <c r="C5038" s="3" t="s">
        <v>293</v>
      </c>
      <c r="D5038" s="3">
        <v>2</v>
      </c>
      <c r="E5038" s="3">
        <v>96.852699999999999</v>
      </c>
      <c r="F5038">
        <f t="shared" si="80"/>
        <v>193.7054</v>
      </c>
    </row>
    <row r="5039" spans="1:6" x14ac:dyDescent="0.2">
      <c r="A5039">
        <v>848</v>
      </c>
      <c r="B5039" s="3" t="s">
        <v>294</v>
      </c>
      <c r="C5039" s="3" t="s">
        <v>278</v>
      </c>
      <c r="D5039" s="3">
        <v>108</v>
      </c>
      <c r="E5039" s="3">
        <v>26.221409999999999</v>
      </c>
      <c r="F5039">
        <f t="shared" si="80"/>
        <v>2831.91228</v>
      </c>
    </row>
    <row r="5040" spans="1:6" x14ac:dyDescent="0.2">
      <c r="A5040">
        <v>848</v>
      </c>
      <c r="B5040" s="3" t="s">
        <v>295</v>
      </c>
      <c r="C5040" s="3" t="s">
        <v>273</v>
      </c>
      <c r="D5040" s="3">
        <v>108</v>
      </c>
      <c r="E5040" s="3">
        <v>54.88693</v>
      </c>
      <c r="F5040">
        <f t="shared" si="80"/>
        <v>5927.7884400000003</v>
      </c>
    </row>
    <row r="5041" spans="1:6" x14ac:dyDescent="0.2">
      <c r="A5041">
        <v>848</v>
      </c>
      <c r="B5041" s="3" t="s">
        <v>296</v>
      </c>
      <c r="C5041" s="3" t="s">
        <v>297</v>
      </c>
      <c r="D5041" s="3">
        <v>13</v>
      </c>
      <c r="E5041" s="3">
        <v>5.5029000000000003</v>
      </c>
      <c r="F5041">
        <f t="shared" si="80"/>
        <v>71.537700000000001</v>
      </c>
    </row>
    <row r="5042" spans="1:6" x14ac:dyDescent="0.2">
      <c r="A5042">
        <v>848</v>
      </c>
      <c r="B5042" s="3" t="s">
        <v>298</v>
      </c>
      <c r="C5042" s="3" t="s">
        <v>297</v>
      </c>
      <c r="D5042" s="3">
        <v>26</v>
      </c>
      <c r="E5042" s="3">
        <v>5.9344999999999999</v>
      </c>
      <c r="F5042">
        <f t="shared" si="80"/>
        <v>154.297</v>
      </c>
    </row>
    <row r="5043" spans="1:6" x14ac:dyDescent="0.2">
      <c r="A5043">
        <v>848</v>
      </c>
      <c r="B5043" s="3" t="s">
        <v>299</v>
      </c>
      <c r="C5043" s="3" t="s">
        <v>297</v>
      </c>
      <c r="D5043" s="3">
        <v>13</v>
      </c>
      <c r="E5043" s="3">
        <v>4.3574999999999999</v>
      </c>
      <c r="F5043">
        <f t="shared" si="80"/>
        <v>56.647500000000001</v>
      </c>
    </row>
    <row r="5044" spans="1:6" x14ac:dyDescent="0.2">
      <c r="A5044">
        <v>848</v>
      </c>
      <c r="B5044" s="3" t="s">
        <v>122</v>
      </c>
      <c r="C5044" s="3" t="s">
        <v>276</v>
      </c>
      <c r="D5044" s="3">
        <v>12</v>
      </c>
      <c r="E5044" s="3">
        <v>14.915100000000001</v>
      </c>
      <c r="F5044">
        <f t="shared" si="80"/>
        <v>178.9812</v>
      </c>
    </row>
    <row r="5045" spans="1:6" x14ac:dyDescent="0.2">
      <c r="A5045">
        <v>848</v>
      </c>
      <c r="B5045" s="3" t="s">
        <v>120</v>
      </c>
      <c r="C5045" s="3" t="s">
        <v>278</v>
      </c>
      <c r="D5045" s="3">
        <v>25</v>
      </c>
      <c r="E5045" s="3">
        <v>1.5604</v>
      </c>
      <c r="F5045">
        <f t="shared" si="80"/>
        <v>39.01</v>
      </c>
    </row>
    <row r="5046" spans="1:6" x14ac:dyDescent="0.2">
      <c r="A5046">
        <v>848</v>
      </c>
      <c r="B5046" s="3" t="s">
        <v>300</v>
      </c>
      <c r="C5046" s="3" t="s">
        <v>273</v>
      </c>
      <c r="D5046" s="3">
        <v>12</v>
      </c>
      <c r="E5046" s="3">
        <v>60.59</v>
      </c>
      <c r="F5046">
        <f t="shared" si="80"/>
        <v>727.08</v>
      </c>
    </row>
    <row r="5047" spans="1:6" x14ac:dyDescent="0.2">
      <c r="A5047">
        <v>848</v>
      </c>
      <c r="B5047" s="3" t="s">
        <v>301</v>
      </c>
      <c r="C5047" s="3" t="s">
        <v>302</v>
      </c>
      <c r="D5047" s="3">
        <v>2</v>
      </c>
      <c r="E5047" s="3">
        <v>104.8857</v>
      </c>
      <c r="F5047">
        <f t="shared" si="80"/>
        <v>209.7714</v>
      </c>
    </row>
    <row r="5048" spans="1:6" x14ac:dyDescent="0.2">
      <c r="A5048">
        <v>848</v>
      </c>
      <c r="B5048" s="3" t="s">
        <v>303</v>
      </c>
      <c r="C5048" s="3" t="s">
        <v>304</v>
      </c>
      <c r="D5048" s="3">
        <v>2</v>
      </c>
      <c r="E5048" s="3">
        <v>683.94489999999996</v>
      </c>
      <c r="F5048">
        <f t="shared" si="80"/>
        <v>1367.8897999999999</v>
      </c>
    </row>
    <row r="5049" spans="1:6" x14ac:dyDescent="0.2">
      <c r="A5049">
        <v>848</v>
      </c>
      <c r="B5049" s="3" t="s">
        <v>305</v>
      </c>
      <c r="C5049" s="3" t="s">
        <v>273</v>
      </c>
      <c r="D5049" s="3">
        <v>2</v>
      </c>
      <c r="E5049" s="3">
        <v>71.189099999999996</v>
      </c>
      <c r="F5049">
        <f t="shared" si="80"/>
        <v>142.37819999999999</v>
      </c>
    </row>
    <row r="5050" spans="1:6" x14ac:dyDescent="0.2">
      <c r="A5050">
        <v>848</v>
      </c>
      <c r="B5050" s="3" t="s">
        <v>294</v>
      </c>
      <c r="C5050" s="3" t="s">
        <v>278</v>
      </c>
      <c r="D5050" s="3">
        <v>8</v>
      </c>
      <c r="E5050" s="3">
        <v>26.221409999999999</v>
      </c>
      <c r="F5050">
        <f t="shared" si="80"/>
        <v>209.77127999999999</v>
      </c>
    </row>
    <row r="5051" spans="1:6" x14ac:dyDescent="0.2">
      <c r="A5051">
        <v>848</v>
      </c>
      <c r="B5051" s="3" t="s">
        <v>306</v>
      </c>
      <c r="C5051" s="3" t="s">
        <v>273</v>
      </c>
      <c r="D5051" s="3">
        <v>8</v>
      </c>
      <c r="E5051" s="3">
        <v>99.575779999999995</v>
      </c>
      <c r="F5051">
        <f t="shared" si="80"/>
        <v>796.60623999999996</v>
      </c>
    </row>
    <row r="5052" spans="1:6" x14ac:dyDescent="0.2">
      <c r="A5052">
        <v>848</v>
      </c>
      <c r="B5052" s="3" t="s">
        <v>294</v>
      </c>
      <c r="C5052" s="3" t="s">
        <v>278</v>
      </c>
      <c r="D5052" s="3">
        <v>8</v>
      </c>
      <c r="E5052" s="3">
        <v>26.221409999999999</v>
      </c>
      <c r="F5052">
        <f t="shared" si="80"/>
        <v>209.77127999999999</v>
      </c>
    </row>
    <row r="5053" spans="1:6" x14ac:dyDescent="0.2">
      <c r="A5053">
        <v>848</v>
      </c>
      <c r="B5053" s="3" t="s">
        <v>306</v>
      </c>
      <c r="C5053" s="3" t="s">
        <v>273</v>
      </c>
      <c r="D5053" s="3">
        <v>8</v>
      </c>
      <c r="E5053" s="3">
        <v>99.575779999999995</v>
      </c>
      <c r="F5053">
        <f t="shared" si="80"/>
        <v>796.60623999999996</v>
      </c>
    </row>
    <row r="5054" spans="1:6" x14ac:dyDescent="0.2">
      <c r="A5054">
        <v>848</v>
      </c>
      <c r="B5054" s="3" t="s">
        <v>308</v>
      </c>
      <c r="C5054" s="3" t="s">
        <v>309</v>
      </c>
      <c r="D5054" s="3">
        <v>1</v>
      </c>
      <c r="E5054" s="3">
        <v>167.62309999999999</v>
      </c>
      <c r="F5054">
        <f t="shared" si="80"/>
        <v>167.62309999999999</v>
      </c>
    </row>
    <row r="5055" spans="1:6" x14ac:dyDescent="0.2">
      <c r="A5055">
        <v>848</v>
      </c>
      <c r="B5055" s="3" t="s">
        <v>310</v>
      </c>
      <c r="C5055" s="3" t="s">
        <v>273</v>
      </c>
      <c r="D5055" s="3">
        <v>1</v>
      </c>
      <c r="E5055" s="3">
        <v>0.33200000000000002</v>
      </c>
      <c r="F5055">
        <f t="shared" si="80"/>
        <v>0.33200000000000002</v>
      </c>
    </row>
    <row r="5056" spans="1:6" x14ac:dyDescent="0.2">
      <c r="A5056">
        <v>848</v>
      </c>
      <c r="B5056" s="3" t="s">
        <v>197</v>
      </c>
      <c r="C5056" s="3" t="s">
        <v>278</v>
      </c>
      <c r="D5056" s="3">
        <v>8</v>
      </c>
      <c r="E5056" s="3">
        <v>7.4700000000000003E-2</v>
      </c>
      <c r="F5056">
        <f t="shared" si="80"/>
        <v>0.59760000000000002</v>
      </c>
    </row>
    <row r="5057" spans="1:6" x14ac:dyDescent="0.2">
      <c r="A5057">
        <v>848</v>
      </c>
      <c r="B5057" s="3" t="s">
        <v>311</v>
      </c>
      <c r="C5057" s="3" t="s">
        <v>273</v>
      </c>
      <c r="D5057" s="3">
        <v>52</v>
      </c>
      <c r="E5057" s="3">
        <v>1.5935999999999999</v>
      </c>
      <c r="F5057">
        <f t="shared" si="80"/>
        <v>82.867199999999997</v>
      </c>
    </row>
    <row r="5058" spans="1:6" x14ac:dyDescent="0.2">
      <c r="A5058">
        <v>848</v>
      </c>
      <c r="B5058" s="3" t="s">
        <v>312</v>
      </c>
      <c r="C5058" s="3" t="s">
        <v>278</v>
      </c>
      <c r="D5058" s="3">
        <v>3</v>
      </c>
      <c r="E5058" s="3">
        <v>21.040500000000002</v>
      </c>
      <c r="F5058">
        <f t="shared" si="80"/>
        <v>63.121500000000005</v>
      </c>
    </row>
    <row r="5059" spans="1:6" x14ac:dyDescent="0.2">
      <c r="A5059">
        <v>848</v>
      </c>
      <c r="B5059" s="3" t="s">
        <v>75</v>
      </c>
      <c r="C5059" s="3" t="s">
        <v>313</v>
      </c>
      <c r="D5059" s="3">
        <v>3</v>
      </c>
      <c r="E5059" s="3">
        <v>0.115385</v>
      </c>
      <c r="F5059">
        <f t="shared" si="80"/>
        <v>0.34615499999999999</v>
      </c>
    </row>
    <row r="5060" spans="1:6" x14ac:dyDescent="0.2">
      <c r="A5060">
        <v>848</v>
      </c>
      <c r="B5060" s="3" t="s">
        <v>314</v>
      </c>
      <c r="C5060" s="3" t="s">
        <v>273</v>
      </c>
      <c r="D5060" s="3">
        <v>36</v>
      </c>
      <c r="E5060" s="3">
        <v>0.45650000000000002</v>
      </c>
      <c r="F5060">
        <f t="shared" si="80"/>
        <v>16.434000000000001</v>
      </c>
    </row>
    <row r="5061" spans="1:6" x14ac:dyDescent="0.2">
      <c r="A5061">
        <v>848</v>
      </c>
      <c r="B5061" s="3" t="s">
        <v>314</v>
      </c>
      <c r="C5061" s="3" t="s">
        <v>315</v>
      </c>
      <c r="D5061" s="3">
        <v>12</v>
      </c>
      <c r="E5061" s="3">
        <v>0.45650000000000002</v>
      </c>
      <c r="F5061">
        <f t="shared" si="80"/>
        <v>5.4779999999999998</v>
      </c>
    </row>
    <row r="5062" spans="1:6" x14ac:dyDescent="0.2">
      <c r="A5062">
        <v>848</v>
      </c>
      <c r="B5062" s="3" t="s">
        <v>316</v>
      </c>
      <c r="C5062" s="3" t="s">
        <v>317</v>
      </c>
      <c r="D5062" s="3">
        <v>1</v>
      </c>
      <c r="E5062" s="3">
        <v>92.206620000000001</v>
      </c>
      <c r="F5062">
        <f t="shared" si="80"/>
        <v>92.206620000000001</v>
      </c>
    </row>
    <row r="5063" spans="1:6" x14ac:dyDescent="0.2">
      <c r="A5063">
        <v>848</v>
      </c>
      <c r="B5063" s="3" t="s">
        <v>318</v>
      </c>
      <c r="C5063" s="3" t="s">
        <v>319</v>
      </c>
      <c r="D5063" s="3">
        <v>2</v>
      </c>
      <c r="E5063" s="3">
        <v>85.453850000000003</v>
      </c>
      <c r="F5063">
        <f t="shared" si="80"/>
        <v>170.90770000000001</v>
      </c>
    </row>
    <row r="5064" spans="1:6" x14ac:dyDescent="0.2">
      <c r="A5064">
        <v>848</v>
      </c>
      <c r="B5064" s="3" t="s">
        <v>320</v>
      </c>
      <c r="C5064" s="3" t="s">
        <v>321</v>
      </c>
      <c r="D5064" s="3">
        <v>1</v>
      </c>
      <c r="E5064" s="3">
        <v>92.206620000000001</v>
      </c>
      <c r="F5064">
        <f t="shared" si="80"/>
        <v>92.206620000000001</v>
      </c>
    </row>
    <row r="5065" spans="1:6" x14ac:dyDescent="0.2">
      <c r="A5065">
        <v>848</v>
      </c>
      <c r="B5065" s="3" t="s">
        <v>267</v>
      </c>
      <c r="C5065" s="3" t="s">
        <v>268</v>
      </c>
      <c r="D5065" s="3">
        <v>1</v>
      </c>
      <c r="E5065" s="3">
        <v>84863.13</v>
      </c>
      <c r="F5065">
        <f t="shared" si="80"/>
        <v>84863.13</v>
      </c>
    </row>
    <row r="5066" spans="1:6" x14ac:dyDescent="0.2">
      <c r="A5066">
        <v>848</v>
      </c>
      <c r="B5066" s="3" t="s">
        <v>260</v>
      </c>
      <c r="C5066" s="3" t="s">
        <v>261</v>
      </c>
      <c r="D5066" s="3">
        <v>1</v>
      </c>
      <c r="E5066" s="3">
        <v>2908.2939999999999</v>
      </c>
      <c r="F5066">
        <f t="shared" si="80"/>
        <v>2908.2939999999999</v>
      </c>
    </row>
    <row r="5067" spans="1:6" x14ac:dyDescent="0.2">
      <c r="A5067">
        <v>848</v>
      </c>
      <c r="B5067" s="3" t="s">
        <v>262</v>
      </c>
      <c r="C5067" s="3" t="s">
        <v>263</v>
      </c>
      <c r="D5067" s="3">
        <v>1</v>
      </c>
      <c r="E5067" s="3">
        <v>3207.1970000000001</v>
      </c>
      <c r="F5067">
        <f t="shared" si="80"/>
        <v>3207.1970000000001</v>
      </c>
    </row>
    <row r="5068" spans="1:6" x14ac:dyDescent="0.2">
      <c r="A5068">
        <v>848</v>
      </c>
      <c r="B5068" s="3" t="s">
        <v>264</v>
      </c>
      <c r="C5068" s="3" t="s">
        <v>265</v>
      </c>
      <c r="D5068" s="3">
        <v>1</v>
      </c>
      <c r="E5068" s="3">
        <v>3466.7310000000002</v>
      </c>
      <c r="F5068">
        <f t="shared" ref="F5068:F5131" si="81">D5068*E5068</f>
        <v>3466.7310000000002</v>
      </c>
    </row>
    <row r="5069" spans="1:6" x14ac:dyDescent="0.2">
      <c r="A5069">
        <v>848</v>
      </c>
      <c r="B5069" s="3" t="s">
        <v>259</v>
      </c>
      <c r="C5069" s="3" t="s">
        <v>258</v>
      </c>
      <c r="D5069" s="3">
        <v>1</v>
      </c>
      <c r="E5069" s="3">
        <v>3325.9760000000001</v>
      </c>
      <c r="F5069">
        <f t="shared" si="81"/>
        <v>3325.9760000000001</v>
      </c>
    </row>
    <row r="5070" spans="1:6" x14ac:dyDescent="0.2">
      <c r="A5070">
        <v>848</v>
      </c>
      <c r="B5070" s="3" t="s">
        <v>257</v>
      </c>
      <c r="C5070" s="3" t="s">
        <v>258</v>
      </c>
      <c r="D5070" s="3">
        <v>1</v>
      </c>
      <c r="E5070" s="3">
        <v>3325.9760000000001</v>
      </c>
      <c r="F5070">
        <f t="shared" si="81"/>
        <v>3325.9760000000001</v>
      </c>
    </row>
    <row r="5071" spans="1:6" x14ac:dyDescent="0.2">
      <c r="A5071">
        <v>848</v>
      </c>
      <c r="B5071" s="3" t="s">
        <v>255</v>
      </c>
      <c r="C5071" s="3" t="s">
        <v>256</v>
      </c>
      <c r="D5071" s="3">
        <v>1</v>
      </c>
      <c r="E5071" s="3">
        <v>18546.09</v>
      </c>
      <c r="F5071">
        <f t="shared" si="81"/>
        <v>18546.09</v>
      </c>
    </row>
    <row r="5072" spans="1:6" x14ac:dyDescent="0.2">
      <c r="A5072">
        <v>848</v>
      </c>
      <c r="B5072" s="3" t="s">
        <v>359</v>
      </c>
      <c r="C5072" s="3" t="s">
        <v>360</v>
      </c>
      <c r="D5072" s="3">
        <v>1</v>
      </c>
      <c r="E5072" s="3">
        <v>1844.9380000000001</v>
      </c>
      <c r="F5072">
        <f t="shared" si="81"/>
        <v>1844.9380000000001</v>
      </c>
    </row>
    <row r="5073" spans="1:6" x14ac:dyDescent="0.2">
      <c r="A5073">
        <v>848</v>
      </c>
      <c r="B5073" s="3" t="s">
        <v>389</v>
      </c>
      <c r="C5073" s="3" t="s">
        <v>390</v>
      </c>
      <c r="D5073">
        <v>1</v>
      </c>
      <c r="E5073" s="3">
        <v>4906</v>
      </c>
      <c r="F5073">
        <f t="shared" si="81"/>
        <v>4906</v>
      </c>
    </row>
    <row r="5074" spans="1:6" x14ac:dyDescent="0.2">
      <c r="A5074">
        <v>849</v>
      </c>
      <c r="B5074" s="3" t="s">
        <v>62</v>
      </c>
      <c r="C5074" s="3" t="s">
        <v>63</v>
      </c>
      <c r="D5074" s="3">
        <v>1</v>
      </c>
      <c r="E5074" s="3">
        <v>0.34860000000000002</v>
      </c>
      <c r="F5074">
        <f t="shared" si="81"/>
        <v>0.34860000000000002</v>
      </c>
    </row>
    <row r="5075" spans="1:6" x14ac:dyDescent="0.2">
      <c r="A5075">
        <v>849</v>
      </c>
      <c r="B5075" s="3" t="s">
        <v>64</v>
      </c>
      <c r="C5075" s="3" t="s">
        <v>65</v>
      </c>
      <c r="D5075" s="3">
        <v>1</v>
      </c>
      <c r="E5075" s="3">
        <v>803.07690000000002</v>
      </c>
      <c r="F5075">
        <f t="shared" si="81"/>
        <v>803.07690000000002</v>
      </c>
    </row>
    <row r="5076" spans="1:6" x14ac:dyDescent="0.2">
      <c r="A5076">
        <v>849</v>
      </c>
      <c r="B5076" s="3" t="s">
        <v>67</v>
      </c>
      <c r="C5076" s="3" t="s">
        <v>68</v>
      </c>
      <c r="D5076" s="3">
        <v>1</v>
      </c>
      <c r="E5076" s="3">
        <v>49.678570000000001</v>
      </c>
      <c r="F5076">
        <f t="shared" si="81"/>
        <v>49.678570000000001</v>
      </c>
    </row>
    <row r="5077" spans="1:6" x14ac:dyDescent="0.2">
      <c r="A5077">
        <v>849</v>
      </c>
      <c r="B5077" s="3" t="s">
        <v>70</v>
      </c>
      <c r="C5077" s="3" t="s">
        <v>71</v>
      </c>
      <c r="D5077" s="3">
        <v>2</v>
      </c>
      <c r="E5077" s="3">
        <v>407.98649999999998</v>
      </c>
      <c r="F5077">
        <f t="shared" si="81"/>
        <v>815.97299999999996</v>
      </c>
    </row>
    <row r="5078" spans="1:6" x14ac:dyDescent="0.2">
      <c r="A5078">
        <v>849</v>
      </c>
      <c r="B5078" s="3" t="s">
        <v>73</v>
      </c>
      <c r="C5078" s="3" t="s">
        <v>74</v>
      </c>
      <c r="D5078" s="3">
        <v>5</v>
      </c>
      <c r="E5078" s="3">
        <v>0.57783899999999999</v>
      </c>
      <c r="F5078">
        <f t="shared" si="81"/>
        <v>2.889195</v>
      </c>
    </row>
    <row r="5079" spans="1:6" x14ac:dyDescent="0.2">
      <c r="A5079">
        <v>849</v>
      </c>
      <c r="B5079" s="3" t="s">
        <v>75</v>
      </c>
      <c r="C5079" s="3" t="s">
        <v>76</v>
      </c>
      <c r="D5079" s="3">
        <v>75</v>
      </c>
      <c r="E5079" s="3">
        <v>0.115385</v>
      </c>
      <c r="F5079">
        <f t="shared" si="81"/>
        <v>8.6538749999999993</v>
      </c>
    </row>
    <row r="5080" spans="1:6" x14ac:dyDescent="0.2">
      <c r="A5080">
        <v>849</v>
      </c>
      <c r="B5080" s="3" t="s">
        <v>77</v>
      </c>
      <c r="C5080" s="3" t="s">
        <v>74</v>
      </c>
      <c r="D5080" s="3">
        <v>10</v>
      </c>
      <c r="E5080" s="3">
        <v>1.3944000000000001</v>
      </c>
      <c r="F5080">
        <f t="shared" si="81"/>
        <v>13.944000000000001</v>
      </c>
    </row>
    <row r="5081" spans="1:6" x14ac:dyDescent="0.2">
      <c r="A5081">
        <v>849</v>
      </c>
      <c r="B5081" s="3" t="s">
        <v>78</v>
      </c>
      <c r="C5081" s="3" t="s">
        <v>76</v>
      </c>
      <c r="D5081" s="3">
        <v>20</v>
      </c>
      <c r="E5081" s="3">
        <v>0.71839500000000001</v>
      </c>
      <c r="F5081">
        <f t="shared" si="81"/>
        <v>14.367900000000001</v>
      </c>
    </row>
    <row r="5082" spans="1:6" x14ac:dyDescent="0.2">
      <c r="A5082">
        <v>849</v>
      </c>
      <c r="B5082" s="3" t="s">
        <v>79</v>
      </c>
      <c r="C5082" s="3" t="s">
        <v>74</v>
      </c>
      <c r="D5082" s="3">
        <v>15</v>
      </c>
      <c r="E5082" s="3">
        <v>1.930769</v>
      </c>
      <c r="F5082">
        <f t="shared" si="81"/>
        <v>28.961534999999998</v>
      </c>
    </row>
    <row r="5083" spans="1:6" x14ac:dyDescent="0.2">
      <c r="A5083">
        <v>849</v>
      </c>
      <c r="B5083" s="3" t="s">
        <v>80</v>
      </c>
      <c r="C5083" s="3" t="s">
        <v>74</v>
      </c>
      <c r="D5083" s="3">
        <v>40</v>
      </c>
      <c r="E5083" s="3">
        <v>0.95450000000000002</v>
      </c>
      <c r="F5083">
        <f t="shared" si="81"/>
        <v>38.18</v>
      </c>
    </row>
    <row r="5084" spans="1:6" x14ac:dyDescent="0.2">
      <c r="A5084">
        <v>849</v>
      </c>
      <c r="B5084" s="3" t="s">
        <v>81</v>
      </c>
      <c r="C5084" s="3" t="s">
        <v>74</v>
      </c>
      <c r="D5084" s="3">
        <v>65</v>
      </c>
      <c r="E5084" s="3">
        <v>0.76359999999999995</v>
      </c>
      <c r="F5084">
        <f t="shared" si="81"/>
        <v>49.633999999999993</v>
      </c>
    </row>
    <row r="5085" spans="1:6" x14ac:dyDescent="0.2">
      <c r="A5085">
        <v>849</v>
      </c>
      <c r="B5085" s="3" t="s">
        <v>82</v>
      </c>
      <c r="C5085" s="3" t="s">
        <v>83</v>
      </c>
      <c r="D5085" s="3">
        <v>5</v>
      </c>
      <c r="E5085" s="3">
        <v>20.351600000000001</v>
      </c>
      <c r="F5085">
        <f t="shared" si="81"/>
        <v>101.75800000000001</v>
      </c>
    </row>
    <row r="5086" spans="1:6" x14ac:dyDescent="0.2">
      <c r="A5086">
        <v>849</v>
      </c>
      <c r="B5086" s="3" t="s">
        <v>84</v>
      </c>
      <c r="C5086" s="3" t="s">
        <v>85</v>
      </c>
      <c r="D5086" s="3">
        <v>5</v>
      </c>
      <c r="E5086" s="3">
        <v>102.3322</v>
      </c>
      <c r="F5086">
        <f t="shared" si="81"/>
        <v>511.661</v>
      </c>
    </row>
    <row r="5087" spans="1:6" x14ac:dyDescent="0.2">
      <c r="A5087">
        <v>849</v>
      </c>
      <c r="B5087" s="3" t="s">
        <v>86</v>
      </c>
      <c r="C5087" s="3" t="s">
        <v>85</v>
      </c>
      <c r="D5087" s="3">
        <v>5</v>
      </c>
      <c r="E5087" s="3">
        <v>144.2646</v>
      </c>
      <c r="F5087">
        <f t="shared" si="81"/>
        <v>721.32299999999998</v>
      </c>
    </row>
    <row r="5088" spans="1:6" x14ac:dyDescent="0.2">
      <c r="A5088">
        <v>849</v>
      </c>
      <c r="B5088" s="3" t="s">
        <v>87</v>
      </c>
      <c r="C5088" s="3" t="s">
        <v>88</v>
      </c>
      <c r="D5088" s="3">
        <v>5</v>
      </c>
      <c r="E5088" s="3">
        <v>162.0215</v>
      </c>
      <c r="F5088">
        <f t="shared" si="81"/>
        <v>810.10750000000007</v>
      </c>
    </row>
    <row r="5089" spans="1:6" x14ac:dyDescent="0.2">
      <c r="A5089">
        <v>849</v>
      </c>
      <c r="B5089" s="3" t="s">
        <v>89</v>
      </c>
      <c r="C5089" s="3" t="s">
        <v>85</v>
      </c>
      <c r="D5089" s="3">
        <v>5</v>
      </c>
      <c r="E5089" s="3">
        <v>211.0129</v>
      </c>
      <c r="F5089">
        <f t="shared" si="81"/>
        <v>1055.0645</v>
      </c>
    </row>
    <row r="5090" spans="1:6" x14ac:dyDescent="0.2">
      <c r="A5090">
        <v>849</v>
      </c>
      <c r="B5090" s="3" t="s">
        <v>90</v>
      </c>
      <c r="C5090" s="3" t="s">
        <v>88</v>
      </c>
      <c r="D5090" s="3">
        <v>5</v>
      </c>
      <c r="E5090" s="3">
        <v>238.1635</v>
      </c>
      <c r="F5090">
        <f t="shared" si="81"/>
        <v>1190.8175000000001</v>
      </c>
    </row>
    <row r="5091" spans="1:6" x14ac:dyDescent="0.2">
      <c r="A5091">
        <v>849</v>
      </c>
      <c r="B5091" s="3" t="s">
        <v>92</v>
      </c>
      <c r="C5091" s="3" t="s">
        <v>93</v>
      </c>
      <c r="D5091" s="3">
        <v>5</v>
      </c>
      <c r="E5091" s="3">
        <v>19.297499999999999</v>
      </c>
      <c r="F5091">
        <f t="shared" si="81"/>
        <v>96.487499999999997</v>
      </c>
    </row>
    <row r="5092" spans="1:6" x14ac:dyDescent="0.2">
      <c r="A5092">
        <v>849</v>
      </c>
      <c r="B5092" s="3" t="s">
        <v>94</v>
      </c>
      <c r="C5092" s="3" t="s">
        <v>95</v>
      </c>
      <c r="D5092" s="3">
        <v>1</v>
      </c>
      <c r="E5092" s="3">
        <v>644.46270000000004</v>
      </c>
      <c r="F5092">
        <f t="shared" si="81"/>
        <v>644.46270000000004</v>
      </c>
    </row>
    <row r="5093" spans="1:6" x14ac:dyDescent="0.2">
      <c r="A5093">
        <v>849</v>
      </c>
      <c r="B5093" s="3" t="s">
        <v>236</v>
      </c>
      <c r="C5093" s="3" t="s">
        <v>237</v>
      </c>
      <c r="D5093" s="3">
        <v>6</v>
      </c>
      <c r="E5093" s="3">
        <v>132.80000000000001</v>
      </c>
      <c r="F5093">
        <f t="shared" si="81"/>
        <v>796.80000000000007</v>
      </c>
    </row>
    <row r="5094" spans="1:6" x14ac:dyDescent="0.2">
      <c r="A5094">
        <v>849</v>
      </c>
      <c r="B5094" s="3" t="s">
        <v>238</v>
      </c>
      <c r="C5094" s="3" t="s">
        <v>239</v>
      </c>
      <c r="D5094" s="3">
        <v>4</v>
      </c>
      <c r="E5094" s="3">
        <v>340.93849999999998</v>
      </c>
      <c r="F5094">
        <f t="shared" si="81"/>
        <v>1363.7539999999999</v>
      </c>
    </row>
    <row r="5095" spans="1:6" x14ac:dyDescent="0.2">
      <c r="A5095">
        <v>849</v>
      </c>
      <c r="B5095" s="3" t="s">
        <v>240</v>
      </c>
      <c r="C5095" s="3" t="s">
        <v>241</v>
      </c>
      <c r="D5095" s="3">
        <v>4</v>
      </c>
      <c r="E5095" s="3">
        <v>309.0154</v>
      </c>
      <c r="F5095">
        <f t="shared" si="81"/>
        <v>1236.0616</v>
      </c>
    </row>
    <row r="5096" spans="1:6" x14ac:dyDescent="0.2">
      <c r="A5096">
        <v>849</v>
      </c>
      <c r="B5096" s="3" t="s">
        <v>242</v>
      </c>
      <c r="C5096" s="3" t="s">
        <v>243</v>
      </c>
      <c r="D5096" s="3">
        <v>2</v>
      </c>
      <c r="E5096" s="3">
        <v>427.76920000000001</v>
      </c>
      <c r="F5096">
        <f t="shared" si="81"/>
        <v>855.53840000000002</v>
      </c>
    </row>
    <row r="5097" spans="1:6" x14ac:dyDescent="0.2">
      <c r="A5097">
        <v>849</v>
      </c>
      <c r="B5097" s="3" t="s">
        <v>244</v>
      </c>
      <c r="C5097" s="3" t="s">
        <v>184</v>
      </c>
      <c r="D5097" s="3">
        <v>4</v>
      </c>
      <c r="E5097" s="3">
        <v>18.643080000000001</v>
      </c>
      <c r="F5097">
        <f t="shared" si="81"/>
        <v>74.572320000000005</v>
      </c>
    </row>
    <row r="5098" spans="1:6" x14ac:dyDescent="0.2">
      <c r="A5098">
        <v>849</v>
      </c>
      <c r="B5098" s="3" t="s">
        <v>245</v>
      </c>
      <c r="C5098" s="3" t="s">
        <v>246</v>
      </c>
      <c r="D5098" s="3">
        <v>8</v>
      </c>
      <c r="E5098" s="3">
        <v>0.44819999999999999</v>
      </c>
      <c r="F5098">
        <f t="shared" si="81"/>
        <v>3.5855999999999999</v>
      </c>
    </row>
    <row r="5099" spans="1:6" x14ac:dyDescent="0.2">
      <c r="A5099">
        <v>849</v>
      </c>
      <c r="B5099" s="3" t="s">
        <v>75</v>
      </c>
      <c r="C5099" s="3" t="s">
        <v>247</v>
      </c>
      <c r="D5099" s="3">
        <v>8</v>
      </c>
      <c r="E5099" s="3">
        <v>0.115385</v>
      </c>
      <c r="F5099">
        <f t="shared" si="81"/>
        <v>0.92308000000000001</v>
      </c>
    </row>
    <row r="5100" spans="1:6" x14ac:dyDescent="0.2">
      <c r="A5100">
        <v>849</v>
      </c>
      <c r="B5100" s="3" t="s">
        <v>197</v>
      </c>
      <c r="C5100" s="3" t="s">
        <v>117</v>
      </c>
      <c r="D5100" s="3">
        <v>8</v>
      </c>
      <c r="E5100" s="3">
        <v>7.4700000000000003E-2</v>
      </c>
      <c r="F5100">
        <f t="shared" si="81"/>
        <v>0.59760000000000002</v>
      </c>
    </row>
    <row r="5101" spans="1:6" x14ac:dyDescent="0.2">
      <c r="A5101">
        <v>849</v>
      </c>
      <c r="B5101" s="3" t="s">
        <v>248</v>
      </c>
      <c r="C5101" s="3" t="s">
        <v>249</v>
      </c>
      <c r="D5101" s="3">
        <v>1</v>
      </c>
      <c r="E5101" s="3">
        <v>31064.98</v>
      </c>
      <c r="F5101">
        <f t="shared" si="81"/>
        <v>31064.98</v>
      </c>
    </row>
    <row r="5102" spans="1:6" x14ac:dyDescent="0.2">
      <c r="A5102">
        <v>849</v>
      </c>
      <c r="B5102" s="3" t="s">
        <v>250</v>
      </c>
      <c r="C5102" s="3" t="s">
        <v>251</v>
      </c>
      <c r="D5102" s="3">
        <v>2</v>
      </c>
      <c r="E5102" s="3">
        <v>564.5412</v>
      </c>
      <c r="F5102">
        <f t="shared" si="81"/>
        <v>1129.0824</v>
      </c>
    </row>
    <row r="5103" spans="1:6" x14ac:dyDescent="0.2">
      <c r="A5103">
        <v>849</v>
      </c>
      <c r="B5103" s="3" t="s">
        <v>146</v>
      </c>
      <c r="C5103" s="3" t="s">
        <v>147</v>
      </c>
      <c r="D5103" s="3">
        <v>2</v>
      </c>
      <c r="E5103" s="3">
        <v>8021.5770000000002</v>
      </c>
      <c r="F5103">
        <f t="shared" si="81"/>
        <v>16043.154</v>
      </c>
    </row>
    <row r="5104" spans="1:6" x14ac:dyDescent="0.2">
      <c r="A5104">
        <v>849</v>
      </c>
      <c r="B5104" s="3" t="s">
        <v>215</v>
      </c>
      <c r="C5104" s="3" t="s">
        <v>208</v>
      </c>
      <c r="D5104" s="3">
        <v>1</v>
      </c>
      <c r="E5104" s="3">
        <v>1.4289810000000001</v>
      </c>
      <c r="F5104">
        <f t="shared" si="81"/>
        <v>1.4289810000000001</v>
      </c>
    </row>
    <row r="5105" spans="1:6" x14ac:dyDescent="0.2">
      <c r="A5105">
        <v>849</v>
      </c>
      <c r="B5105" s="3" t="s">
        <v>200</v>
      </c>
      <c r="C5105" s="3" t="s">
        <v>199</v>
      </c>
      <c r="D5105" s="3">
        <v>3</v>
      </c>
      <c r="E5105" s="3">
        <v>0.66373400000000005</v>
      </c>
      <c r="F5105">
        <f t="shared" si="81"/>
        <v>1.9912020000000001</v>
      </c>
    </row>
    <row r="5106" spans="1:6" x14ac:dyDescent="0.2">
      <c r="A5106">
        <v>849</v>
      </c>
      <c r="B5106" s="3" t="s">
        <v>216</v>
      </c>
      <c r="C5106" s="3" t="s">
        <v>199</v>
      </c>
      <c r="D5106" s="3">
        <v>3</v>
      </c>
      <c r="E5106" s="3">
        <v>0.66400000000000003</v>
      </c>
      <c r="F5106">
        <f t="shared" si="81"/>
        <v>1.992</v>
      </c>
    </row>
    <row r="5107" spans="1:6" x14ac:dyDescent="0.2">
      <c r="A5107">
        <v>849</v>
      </c>
      <c r="B5107" s="3" t="s">
        <v>217</v>
      </c>
      <c r="C5107" s="3" t="s">
        <v>199</v>
      </c>
      <c r="D5107" s="3">
        <v>3</v>
      </c>
      <c r="E5107" s="3">
        <v>4.2164000000000001</v>
      </c>
      <c r="F5107">
        <f t="shared" si="81"/>
        <v>12.6492</v>
      </c>
    </row>
    <row r="5108" spans="1:6" x14ac:dyDescent="0.2">
      <c r="A5108">
        <v>849</v>
      </c>
      <c r="B5108" s="3" t="s">
        <v>218</v>
      </c>
      <c r="C5108" s="3" t="s">
        <v>208</v>
      </c>
      <c r="D5108" s="3">
        <v>3</v>
      </c>
      <c r="E5108" s="3">
        <v>7.3455000000000004</v>
      </c>
      <c r="F5108">
        <f t="shared" si="81"/>
        <v>22.0365</v>
      </c>
    </row>
    <row r="5109" spans="1:6" x14ac:dyDescent="0.2">
      <c r="A5109">
        <v>849</v>
      </c>
      <c r="B5109" s="3" t="s">
        <v>219</v>
      </c>
      <c r="C5109" s="3" t="s">
        <v>199</v>
      </c>
      <c r="D5109" s="3">
        <v>3</v>
      </c>
      <c r="E5109" s="3">
        <v>1.4774</v>
      </c>
      <c r="F5109">
        <f t="shared" si="81"/>
        <v>4.4321999999999999</v>
      </c>
    </row>
    <row r="5110" spans="1:6" x14ac:dyDescent="0.2">
      <c r="A5110">
        <v>849</v>
      </c>
      <c r="B5110" s="3" t="s">
        <v>220</v>
      </c>
      <c r="C5110" s="3" t="s">
        <v>208</v>
      </c>
      <c r="D5110" s="3">
        <v>1</v>
      </c>
      <c r="E5110" s="3">
        <v>3.7267000000000001</v>
      </c>
      <c r="F5110">
        <f t="shared" si="81"/>
        <v>3.7267000000000001</v>
      </c>
    </row>
    <row r="5111" spans="1:6" x14ac:dyDescent="0.2">
      <c r="A5111">
        <v>849</v>
      </c>
      <c r="B5111" s="3" t="s">
        <v>221</v>
      </c>
      <c r="C5111" s="3" t="s">
        <v>199</v>
      </c>
      <c r="D5111" s="3">
        <v>6</v>
      </c>
      <c r="E5111" s="3">
        <v>0.97940000000000005</v>
      </c>
      <c r="F5111">
        <f t="shared" si="81"/>
        <v>5.8764000000000003</v>
      </c>
    </row>
    <row r="5112" spans="1:6" x14ac:dyDescent="0.2">
      <c r="A5112">
        <v>849</v>
      </c>
      <c r="B5112" s="3" t="s">
        <v>222</v>
      </c>
      <c r="C5112" s="3" t="s">
        <v>208</v>
      </c>
      <c r="D5112" s="3">
        <v>2</v>
      </c>
      <c r="E5112" s="3">
        <v>6.0673000000000004</v>
      </c>
      <c r="F5112">
        <f t="shared" si="81"/>
        <v>12.134600000000001</v>
      </c>
    </row>
    <row r="5113" spans="1:6" x14ac:dyDescent="0.2">
      <c r="A5113">
        <v>849</v>
      </c>
      <c r="B5113" s="3" t="s">
        <v>223</v>
      </c>
      <c r="C5113" s="3" t="s">
        <v>224</v>
      </c>
      <c r="D5113" s="3">
        <v>1</v>
      </c>
      <c r="E5113" s="3">
        <v>19.4635</v>
      </c>
      <c r="F5113">
        <f t="shared" si="81"/>
        <v>19.4635</v>
      </c>
    </row>
    <row r="5114" spans="1:6" x14ac:dyDescent="0.2">
      <c r="A5114">
        <v>849</v>
      </c>
      <c r="B5114" s="3" t="s">
        <v>225</v>
      </c>
      <c r="C5114" s="3" t="s">
        <v>226</v>
      </c>
      <c r="D5114" s="3">
        <v>5</v>
      </c>
      <c r="E5114" s="3">
        <v>10.22151</v>
      </c>
      <c r="F5114">
        <f t="shared" si="81"/>
        <v>51.107550000000003</v>
      </c>
    </row>
    <row r="5115" spans="1:6" x14ac:dyDescent="0.2">
      <c r="A5115">
        <v>849</v>
      </c>
      <c r="B5115" s="3" t="s">
        <v>227</v>
      </c>
      <c r="C5115" s="3" t="s">
        <v>208</v>
      </c>
      <c r="D5115" s="3">
        <v>1</v>
      </c>
      <c r="E5115" s="3">
        <v>3.6307689999999999</v>
      </c>
      <c r="F5115">
        <f t="shared" si="81"/>
        <v>3.6307689999999999</v>
      </c>
    </row>
    <row r="5116" spans="1:6" x14ac:dyDescent="0.2">
      <c r="A5116">
        <v>849</v>
      </c>
      <c r="B5116" s="3" t="s">
        <v>228</v>
      </c>
      <c r="C5116" s="3" t="s">
        <v>229</v>
      </c>
      <c r="D5116" s="3">
        <v>1</v>
      </c>
      <c r="E5116" s="3">
        <v>306.94979999999998</v>
      </c>
      <c r="F5116">
        <f t="shared" si="81"/>
        <v>306.94979999999998</v>
      </c>
    </row>
    <row r="5117" spans="1:6" x14ac:dyDescent="0.2">
      <c r="A5117">
        <v>849</v>
      </c>
      <c r="B5117" s="3" t="s">
        <v>116</v>
      </c>
      <c r="C5117" s="3" t="s">
        <v>117</v>
      </c>
      <c r="D5117" s="3">
        <v>1</v>
      </c>
      <c r="E5117" s="3">
        <v>0.25729999999999997</v>
      </c>
      <c r="F5117">
        <f t="shared" si="81"/>
        <v>0.25729999999999997</v>
      </c>
    </row>
    <row r="5118" spans="1:6" x14ac:dyDescent="0.2">
      <c r="A5118">
        <v>849</v>
      </c>
      <c r="B5118" s="3" t="s">
        <v>78</v>
      </c>
      <c r="C5118" s="3" t="s">
        <v>76</v>
      </c>
      <c r="D5118" s="3">
        <v>5</v>
      </c>
      <c r="E5118" s="3">
        <v>0.71839500000000001</v>
      </c>
      <c r="F5118">
        <f t="shared" si="81"/>
        <v>3.5919750000000001</v>
      </c>
    </row>
    <row r="5119" spans="1:6" x14ac:dyDescent="0.2">
      <c r="A5119">
        <v>849</v>
      </c>
      <c r="B5119" s="3" t="s">
        <v>231</v>
      </c>
      <c r="C5119" s="3" t="s">
        <v>208</v>
      </c>
      <c r="D5119" s="3">
        <v>5</v>
      </c>
      <c r="E5119" s="3">
        <v>2.0832999999999999</v>
      </c>
      <c r="F5119">
        <f t="shared" si="81"/>
        <v>10.416499999999999</v>
      </c>
    </row>
    <row r="5120" spans="1:6" x14ac:dyDescent="0.2">
      <c r="A5120">
        <v>849</v>
      </c>
      <c r="B5120" s="3" t="s">
        <v>232</v>
      </c>
      <c r="C5120" s="3" t="s">
        <v>119</v>
      </c>
      <c r="D5120" s="3">
        <v>1</v>
      </c>
      <c r="E5120" s="3">
        <v>1.5935999999999999</v>
      </c>
      <c r="F5120">
        <f t="shared" si="81"/>
        <v>1.5935999999999999</v>
      </c>
    </row>
    <row r="5121" spans="1:6" x14ac:dyDescent="0.2">
      <c r="A5121">
        <v>849</v>
      </c>
      <c r="B5121" s="3" t="s">
        <v>233</v>
      </c>
      <c r="C5121" s="3" t="s">
        <v>234</v>
      </c>
      <c r="D5121" s="3">
        <v>1</v>
      </c>
      <c r="E5121" s="3">
        <v>3989.2950000000001</v>
      </c>
      <c r="F5121">
        <f t="shared" si="81"/>
        <v>3989.2950000000001</v>
      </c>
    </row>
    <row r="5122" spans="1:6" x14ac:dyDescent="0.2">
      <c r="A5122">
        <v>849</v>
      </c>
      <c r="B5122" s="3" t="s">
        <v>142</v>
      </c>
      <c r="C5122" s="3" t="s">
        <v>143</v>
      </c>
      <c r="D5122" s="3">
        <v>4</v>
      </c>
      <c r="E5122" s="3">
        <v>18141.64</v>
      </c>
      <c r="F5122">
        <f t="shared" si="81"/>
        <v>72566.559999999998</v>
      </c>
    </row>
    <row r="5123" spans="1:6" x14ac:dyDescent="0.2">
      <c r="A5123">
        <v>849</v>
      </c>
      <c r="B5123" s="3" t="s">
        <v>144</v>
      </c>
      <c r="C5123" s="3" t="s">
        <v>145</v>
      </c>
      <c r="D5123" s="3">
        <v>3</v>
      </c>
      <c r="E5123" s="3">
        <v>7346.6769999999997</v>
      </c>
      <c r="F5123">
        <f t="shared" si="81"/>
        <v>22040.030999999999</v>
      </c>
    </row>
    <row r="5124" spans="1:6" x14ac:dyDescent="0.2">
      <c r="A5124">
        <v>849</v>
      </c>
      <c r="B5124" s="3" t="s">
        <v>197</v>
      </c>
      <c r="C5124" s="3" t="s">
        <v>117</v>
      </c>
      <c r="D5124" s="3">
        <v>1</v>
      </c>
      <c r="E5124" s="3">
        <v>7.4700000000000003E-2</v>
      </c>
      <c r="F5124">
        <f t="shared" si="81"/>
        <v>7.4700000000000003E-2</v>
      </c>
    </row>
    <row r="5125" spans="1:6" x14ac:dyDescent="0.2">
      <c r="A5125">
        <v>849</v>
      </c>
      <c r="B5125" s="3" t="s">
        <v>198</v>
      </c>
      <c r="C5125" s="3" t="s">
        <v>199</v>
      </c>
      <c r="D5125" s="3">
        <v>3</v>
      </c>
      <c r="E5125" s="3">
        <v>0.66373400000000005</v>
      </c>
      <c r="F5125">
        <f t="shared" si="81"/>
        <v>1.9912020000000001</v>
      </c>
    </row>
    <row r="5126" spans="1:6" x14ac:dyDescent="0.2">
      <c r="A5126">
        <v>849</v>
      </c>
      <c r="B5126" s="3" t="s">
        <v>200</v>
      </c>
      <c r="C5126" s="3" t="s">
        <v>199</v>
      </c>
      <c r="D5126" s="3">
        <v>2</v>
      </c>
      <c r="E5126" s="3">
        <v>0.66373400000000005</v>
      </c>
      <c r="F5126">
        <f t="shared" si="81"/>
        <v>1.3274680000000001</v>
      </c>
    </row>
    <row r="5127" spans="1:6" x14ac:dyDescent="0.2">
      <c r="A5127">
        <v>849</v>
      </c>
      <c r="B5127" s="3" t="s">
        <v>201</v>
      </c>
      <c r="C5127" s="3" t="s">
        <v>76</v>
      </c>
      <c r="D5127" s="3">
        <v>4</v>
      </c>
      <c r="E5127" s="3">
        <v>0.22645100000000001</v>
      </c>
      <c r="F5127">
        <f t="shared" si="81"/>
        <v>0.90580400000000005</v>
      </c>
    </row>
    <row r="5128" spans="1:6" x14ac:dyDescent="0.2">
      <c r="A5128">
        <v>849</v>
      </c>
      <c r="B5128" s="3" t="s">
        <v>202</v>
      </c>
      <c r="C5128" s="3" t="s">
        <v>203</v>
      </c>
      <c r="D5128" s="3">
        <v>1</v>
      </c>
      <c r="E5128" s="3">
        <v>12.45</v>
      </c>
      <c r="F5128">
        <f t="shared" si="81"/>
        <v>12.45</v>
      </c>
    </row>
    <row r="5129" spans="1:6" x14ac:dyDescent="0.2">
      <c r="A5129">
        <v>849</v>
      </c>
      <c r="B5129" s="3" t="s">
        <v>204</v>
      </c>
      <c r="C5129" s="3" t="s">
        <v>205</v>
      </c>
      <c r="D5129" s="3">
        <v>118</v>
      </c>
      <c r="E5129" s="3">
        <v>103.7222</v>
      </c>
      <c r="F5129">
        <f t="shared" si="81"/>
        <v>12239.2196</v>
      </c>
    </row>
    <row r="5130" spans="1:6" x14ac:dyDescent="0.2">
      <c r="A5130">
        <v>849</v>
      </c>
      <c r="B5130" s="3" t="s">
        <v>116</v>
      </c>
      <c r="C5130" s="3" t="s">
        <v>117</v>
      </c>
      <c r="D5130" s="3">
        <v>1</v>
      </c>
      <c r="E5130" s="3">
        <v>0.25729999999999997</v>
      </c>
      <c r="F5130">
        <f t="shared" si="81"/>
        <v>0.25729999999999997</v>
      </c>
    </row>
    <row r="5131" spans="1:6" x14ac:dyDescent="0.2">
      <c r="A5131">
        <v>849</v>
      </c>
      <c r="B5131" s="3" t="s">
        <v>78</v>
      </c>
      <c r="C5131" s="3" t="s">
        <v>76</v>
      </c>
      <c r="D5131" s="3">
        <v>1</v>
      </c>
      <c r="E5131" s="3">
        <v>0.71839500000000001</v>
      </c>
      <c r="F5131">
        <f t="shared" si="81"/>
        <v>0.71839500000000001</v>
      </c>
    </row>
    <row r="5132" spans="1:6" x14ac:dyDescent="0.2">
      <c r="A5132">
        <v>849</v>
      </c>
      <c r="B5132" s="3" t="s">
        <v>207</v>
      </c>
      <c r="C5132" s="3" t="s">
        <v>208</v>
      </c>
      <c r="D5132" s="3">
        <v>3</v>
      </c>
      <c r="E5132" s="3">
        <v>4.6314000000000002</v>
      </c>
      <c r="F5132">
        <f t="shared" ref="F5132:F5195" si="82">D5132*E5132</f>
        <v>13.894200000000001</v>
      </c>
    </row>
    <row r="5133" spans="1:6" x14ac:dyDescent="0.2">
      <c r="A5133">
        <v>849</v>
      </c>
      <c r="B5133" s="3" t="s">
        <v>209</v>
      </c>
      <c r="C5133" s="3" t="s">
        <v>210</v>
      </c>
      <c r="D5133" s="3">
        <v>1</v>
      </c>
      <c r="E5133" s="3">
        <v>39.550759999999997</v>
      </c>
      <c r="F5133">
        <f t="shared" si="82"/>
        <v>39.550759999999997</v>
      </c>
    </row>
    <row r="5134" spans="1:6" x14ac:dyDescent="0.2">
      <c r="A5134">
        <v>849</v>
      </c>
      <c r="B5134" s="3" t="s">
        <v>211</v>
      </c>
      <c r="C5134" s="3" t="s">
        <v>203</v>
      </c>
      <c r="D5134" s="3">
        <v>2</v>
      </c>
      <c r="E5134" s="3">
        <v>25.754899999999999</v>
      </c>
      <c r="F5134">
        <f t="shared" si="82"/>
        <v>51.509799999999998</v>
      </c>
    </row>
    <row r="5135" spans="1:6" x14ac:dyDescent="0.2">
      <c r="A5135">
        <v>849</v>
      </c>
      <c r="B5135" s="3" t="s">
        <v>212</v>
      </c>
      <c r="C5135" s="3" t="s">
        <v>213</v>
      </c>
      <c r="D5135" s="3">
        <v>3</v>
      </c>
      <c r="E5135" s="3">
        <v>272.92059999999998</v>
      </c>
      <c r="F5135">
        <f t="shared" si="82"/>
        <v>818.76179999999999</v>
      </c>
    </row>
    <row r="5136" spans="1:6" x14ac:dyDescent="0.2">
      <c r="A5136">
        <v>849</v>
      </c>
      <c r="B5136" s="3" t="s">
        <v>149</v>
      </c>
      <c r="C5136" s="3" t="s">
        <v>150</v>
      </c>
      <c r="D5136" s="3">
        <v>6</v>
      </c>
      <c r="E5136" s="3">
        <v>0.70550000000000002</v>
      </c>
      <c r="F5136">
        <f t="shared" si="82"/>
        <v>4.2330000000000005</v>
      </c>
    </row>
    <row r="5137" spans="1:6" x14ac:dyDescent="0.2">
      <c r="A5137">
        <v>849</v>
      </c>
      <c r="B5137" s="3" t="s">
        <v>151</v>
      </c>
      <c r="C5137" s="3" t="s">
        <v>152</v>
      </c>
      <c r="D5137" s="3">
        <v>6</v>
      </c>
      <c r="E5137" s="3">
        <v>5.6191000000000004</v>
      </c>
      <c r="F5137">
        <f t="shared" si="82"/>
        <v>33.714600000000004</v>
      </c>
    </row>
    <row r="5138" spans="1:6" x14ac:dyDescent="0.2">
      <c r="A5138">
        <v>849</v>
      </c>
      <c r="B5138" s="3" t="s">
        <v>153</v>
      </c>
      <c r="C5138" s="3" t="s">
        <v>119</v>
      </c>
      <c r="D5138" s="3">
        <v>1</v>
      </c>
      <c r="E5138" s="3">
        <v>1.116636</v>
      </c>
      <c r="F5138">
        <f t="shared" si="82"/>
        <v>1.116636</v>
      </c>
    </row>
    <row r="5139" spans="1:6" x14ac:dyDescent="0.2">
      <c r="A5139">
        <v>849</v>
      </c>
      <c r="B5139" s="3" t="s">
        <v>154</v>
      </c>
      <c r="C5139" s="3" t="s">
        <v>117</v>
      </c>
      <c r="D5139" s="3">
        <v>3</v>
      </c>
      <c r="E5139" s="3">
        <v>4.3658000000000001</v>
      </c>
      <c r="F5139">
        <f t="shared" si="82"/>
        <v>13.0974</v>
      </c>
    </row>
    <row r="5140" spans="1:6" x14ac:dyDescent="0.2">
      <c r="A5140">
        <v>849</v>
      </c>
      <c r="B5140" s="3" t="s">
        <v>155</v>
      </c>
      <c r="C5140" s="3" t="s">
        <v>156</v>
      </c>
      <c r="D5140" s="3">
        <v>1</v>
      </c>
      <c r="E5140" s="3">
        <v>28.552</v>
      </c>
      <c r="F5140">
        <f t="shared" si="82"/>
        <v>28.552</v>
      </c>
    </row>
    <row r="5141" spans="1:6" x14ac:dyDescent="0.2">
      <c r="A5141">
        <v>849</v>
      </c>
      <c r="B5141" s="3" t="s">
        <v>157</v>
      </c>
      <c r="C5141" s="3" t="s">
        <v>158</v>
      </c>
      <c r="D5141" s="3">
        <v>1</v>
      </c>
      <c r="E5141" s="3">
        <v>29.456700000000001</v>
      </c>
      <c r="F5141">
        <f t="shared" si="82"/>
        <v>29.456700000000001</v>
      </c>
    </row>
    <row r="5142" spans="1:6" x14ac:dyDescent="0.2">
      <c r="A5142">
        <v>849</v>
      </c>
      <c r="B5142" s="3" t="s">
        <v>159</v>
      </c>
      <c r="C5142" s="3" t="s">
        <v>117</v>
      </c>
      <c r="D5142" s="3">
        <v>3</v>
      </c>
      <c r="E5142" s="3">
        <v>11.976900000000001</v>
      </c>
      <c r="F5142">
        <f t="shared" si="82"/>
        <v>35.930700000000002</v>
      </c>
    </row>
    <row r="5143" spans="1:6" x14ac:dyDescent="0.2">
      <c r="A5143">
        <v>849</v>
      </c>
      <c r="B5143" s="3" t="s">
        <v>116</v>
      </c>
      <c r="C5143" s="3" t="s">
        <v>117</v>
      </c>
      <c r="D5143" s="3">
        <v>2</v>
      </c>
      <c r="E5143" s="3">
        <v>0.25729999999999997</v>
      </c>
      <c r="F5143">
        <f t="shared" si="82"/>
        <v>0.51459999999999995</v>
      </c>
    </row>
    <row r="5144" spans="1:6" x14ac:dyDescent="0.2">
      <c r="A5144">
        <v>849</v>
      </c>
      <c r="B5144" s="3" t="s">
        <v>160</v>
      </c>
      <c r="C5144" s="3" t="s">
        <v>161</v>
      </c>
      <c r="D5144" s="3">
        <v>1</v>
      </c>
      <c r="E5144" s="3">
        <v>15.9194</v>
      </c>
      <c r="F5144">
        <f t="shared" si="82"/>
        <v>15.9194</v>
      </c>
    </row>
    <row r="5145" spans="1:6" x14ac:dyDescent="0.2">
      <c r="A5145">
        <v>849</v>
      </c>
      <c r="B5145" s="3" t="s">
        <v>162</v>
      </c>
      <c r="C5145" s="3" t="s">
        <v>163</v>
      </c>
      <c r="D5145" s="3">
        <v>5</v>
      </c>
      <c r="E5145" s="3">
        <v>62.822699999999998</v>
      </c>
      <c r="F5145">
        <f t="shared" si="82"/>
        <v>314.11349999999999</v>
      </c>
    </row>
    <row r="5146" spans="1:6" x14ac:dyDescent="0.2">
      <c r="A5146">
        <v>849</v>
      </c>
      <c r="B5146" s="3" t="s">
        <v>164</v>
      </c>
      <c r="C5146" s="3" t="s">
        <v>165</v>
      </c>
      <c r="D5146" s="3">
        <v>1</v>
      </c>
      <c r="E5146" s="3">
        <v>29.382000000000001</v>
      </c>
      <c r="F5146">
        <f t="shared" si="82"/>
        <v>29.382000000000001</v>
      </c>
    </row>
    <row r="5147" spans="1:6" x14ac:dyDescent="0.2">
      <c r="A5147">
        <v>849</v>
      </c>
      <c r="B5147" s="3" t="s">
        <v>166</v>
      </c>
      <c r="C5147" s="3" t="s">
        <v>76</v>
      </c>
      <c r="D5147" s="3">
        <v>3</v>
      </c>
      <c r="E5147" s="3">
        <v>0.97109999999999996</v>
      </c>
      <c r="F5147">
        <f t="shared" si="82"/>
        <v>2.9133</v>
      </c>
    </row>
    <row r="5148" spans="1:6" x14ac:dyDescent="0.2">
      <c r="A5148">
        <v>849</v>
      </c>
      <c r="B5148" s="3" t="s">
        <v>167</v>
      </c>
      <c r="C5148" s="3" t="s">
        <v>168</v>
      </c>
      <c r="D5148" s="3">
        <v>6</v>
      </c>
      <c r="E5148" s="3">
        <v>68.201099999999997</v>
      </c>
      <c r="F5148">
        <f t="shared" si="82"/>
        <v>409.20659999999998</v>
      </c>
    </row>
    <row r="5149" spans="1:6" x14ac:dyDescent="0.2">
      <c r="A5149">
        <v>849</v>
      </c>
      <c r="B5149" s="3" t="s">
        <v>169</v>
      </c>
      <c r="C5149" s="3" t="s">
        <v>119</v>
      </c>
      <c r="D5149" s="3">
        <v>6</v>
      </c>
      <c r="E5149" s="3">
        <v>26.078600000000002</v>
      </c>
      <c r="F5149">
        <f t="shared" si="82"/>
        <v>156.47160000000002</v>
      </c>
    </row>
    <row r="5150" spans="1:6" x14ac:dyDescent="0.2">
      <c r="A5150">
        <v>849</v>
      </c>
      <c r="B5150" s="3" t="s">
        <v>170</v>
      </c>
      <c r="C5150" s="3" t="s">
        <v>171</v>
      </c>
      <c r="D5150" s="3">
        <v>1</v>
      </c>
      <c r="E5150" s="3">
        <v>15.438000000000001</v>
      </c>
      <c r="F5150">
        <f t="shared" si="82"/>
        <v>15.438000000000001</v>
      </c>
    </row>
    <row r="5151" spans="1:6" x14ac:dyDescent="0.2">
      <c r="A5151">
        <v>849</v>
      </c>
      <c r="B5151" s="3" t="s">
        <v>172</v>
      </c>
      <c r="C5151" s="3" t="s">
        <v>173</v>
      </c>
      <c r="D5151" s="3">
        <v>3</v>
      </c>
      <c r="E5151" s="3">
        <v>158.41380000000001</v>
      </c>
      <c r="F5151">
        <f t="shared" si="82"/>
        <v>475.2414</v>
      </c>
    </row>
    <row r="5152" spans="1:6" x14ac:dyDescent="0.2">
      <c r="A5152">
        <v>849</v>
      </c>
      <c r="B5152" s="3" t="s">
        <v>174</v>
      </c>
      <c r="C5152" s="3" t="s">
        <v>119</v>
      </c>
      <c r="D5152" s="3">
        <v>1</v>
      </c>
      <c r="E5152" s="3">
        <v>1.2616000000000001</v>
      </c>
      <c r="F5152">
        <f t="shared" si="82"/>
        <v>1.2616000000000001</v>
      </c>
    </row>
    <row r="5153" spans="1:6" x14ac:dyDescent="0.2">
      <c r="A5153">
        <v>849</v>
      </c>
      <c r="B5153" s="3" t="s">
        <v>175</v>
      </c>
      <c r="C5153" s="3" t="s">
        <v>176</v>
      </c>
      <c r="D5153" s="3">
        <v>1</v>
      </c>
      <c r="E5153" s="3">
        <v>194.7595</v>
      </c>
      <c r="F5153">
        <f t="shared" si="82"/>
        <v>194.7595</v>
      </c>
    </row>
    <row r="5154" spans="1:6" x14ac:dyDescent="0.2">
      <c r="A5154">
        <v>849</v>
      </c>
      <c r="B5154" s="3" t="s">
        <v>177</v>
      </c>
      <c r="C5154" s="3" t="s">
        <v>178</v>
      </c>
      <c r="D5154" s="3">
        <v>3</v>
      </c>
      <c r="E5154" s="3">
        <v>1660.624</v>
      </c>
      <c r="F5154">
        <f t="shared" si="82"/>
        <v>4981.8720000000003</v>
      </c>
    </row>
    <row r="5155" spans="1:6" x14ac:dyDescent="0.2">
      <c r="A5155">
        <v>849</v>
      </c>
      <c r="B5155" s="3" t="s">
        <v>179</v>
      </c>
      <c r="C5155" s="3" t="s">
        <v>119</v>
      </c>
      <c r="D5155" s="3">
        <v>2</v>
      </c>
      <c r="E5155" s="3">
        <v>32.444699999999997</v>
      </c>
      <c r="F5155">
        <f t="shared" si="82"/>
        <v>64.889399999999995</v>
      </c>
    </row>
    <row r="5156" spans="1:6" x14ac:dyDescent="0.2">
      <c r="A5156">
        <v>849</v>
      </c>
      <c r="B5156" s="3" t="s">
        <v>180</v>
      </c>
      <c r="C5156" s="3" t="s">
        <v>181</v>
      </c>
      <c r="D5156" s="3">
        <v>1</v>
      </c>
      <c r="E5156" s="3">
        <v>64.117500000000007</v>
      </c>
      <c r="F5156">
        <f t="shared" si="82"/>
        <v>64.117500000000007</v>
      </c>
    </row>
    <row r="5157" spans="1:6" x14ac:dyDescent="0.2">
      <c r="A5157">
        <v>849</v>
      </c>
      <c r="B5157" s="3" t="s">
        <v>182</v>
      </c>
      <c r="C5157" s="3" t="s">
        <v>158</v>
      </c>
      <c r="D5157" s="3">
        <v>5</v>
      </c>
      <c r="E5157" s="3">
        <v>80.78819</v>
      </c>
      <c r="F5157">
        <f t="shared" si="82"/>
        <v>403.94094999999999</v>
      </c>
    </row>
    <row r="5158" spans="1:6" x14ac:dyDescent="0.2">
      <c r="A5158">
        <v>849</v>
      </c>
      <c r="B5158" s="3" t="s">
        <v>183</v>
      </c>
      <c r="C5158" s="3" t="s">
        <v>184</v>
      </c>
      <c r="D5158" s="3">
        <v>1</v>
      </c>
      <c r="E5158" s="3">
        <v>548.61540000000002</v>
      </c>
      <c r="F5158">
        <f t="shared" si="82"/>
        <v>548.61540000000002</v>
      </c>
    </row>
    <row r="5159" spans="1:6" x14ac:dyDescent="0.2">
      <c r="A5159">
        <v>849</v>
      </c>
      <c r="B5159" s="3" t="s">
        <v>185</v>
      </c>
      <c r="C5159" s="3" t="s">
        <v>186</v>
      </c>
      <c r="D5159" s="3">
        <v>1</v>
      </c>
      <c r="E5159" s="3">
        <v>278.05</v>
      </c>
      <c r="F5159">
        <f t="shared" si="82"/>
        <v>278.05</v>
      </c>
    </row>
    <row r="5160" spans="1:6" x14ac:dyDescent="0.2">
      <c r="A5160">
        <v>849</v>
      </c>
      <c r="B5160" s="3" t="s">
        <v>187</v>
      </c>
      <c r="C5160" s="3" t="s">
        <v>188</v>
      </c>
      <c r="D5160" s="3">
        <v>1</v>
      </c>
      <c r="E5160" s="3">
        <v>105.0365</v>
      </c>
      <c r="F5160">
        <f t="shared" si="82"/>
        <v>105.0365</v>
      </c>
    </row>
    <row r="5161" spans="1:6" x14ac:dyDescent="0.2">
      <c r="A5161">
        <v>849</v>
      </c>
      <c r="B5161" s="3" t="s">
        <v>189</v>
      </c>
      <c r="C5161" s="3" t="s">
        <v>163</v>
      </c>
      <c r="D5161" s="3">
        <v>5</v>
      </c>
      <c r="E5161" s="3">
        <v>154.25970000000001</v>
      </c>
      <c r="F5161">
        <f t="shared" si="82"/>
        <v>771.2985000000001</v>
      </c>
    </row>
    <row r="5162" spans="1:6" x14ac:dyDescent="0.2">
      <c r="A5162">
        <v>849</v>
      </c>
      <c r="B5162" s="3" t="s">
        <v>190</v>
      </c>
      <c r="C5162" s="3" t="s">
        <v>191</v>
      </c>
      <c r="D5162" s="3">
        <v>5</v>
      </c>
      <c r="E5162" s="3">
        <v>1397.886</v>
      </c>
      <c r="F5162">
        <f t="shared" si="82"/>
        <v>6989.43</v>
      </c>
    </row>
    <row r="5163" spans="1:6" x14ac:dyDescent="0.2">
      <c r="A5163">
        <v>849</v>
      </c>
      <c r="B5163" s="3" t="s">
        <v>192</v>
      </c>
      <c r="C5163" s="3" t="s">
        <v>193</v>
      </c>
      <c r="D5163" s="3">
        <v>1</v>
      </c>
      <c r="E5163" s="3">
        <v>843.03639999999996</v>
      </c>
      <c r="F5163">
        <f t="shared" si="82"/>
        <v>843.03639999999996</v>
      </c>
    </row>
    <row r="5164" spans="1:6" x14ac:dyDescent="0.2">
      <c r="A5164">
        <v>849</v>
      </c>
      <c r="B5164" s="3" t="s">
        <v>194</v>
      </c>
      <c r="C5164" s="3" t="s">
        <v>193</v>
      </c>
      <c r="D5164" s="3">
        <v>1</v>
      </c>
      <c r="E5164" s="3">
        <v>868.20489999999995</v>
      </c>
      <c r="F5164">
        <f t="shared" si="82"/>
        <v>868.20489999999995</v>
      </c>
    </row>
    <row r="5165" spans="1:6" x14ac:dyDescent="0.2">
      <c r="A5165">
        <v>849</v>
      </c>
      <c r="B5165" s="3" t="s">
        <v>195</v>
      </c>
      <c r="C5165" s="3" t="s">
        <v>117</v>
      </c>
      <c r="D5165" s="3">
        <v>4</v>
      </c>
      <c r="E5165" s="3">
        <v>1.0375000000000001</v>
      </c>
      <c r="F5165">
        <f t="shared" si="82"/>
        <v>4.1500000000000004</v>
      </c>
    </row>
    <row r="5166" spans="1:6" x14ac:dyDescent="0.2">
      <c r="A5166">
        <v>849</v>
      </c>
      <c r="B5166" s="3" t="s">
        <v>135</v>
      </c>
      <c r="C5166" s="3" t="s">
        <v>136</v>
      </c>
      <c r="D5166" s="3">
        <v>3</v>
      </c>
      <c r="E5166" s="3">
        <v>395.04689999999999</v>
      </c>
      <c r="F5166">
        <f t="shared" si="82"/>
        <v>1185.1406999999999</v>
      </c>
    </row>
    <row r="5167" spans="1:6" x14ac:dyDescent="0.2">
      <c r="A5167">
        <v>849</v>
      </c>
      <c r="B5167" s="3" t="s">
        <v>137</v>
      </c>
      <c r="C5167" s="3" t="s">
        <v>138</v>
      </c>
      <c r="D5167" s="3">
        <v>1</v>
      </c>
      <c r="E5167" s="3">
        <v>252.98429999999999</v>
      </c>
      <c r="F5167">
        <f t="shared" si="82"/>
        <v>252.98429999999999</v>
      </c>
    </row>
    <row r="5168" spans="1:6" x14ac:dyDescent="0.2">
      <c r="A5168">
        <v>849</v>
      </c>
      <c r="B5168" s="3" t="s">
        <v>139</v>
      </c>
      <c r="C5168" s="3" t="s">
        <v>140</v>
      </c>
      <c r="D5168" s="3">
        <v>3</v>
      </c>
      <c r="E5168" s="3">
        <v>2054.4580000000001</v>
      </c>
      <c r="F5168">
        <f t="shared" si="82"/>
        <v>6163.3739999999998</v>
      </c>
    </row>
    <row r="5169" spans="1:6" x14ac:dyDescent="0.2">
      <c r="A5169">
        <v>849</v>
      </c>
      <c r="B5169" s="3" t="s">
        <v>116</v>
      </c>
      <c r="C5169" s="3" t="s">
        <v>117</v>
      </c>
      <c r="D5169" s="3">
        <v>2</v>
      </c>
      <c r="E5169" s="3">
        <v>0.25729999999999997</v>
      </c>
      <c r="F5169">
        <f t="shared" si="82"/>
        <v>0.51459999999999995</v>
      </c>
    </row>
    <row r="5170" spans="1:6" x14ac:dyDescent="0.2">
      <c r="A5170">
        <v>849</v>
      </c>
      <c r="B5170" s="3" t="s">
        <v>118</v>
      </c>
      <c r="C5170" s="3" t="s">
        <v>119</v>
      </c>
      <c r="D5170" s="3">
        <v>4</v>
      </c>
      <c r="E5170" s="3">
        <v>0.83</v>
      </c>
      <c r="F5170">
        <f t="shared" si="82"/>
        <v>3.32</v>
      </c>
    </row>
    <row r="5171" spans="1:6" x14ac:dyDescent="0.2">
      <c r="A5171">
        <v>849</v>
      </c>
      <c r="B5171" s="3" t="s">
        <v>120</v>
      </c>
      <c r="C5171" s="3" t="s">
        <v>117</v>
      </c>
      <c r="D5171" s="3">
        <v>1</v>
      </c>
      <c r="E5171" s="3">
        <v>1.5604</v>
      </c>
      <c r="F5171">
        <f t="shared" si="82"/>
        <v>1.5604</v>
      </c>
    </row>
    <row r="5172" spans="1:6" x14ac:dyDescent="0.2">
      <c r="A5172">
        <v>849</v>
      </c>
      <c r="B5172" s="3" t="s">
        <v>121</v>
      </c>
      <c r="C5172" s="3" t="s">
        <v>117</v>
      </c>
      <c r="D5172" s="3">
        <v>118</v>
      </c>
      <c r="E5172" s="3">
        <v>270.83730000000003</v>
      </c>
      <c r="F5172">
        <f t="shared" si="82"/>
        <v>31958.801400000004</v>
      </c>
    </row>
    <row r="5173" spans="1:6" x14ac:dyDescent="0.2">
      <c r="A5173">
        <v>849</v>
      </c>
      <c r="B5173" s="3" t="s">
        <v>122</v>
      </c>
      <c r="C5173" s="3" t="s">
        <v>76</v>
      </c>
      <c r="D5173" s="3">
        <v>1</v>
      </c>
      <c r="E5173" s="3">
        <v>14.915100000000001</v>
      </c>
      <c r="F5173">
        <f t="shared" si="82"/>
        <v>14.915100000000001</v>
      </c>
    </row>
    <row r="5174" spans="1:6" x14ac:dyDescent="0.2">
      <c r="A5174">
        <v>849</v>
      </c>
      <c r="B5174" s="3" t="s">
        <v>123</v>
      </c>
      <c r="C5174" s="3" t="s">
        <v>119</v>
      </c>
      <c r="D5174" s="3">
        <v>1</v>
      </c>
      <c r="E5174" s="3">
        <v>122.52460000000001</v>
      </c>
      <c r="F5174">
        <f t="shared" si="82"/>
        <v>122.52460000000001</v>
      </c>
    </row>
    <row r="5175" spans="1:6" x14ac:dyDescent="0.2">
      <c r="A5175">
        <v>849</v>
      </c>
      <c r="B5175" s="3" t="s">
        <v>124</v>
      </c>
      <c r="C5175" s="3" t="s">
        <v>119</v>
      </c>
      <c r="D5175" s="3">
        <v>3</v>
      </c>
      <c r="E5175" s="3">
        <v>65.877099999999999</v>
      </c>
      <c r="F5175">
        <f t="shared" si="82"/>
        <v>197.63130000000001</v>
      </c>
    </row>
    <row r="5176" spans="1:6" x14ac:dyDescent="0.2">
      <c r="A5176">
        <v>849</v>
      </c>
      <c r="B5176" s="3" t="s">
        <v>125</v>
      </c>
      <c r="C5176" s="3" t="s">
        <v>117</v>
      </c>
      <c r="D5176" s="3">
        <v>1</v>
      </c>
      <c r="E5176" s="3">
        <v>45.957099999999997</v>
      </c>
      <c r="F5176">
        <f t="shared" si="82"/>
        <v>45.957099999999997</v>
      </c>
    </row>
    <row r="5177" spans="1:6" x14ac:dyDescent="0.2">
      <c r="A5177">
        <v>849</v>
      </c>
      <c r="B5177" s="3" t="s">
        <v>126</v>
      </c>
      <c r="C5177" s="3" t="s">
        <v>127</v>
      </c>
      <c r="D5177" s="3">
        <v>2</v>
      </c>
      <c r="E5177" s="3">
        <v>411.49740000000003</v>
      </c>
      <c r="F5177">
        <f t="shared" si="82"/>
        <v>822.99480000000005</v>
      </c>
    </row>
    <row r="5178" spans="1:6" x14ac:dyDescent="0.2">
      <c r="A5178">
        <v>849</v>
      </c>
      <c r="B5178" s="3" t="s">
        <v>129</v>
      </c>
      <c r="C5178" s="3" t="s">
        <v>130</v>
      </c>
      <c r="D5178" s="3">
        <v>3</v>
      </c>
      <c r="E5178" s="3">
        <v>6724.2780000000002</v>
      </c>
      <c r="F5178">
        <f t="shared" si="82"/>
        <v>20172.834000000003</v>
      </c>
    </row>
    <row r="5179" spans="1:6" x14ac:dyDescent="0.2">
      <c r="A5179">
        <v>849</v>
      </c>
      <c r="B5179" s="3">
        <v>4656354</v>
      </c>
      <c r="C5179" s="3" t="s">
        <v>133</v>
      </c>
      <c r="D5179" s="3">
        <v>6</v>
      </c>
      <c r="E5179" s="3">
        <v>1168.0260000000001</v>
      </c>
      <c r="F5179">
        <f t="shared" si="82"/>
        <v>7008.1560000000009</v>
      </c>
    </row>
    <row r="5180" spans="1:6" x14ac:dyDescent="0.2">
      <c r="A5180">
        <v>849</v>
      </c>
      <c r="B5180" s="3" t="s">
        <v>110</v>
      </c>
      <c r="C5180" s="3" t="s">
        <v>111</v>
      </c>
      <c r="D5180" s="3">
        <v>6</v>
      </c>
      <c r="E5180" s="3">
        <v>119.83540000000001</v>
      </c>
      <c r="F5180">
        <f t="shared" si="82"/>
        <v>719.01240000000007</v>
      </c>
    </row>
    <row r="5181" spans="1:6" x14ac:dyDescent="0.2">
      <c r="A5181">
        <v>849</v>
      </c>
      <c r="B5181" s="3" t="s">
        <v>112</v>
      </c>
      <c r="C5181" s="3" t="s">
        <v>113</v>
      </c>
      <c r="D5181" s="3">
        <v>1</v>
      </c>
      <c r="E5181" s="3">
        <v>97.646150000000006</v>
      </c>
      <c r="F5181">
        <f t="shared" si="82"/>
        <v>97.646150000000006</v>
      </c>
    </row>
    <row r="5182" spans="1:6" x14ac:dyDescent="0.2">
      <c r="A5182">
        <v>849</v>
      </c>
      <c r="B5182" s="3" t="s">
        <v>110</v>
      </c>
      <c r="C5182" s="3" t="s">
        <v>111</v>
      </c>
      <c r="D5182" s="3">
        <v>3</v>
      </c>
      <c r="E5182" s="3">
        <v>119.83540000000001</v>
      </c>
      <c r="F5182">
        <f t="shared" si="82"/>
        <v>359.50620000000004</v>
      </c>
    </row>
    <row r="5183" spans="1:6" x14ac:dyDescent="0.2">
      <c r="A5183">
        <v>849</v>
      </c>
      <c r="B5183" s="3" t="s">
        <v>112</v>
      </c>
      <c r="C5183" s="3" t="s">
        <v>113</v>
      </c>
      <c r="D5183" s="3">
        <v>1</v>
      </c>
      <c r="E5183" s="3">
        <v>97.646150000000006</v>
      </c>
      <c r="F5183">
        <f t="shared" si="82"/>
        <v>97.646150000000006</v>
      </c>
    </row>
    <row r="5184" spans="1:6" x14ac:dyDescent="0.2">
      <c r="A5184">
        <v>849</v>
      </c>
      <c r="B5184" s="3" t="s">
        <v>97</v>
      </c>
      <c r="C5184" s="3" t="s">
        <v>98</v>
      </c>
      <c r="D5184" s="3">
        <v>1</v>
      </c>
      <c r="E5184" s="3">
        <v>189.87909999999999</v>
      </c>
      <c r="F5184">
        <f t="shared" si="82"/>
        <v>189.87909999999999</v>
      </c>
    </row>
    <row r="5185" spans="1:6" x14ac:dyDescent="0.2">
      <c r="A5185">
        <v>849</v>
      </c>
      <c r="B5185" s="3" t="s">
        <v>99</v>
      </c>
      <c r="C5185" s="3" t="s">
        <v>100</v>
      </c>
      <c r="D5185" s="3">
        <v>3</v>
      </c>
      <c r="E5185" s="3">
        <v>1287.1379999999999</v>
      </c>
      <c r="F5185">
        <f t="shared" si="82"/>
        <v>3861.4139999999998</v>
      </c>
    </row>
    <row r="5186" spans="1:6" x14ac:dyDescent="0.2">
      <c r="A5186">
        <v>849</v>
      </c>
      <c r="B5186" s="3" t="s">
        <v>101</v>
      </c>
      <c r="C5186" s="3" t="s">
        <v>102</v>
      </c>
      <c r="D5186" s="3">
        <v>2</v>
      </c>
      <c r="E5186" s="3">
        <v>1363.037</v>
      </c>
      <c r="F5186">
        <f t="shared" si="82"/>
        <v>2726.0740000000001</v>
      </c>
    </row>
    <row r="5187" spans="1:6" x14ac:dyDescent="0.2">
      <c r="A5187">
        <v>849</v>
      </c>
      <c r="B5187" s="3" t="s">
        <v>103</v>
      </c>
      <c r="C5187" s="3" t="s">
        <v>104</v>
      </c>
      <c r="D5187" s="3">
        <v>1</v>
      </c>
      <c r="E5187" s="3">
        <v>423.5822</v>
      </c>
      <c r="F5187">
        <f t="shared" si="82"/>
        <v>423.5822</v>
      </c>
    </row>
    <row r="5188" spans="1:6" x14ac:dyDescent="0.2">
      <c r="A5188">
        <v>849</v>
      </c>
      <c r="B5188" s="3" t="s">
        <v>105</v>
      </c>
      <c r="C5188" s="3" t="s">
        <v>106</v>
      </c>
      <c r="D5188" s="3">
        <v>5</v>
      </c>
      <c r="E5188" s="3">
        <v>36.470199999999998</v>
      </c>
      <c r="F5188">
        <f t="shared" si="82"/>
        <v>182.351</v>
      </c>
    </row>
    <row r="5189" spans="1:6" x14ac:dyDescent="0.2">
      <c r="A5189">
        <v>849</v>
      </c>
      <c r="B5189" s="3" t="s">
        <v>107</v>
      </c>
      <c r="C5189" s="3" t="s">
        <v>108</v>
      </c>
      <c r="D5189" s="3">
        <v>1</v>
      </c>
      <c r="E5189" s="3">
        <v>61.492310000000003</v>
      </c>
      <c r="F5189">
        <f t="shared" si="82"/>
        <v>61.492310000000003</v>
      </c>
    </row>
    <row r="5190" spans="1:6" x14ac:dyDescent="0.2">
      <c r="A5190">
        <v>849</v>
      </c>
      <c r="B5190" s="3" t="s">
        <v>62</v>
      </c>
      <c r="C5190" s="3" t="s">
        <v>323</v>
      </c>
      <c r="D5190" s="3">
        <v>1</v>
      </c>
      <c r="E5190" s="3">
        <v>0.34860000000000002</v>
      </c>
      <c r="F5190">
        <f t="shared" si="82"/>
        <v>0.34860000000000002</v>
      </c>
    </row>
    <row r="5191" spans="1:6" x14ac:dyDescent="0.2">
      <c r="A5191">
        <v>849</v>
      </c>
      <c r="B5191" s="3" t="s">
        <v>324</v>
      </c>
      <c r="C5191" s="3" t="s">
        <v>273</v>
      </c>
      <c r="D5191" s="3">
        <v>1</v>
      </c>
      <c r="E5191" s="3">
        <v>0.95450000000000002</v>
      </c>
      <c r="F5191">
        <f t="shared" si="82"/>
        <v>0.95450000000000002</v>
      </c>
    </row>
    <row r="5192" spans="1:6" x14ac:dyDescent="0.2">
      <c r="A5192">
        <v>849</v>
      </c>
      <c r="B5192" s="3" t="s">
        <v>325</v>
      </c>
      <c r="C5192" s="3" t="s">
        <v>273</v>
      </c>
      <c r="D5192" s="3">
        <v>5</v>
      </c>
      <c r="E5192" s="3">
        <v>3.3692310000000001</v>
      </c>
      <c r="F5192">
        <f t="shared" si="82"/>
        <v>16.846155</v>
      </c>
    </row>
    <row r="5193" spans="1:6" x14ac:dyDescent="0.2">
      <c r="A5193">
        <v>849</v>
      </c>
      <c r="B5193" s="3" t="s">
        <v>154</v>
      </c>
      <c r="C5193" s="3" t="s">
        <v>278</v>
      </c>
      <c r="D5193" s="3">
        <v>5</v>
      </c>
      <c r="E5193" s="3">
        <v>4.3658000000000001</v>
      </c>
      <c r="F5193">
        <f t="shared" si="82"/>
        <v>21.829000000000001</v>
      </c>
    </row>
    <row r="5194" spans="1:6" x14ac:dyDescent="0.2">
      <c r="A5194">
        <v>849</v>
      </c>
      <c r="B5194" s="3" t="s">
        <v>290</v>
      </c>
      <c r="C5194" s="3" t="s">
        <v>278</v>
      </c>
      <c r="D5194" s="3">
        <v>1</v>
      </c>
      <c r="E5194" s="3">
        <v>43.751809999999999</v>
      </c>
      <c r="F5194">
        <f t="shared" si="82"/>
        <v>43.751809999999999</v>
      </c>
    </row>
    <row r="5195" spans="1:6" x14ac:dyDescent="0.2">
      <c r="A5195">
        <v>849</v>
      </c>
      <c r="B5195" s="3" t="s">
        <v>288</v>
      </c>
      <c r="C5195" s="3" t="s">
        <v>289</v>
      </c>
      <c r="D5195" s="3">
        <v>1</v>
      </c>
      <c r="E5195" s="3">
        <v>7.340122</v>
      </c>
      <c r="F5195">
        <f t="shared" si="82"/>
        <v>7.340122</v>
      </c>
    </row>
    <row r="5196" spans="1:6" x14ac:dyDescent="0.2">
      <c r="A5196">
        <v>849</v>
      </c>
      <c r="B5196" s="3" t="s">
        <v>287</v>
      </c>
      <c r="C5196" s="3" t="s">
        <v>273</v>
      </c>
      <c r="D5196" s="3">
        <v>4</v>
      </c>
      <c r="E5196" s="3">
        <v>100.669</v>
      </c>
      <c r="F5196">
        <f t="shared" ref="F5196:F5259" si="83">D5196*E5196</f>
        <v>402.67599999999999</v>
      </c>
    </row>
    <row r="5197" spans="1:6" x14ac:dyDescent="0.2">
      <c r="A5197">
        <v>849</v>
      </c>
      <c r="B5197" s="3" t="s">
        <v>285</v>
      </c>
      <c r="C5197" s="3" t="s">
        <v>286</v>
      </c>
      <c r="D5197" s="3">
        <v>3</v>
      </c>
      <c r="E5197" s="3">
        <v>58.189990000000002</v>
      </c>
      <c r="F5197">
        <f t="shared" si="83"/>
        <v>174.56997000000001</v>
      </c>
    </row>
    <row r="5198" spans="1:6" x14ac:dyDescent="0.2">
      <c r="A5198">
        <v>849</v>
      </c>
      <c r="B5198" s="3" t="s">
        <v>291</v>
      </c>
      <c r="C5198" s="3" t="s">
        <v>278</v>
      </c>
      <c r="D5198" s="3">
        <v>1</v>
      </c>
      <c r="E5198" s="3">
        <v>24.136399999999998</v>
      </c>
      <c r="F5198">
        <f t="shared" si="83"/>
        <v>24.136399999999998</v>
      </c>
    </row>
    <row r="5199" spans="1:6" x14ac:dyDescent="0.2">
      <c r="A5199">
        <v>849</v>
      </c>
      <c r="B5199" s="3" t="s">
        <v>277</v>
      </c>
      <c r="C5199" s="3" t="s">
        <v>278</v>
      </c>
      <c r="D5199" s="3">
        <v>3</v>
      </c>
      <c r="E5199" s="3">
        <v>41.026589999999999</v>
      </c>
      <c r="F5199">
        <f t="shared" si="83"/>
        <v>123.07977</v>
      </c>
    </row>
    <row r="5200" spans="1:6" x14ac:dyDescent="0.2">
      <c r="A5200">
        <v>849</v>
      </c>
      <c r="B5200" s="3" t="s">
        <v>326</v>
      </c>
      <c r="C5200" s="3" t="s">
        <v>278</v>
      </c>
      <c r="D5200" s="3">
        <v>2</v>
      </c>
      <c r="E5200" s="3">
        <v>3.9745979999999999</v>
      </c>
      <c r="F5200">
        <f t="shared" si="83"/>
        <v>7.9491959999999997</v>
      </c>
    </row>
    <row r="5201" spans="1:6" x14ac:dyDescent="0.2">
      <c r="A5201">
        <v>849</v>
      </c>
      <c r="B5201" s="3" t="s">
        <v>274</v>
      </c>
      <c r="C5201" s="3" t="s">
        <v>273</v>
      </c>
      <c r="D5201" s="3">
        <v>4</v>
      </c>
      <c r="E5201" s="3">
        <v>149.23089999999999</v>
      </c>
      <c r="F5201">
        <f t="shared" si="83"/>
        <v>596.92359999999996</v>
      </c>
    </row>
    <row r="5202" spans="1:6" x14ac:dyDescent="0.2">
      <c r="A5202">
        <v>849</v>
      </c>
      <c r="B5202" s="3" t="s">
        <v>327</v>
      </c>
      <c r="C5202" s="3" t="s">
        <v>309</v>
      </c>
      <c r="D5202" s="3">
        <v>1</v>
      </c>
      <c r="E5202" s="3">
        <v>1532.5239999999999</v>
      </c>
      <c r="F5202">
        <f t="shared" si="83"/>
        <v>1532.5239999999999</v>
      </c>
    </row>
    <row r="5203" spans="1:6" x14ac:dyDescent="0.2">
      <c r="A5203">
        <v>849</v>
      </c>
      <c r="B5203" s="3" t="s">
        <v>328</v>
      </c>
      <c r="C5203" s="3" t="s">
        <v>329</v>
      </c>
      <c r="D5203" s="3">
        <v>118</v>
      </c>
      <c r="E5203" s="3">
        <v>155.62309999999999</v>
      </c>
      <c r="F5203">
        <f t="shared" si="83"/>
        <v>18363.525799999999</v>
      </c>
    </row>
    <row r="5204" spans="1:6" x14ac:dyDescent="0.2">
      <c r="A5204">
        <v>849</v>
      </c>
      <c r="B5204" s="3" t="s">
        <v>330</v>
      </c>
      <c r="C5204" s="3" t="s">
        <v>331</v>
      </c>
      <c r="D5204" s="3">
        <v>1</v>
      </c>
      <c r="E5204" s="3">
        <v>710.44619999999998</v>
      </c>
      <c r="F5204">
        <f t="shared" si="83"/>
        <v>710.44619999999998</v>
      </c>
    </row>
    <row r="5205" spans="1:6" x14ac:dyDescent="0.2">
      <c r="A5205">
        <v>849</v>
      </c>
      <c r="B5205" s="3" t="s">
        <v>332</v>
      </c>
      <c r="C5205" s="3" t="s">
        <v>333</v>
      </c>
      <c r="D5205" s="3">
        <v>1</v>
      </c>
      <c r="E5205" s="3">
        <v>167.5538</v>
      </c>
      <c r="F5205">
        <f t="shared" si="83"/>
        <v>167.5538</v>
      </c>
    </row>
    <row r="5206" spans="1:6" x14ac:dyDescent="0.2">
      <c r="A5206">
        <v>849</v>
      </c>
      <c r="B5206" s="3" t="s">
        <v>272</v>
      </c>
      <c r="C5206" s="3" t="s">
        <v>273</v>
      </c>
      <c r="D5206" s="3">
        <v>3</v>
      </c>
      <c r="E5206" s="3">
        <v>170.1112</v>
      </c>
      <c r="F5206">
        <f t="shared" si="83"/>
        <v>510.33359999999999</v>
      </c>
    </row>
    <row r="5207" spans="1:6" x14ac:dyDescent="0.2">
      <c r="A5207">
        <v>849</v>
      </c>
      <c r="B5207" s="3" t="s">
        <v>275</v>
      </c>
      <c r="C5207" s="3" t="s">
        <v>276</v>
      </c>
      <c r="D5207" s="3">
        <v>1</v>
      </c>
      <c r="E5207" s="3">
        <v>9.081448</v>
      </c>
      <c r="F5207">
        <f t="shared" si="83"/>
        <v>9.081448</v>
      </c>
    </row>
    <row r="5208" spans="1:6" x14ac:dyDescent="0.2">
      <c r="A5208">
        <v>849</v>
      </c>
      <c r="B5208" s="3" t="s">
        <v>334</v>
      </c>
      <c r="C5208" s="3" t="s">
        <v>329</v>
      </c>
      <c r="D5208" s="3">
        <v>2</v>
      </c>
      <c r="E5208" s="3">
        <v>149.0308</v>
      </c>
      <c r="F5208">
        <f t="shared" si="83"/>
        <v>298.0616</v>
      </c>
    </row>
    <row r="5209" spans="1:6" x14ac:dyDescent="0.2">
      <c r="A5209">
        <v>849</v>
      </c>
      <c r="B5209" s="3" t="s">
        <v>335</v>
      </c>
      <c r="C5209" s="3" t="s">
        <v>331</v>
      </c>
      <c r="D5209" s="3">
        <v>3</v>
      </c>
      <c r="E5209" s="3">
        <v>703.1</v>
      </c>
      <c r="F5209">
        <f t="shared" si="83"/>
        <v>2109.3000000000002</v>
      </c>
    </row>
    <row r="5210" spans="1:6" x14ac:dyDescent="0.2">
      <c r="A5210">
        <v>849</v>
      </c>
      <c r="B5210" s="3" t="s">
        <v>336</v>
      </c>
      <c r="C5210" s="3" t="s">
        <v>333</v>
      </c>
      <c r="D5210" s="3">
        <v>6</v>
      </c>
      <c r="E5210" s="3">
        <v>288.42309999999998</v>
      </c>
      <c r="F5210">
        <f t="shared" si="83"/>
        <v>1730.5385999999999</v>
      </c>
    </row>
    <row r="5211" spans="1:6" x14ac:dyDescent="0.2">
      <c r="A5211">
        <v>849</v>
      </c>
      <c r="B5211" s="3" t="s">
        <v>337</v>
      </c>
      <c r="C5211" s="3" t="s">
        <v>297</v>
      </c>
      <c r="D5211" s="3">
        <v>6</v>
      </c>
      <c r="E5211" s="3">
        <v>11.761100000000001</v>
      </c>
      <c r="F5211">
        <f t="shared" si="83"/>
        <v>70.566600000000008</v>
      </c>
    </row>
    <row r="5212" spans="1:6" x14ac:dyDescent="0.2">
      <c r="A5212">
        <v>849</v>
      </c>
      <c r="B5212" s="3" t="s">
        <v>338</v>
      </c>
      <c r="C5212" s="3" t="s">
        <v>297</v>
      </c>
      <c r="D5212" s="3"/>
      <c r="E5212" s="3">
        <v>11.712960000000001</v>
      </c>
      <c r="F5212">
        <f t="shared" si="83"/>
        <v>0</v>
      </c>
    </row>
    <row r="5213" spans="1:6" x14ac:dyDescent="0.2">
      <c r="A5213">
        <v>849</v>
      </c>
      <c r="B5213" s="3" t="s">
        <v>339</v>
      </c>
      <c r="C5213" s="3" t="s">
        <v>297</v>
      </c>
      <c r="D5213" s="3">
        <v>1</v>
      </c>
      <c r="E5213" s="3">
        <v>20.279039999999998</v>
      </c>
      <c r="F5213">
        <f t="shared" si="83"/>
        <v>20.279039999999998</v>
      </c>
    </row>
    <row r="5214" spans="1:6" x14ac:dyDescent="0.2">
      <c r="A5214">
        <v>849</v>
      </c>
      <c r="B5214" s="3" t="s">
        <v>340</v>
      </c>
      <c r="C5214" s="3" t="s">
        <v>309</v>
      </c>
      <c r="D5214" s="3">
        <v>1</v>
      </c>
      <c r="E5214" s="3">
        <v>1536.3340000000001</v>
      </c>
      <c r="F5214">
        <f t="shared" si="83"/>
        <v>1536.3340000000001</v>
      </c>
    </row>
    <row r="5215" spans="1:6" x14ac:dyDescent="0.2">
      <c r="A5215">
        <v>849</v>
      </c>
      <c r="B5215" s="3" t="s">
        <v>341</v>
      </c>
      <c r="C5215" s="3" t="s">
        <v>342</v>
      </c>
      <c r="D5215" s="3">
        <v>1</v>
      </c>
      <c r="E5215" s="3">
        <v>307.22449999999998</v>
      </c>
      <c r="F5215">
        <f t="shared" si="83"/>
        <v>307.22449999999998</v>
      </c>
    </row>
    <row r="5216" spans="1:6" x14ac:dyDescent="0.2">
      <c r="A5216">
        <v>849</v>
      </c>
      <c r="B5216" s="3" t="s">
        <v>284</v>
      </c>
      <c r="C5216" s="3" t="s">
        <v>273</v>
      </c>
      <c r="D5216" s="3">
        <v>1</v>
      </c>
      <c r="E5216" s="3">
        <v>15.547000000000001</v>
      </c>
      <c r="F5216">
        <f t="shared" si="83"/>
        <v>15.547000000000001</v>
      </c>
    </row>
    <row r="5217" spans="1:6" x14ac:dyDescent="0.2">
      <c r="A5217">
        <v>849</v>
      </c>
      <c r="B5217" s="3" t="s">
        <v>283</v>
      </c>
      <c r="C5217" s="3" t="s">
        <v>278</v>
      </c>
      <c r="D5217" s="3">
        <v>1</v>
      </c>
      <c r="E5217" s="3">
        <v>101.76220000000001</v>
      </c>
      <c r="F5217">
        <f t="shared" si="83"/>
        <v>101.76220000000001</v>
      </c>
    </row>
    <row r="5218" spans="1:6" x14ac:dyDescent="0.2">
      <c r="A5218">
        <v>849</v>
      </c>
      <c r="B5218" s="3" t="s">
        <v>281</v>
      </c>
      <c r="C5218" s="3" t="s">
        <v>282</v>
      </c>
      <c r="D5218" s="3">
        <v>1</v>
      </c>
      <c r="E5218" s="3">
        <v>43.369190000000003</v>
      </c>
      <c r="F5218">
        <f t="shared" si="83"/>
        <v>43.369190000000003</v>
      </c>
    </row>
    <row r="5219" spans="1:6" x14ac:dyDescent="0.2">
      <c r="A5219">
        <v>849</v>
      </c>
      <c r="B5219" s="3" t="s">
        <v>279</v>
      </c>
      <c r="C5219" s="3" t="s">
        <v>280</v>
      </c>
      <c r="D5219" s="3">
        <v>1</v>
      </c>
      <c r="E5219" s="3">
        <v>36.786499999999997</v>
      </c>
      <c r="F5219">
        <f t="shared" si="83"/>
        <v>36.786499999999997</v>
      </c>
    </row>
    <row r="5220" spans="1:6" x14ac:dyDescent="0.2">
      <c r="A5220">
        <v>849</v>
      </c>
      <c r="B5220" s="3" t="s">
        <v>343</v>
      </c>
      <c r="C5220" s="3" t="s">
        <v>282</v>
      </c>
      <c r="D5220" s="3">
        <v>1</v>
      </c>
      <c r="E5220" s="3">
        <v>16.807500000000001</v>
      </c>
      <c r="F5220">
        <f t="shared" si="83"/>
        <v>16.807500000000001</v>
      </c>
    </row>
    <row r="5221" spans="1:6" x14ac:dyDescent="0.2">
      <c r="A5221">
        <v>849</v>
      </c>
      <c r="B5221" s="3" t="s">
        <v>344</v>
      </c>
      <c r="C5221" s="3" t="s">
        <v>282</v>
      </c>
      <c r="D5221" s="3">
        <v>1</v>
      </c>
      <c r="E5221" s="3">
        <v>12.76713</v>
      </c>
      <c r="F5221">
        <f t="shared" si="83"/>
        <v>12.76713</v>
      </c>
    </row>
    <row r="5222" spans="1:6" x14ac:dyDescent="0.2">
      <c r="A5222">
        <v>849</v>
      </c>
      <c r="B5222" s="3" t="s">
        <v>270</v>
      </c>
      <c r="C5222" s="3" t="s">
        <v>271</v>
      </c>
      <c r="D5222" s="3">
        <v>1</v>
      </c>
      <c r="E5222" s="3">
        <v>3027.0970000000002</v>
      </c>
      <c r="F5222">
        <f t="shared" si="83"/>
        <v>3027.0970000000002</v>
      </c>
    </row>
    <row r="5223" spans="1:6" x14ac:dyDescent="0.2">
      <c r="A5223">
        <v>849</v>
      </c>
      <c r="B5223" s="3" t="s">
        <v>272</v>
      </c>
      <c r="C5223" s="3" t="s">
        <v>273</v>
      </c>
      <c r="D5223" s="3">
        <v>1</v>
      </c>
      <c r="E5223" s="3">
        <v>170.1112</v>
      </c>
      <c r="F5223">
        <f t="shared" si="83"/>
        <v>170.1112</v>
      </c>
    </row>
    <row r="5224" spans="1:6" x14ac:dyDescent="0.2">
      <c r="A5224">
        <v>849</v>
      </c>
      <c r="B5224" s="3" t="s">
        <v>274</v>
      </c>
      <c r="C5224" s="3" t="s">
        <v>273</v>
      </c>
      <c r="D5224" s="3">
        <v>1</v>
      </c>
      <c r="E5224" s="3">
        <v>149.23089999999999</v>
      </c>
      <c r="F5224">
        <f t="shared" si="83"/>
        <v>149.23089999999999</v>
      </c>
    </row>
    <row r="5225" spans="1:6" x14ac:dyDescent="0.2">
      <c r="A5225">
        <v>849</v>
      </c>
      <c r="B5225" s="3" t="s">
        <v>275</v>
      </c>
      <c r="C5225" s="3" t="s">
        <v>276</v>
      </c>
      <c r="D5225" s="3">
        <v>2</v>
      </c>
      <c r="E5225" s="3">
        <v>9.081448</v>
      </c>
      <c r="F5225">
        <f t="shared" si="83"/>
        <v>18.162896</v>
      </c>
    </row>
    <row r="5226" spans="1:6" x14ac:dyDescent="0.2">
      <c r="A5226">
        <v>849</v>
      </c>
      <c r="B5226" s="3" t="s">
        <v>277</v>
      </c>
      <c r="C5226" s="3" t="s">
        <v>278</v>
      </c>
      <c r="D5226" s="3">
        <v>5</v>
      </c>
      <c r="E5226" s="3">
        <v>41.026589999999999</v>
      </c>
      <c r="F5226">
        <f t="shared" si="83"/>
        <v>205.13294999999999</v>
      </c>
    </row>
    <row r="5227" spans="1:6" x14ac:dyDescent="0.2">
      <c r="A5227">
        <v>849</v>
      </c>
      <c r="B5227" s="3" t="s">
        <v>279</v>
      </c>
      <c r="C5227" s="3" t="s">
        <v>280</v>
      </c>
      <c r="D5227" s="3">
        <v>1</v>
      </c>
      <c r="E5227" s="3">
        <v>36.786499999999997</v>
      </c>
      <c r="F5227">
        <f t="shared" si="83"/>
        <v>36.786499999999997</v>
      </c>
    </row>
    <row r="5228" spans="1:6" x14ac:dyDescent="0.2">
      <c r="A5228">
        <v>849</v>
      </c>
      <c r="B5228" s="3" t="s">
        <v>281</v>
      </c>
      <c r="C5228" s="3" t="s">
        <v>282</v>
      </c>
      <c r="D5228" s="3">
        <v>1</v>
      </c>
      <c r="E5228" s="3">
        <v>43.369190000000003</v>
      </c>
      <c r="F5228">
        <f t="shared" si="83"/>
        <v>43.369190000000003</v>
      </c>
    </row>
    <row r="5229" spans="1:6" x14ac:dyDescent="0.2">
      <c r="A5229">
        <v>849</v>
      </c>
      <c r="B5229" s="3" t="s">
        <v>283</v>
      </c>
      <c r="C5229" s="3" t="s">
        <v>278</v>
      </c>
      <c r="D5229" s="3">
        <v>3</v>
      </c>
      <c r="E5229" s="3">
        <v>101.76220000000001</v>
      </c>
      <c r="F5229">
        <f t="shared" si="83"/>
        <v>305.28660000000002</v>
      </c>
    </row>
    <row r="5230" spans="1:6" x14ac:dyDescent="0.2">
      <c r="A5230">
        <v>849</v>
      </c>
      <c r="B5230" s="3" t="s">
        <v>284</v>
      </c>
      <c r="C5230" s="3" t="s">
        <v>273</v>
      </c>
      <c r="D5230" s="3">
        <v>1</v>
      </c>
      <c r="E5230" s="3">
        <v>15.547000000000001</v>
      </c>
      <c r="F5230">
        <f t="shared" si="83"/>
        <v>15.547000000000001</v>
      </c>
    </row>
    <row r="5231" spans="1:6" x14ac:dyDescent="0.2">
      <c r="A5231">
        <v>849</v>
      </c>
      <c r="B5231" s="3" t="s">
        <v>285</v>
      </c>
      <c r="C5231" s="3" t="s">
        <v>286</v>
      </c>
      <c r="D5231" s="3">
        <v>2</v>
      </c>
      <c r="E5231" s="3">
        <v>58.189990000000002</v>
      </c>
      <c r="F5231">
        <f t="shared" si="83"/>
        <v>116.37998</v>
      </c>
    </row>
    <row r="5232" spans="1:6" x14ac:dyDescent="0.2">
      <c r="A5232">
        <v>849</v>
      </c>
      <c r="B5232" s="3" t="s">
        <v>287</v>
      </c>
      <c r="C5232" s="3" t="s">
        <v>273</v>
      </c>
      <c r="D5232" s="3">
        <v>2</v>
      </c>
      <c r="E5232" s="3">
        <v>100.669</v>
      </c>
      <c r="F5232">
        <f t="shared" si="83"/>
        <v>201.33799999999999</v>
      </c>
    </row>
    <row r="5233" spans="1:6" x14ac:dyDescent="0.2">
      <c r="A5233">
        <v>849</v>
      </c>
      <c r="B5233" s="3" t="s">
        <v>288</v>
      </c>
      <c r="C5233" s="3" t="s">
        <v>289</v>
      </c>
      <c r="D5233" s="3">
        <v>2</v>
      </c>
      <c r="E5233" s="3">
        <v>7.340122</v>
      </c>
      <c r="F5233">
        <f t="shared" si="83"/>
        <v>14.680244</v>
      </c>
    </row>
    <row r="5234" spans="1:6" x14ac:dyDescent="0.2">
      <c r="A5234">
        <v>849</v>
      </c>
      <c r="B5234" s="3" t="s">
        <v>290</v>
      </c>
      <c r="C5234" s="3" t="s">
        <v>278</v>
      </c>
      <c r="D5234" s="3">
        <v>4</v>
      </c>
      <c r="E5234" s="3">
        <v>43.751809999999999</v>
      </c>
      <c r="F5234">
        <f t="shared" si="83"/>
        <v>175.00724</v>
      </c>
    </row>
    <row r="5235" spans="1:6" x14ac:dyDescent="0.2">
      <c r="A5235">
        <v>849</v>
      </c>
      <c r="B5235" s="3" t="s">
        <v>277</v>
      </c>
      <c r="C5235" s="3" t="s">
        <v>278</v>
      </c>
      <c r="D5235" s="3">
        <v>5</v>
      </c>
      <c r="E5235" s="3">
        <v>41.026589999999999</v>
      </c>
      <c r="F5235">
        <f t="shared" si="83"/>
        <v>205.13294999999999</v>
      </c>
    </row>
    <row r="5236" spans="1:6" x14ac:dyDescent="0.2">
      <c r="A5236">
        <v>849</v>
      </c>
      <c r="B5236" s="3" t="s">
        <v>291</v>
      </c>
      <c r="C5236" s="3" t="s">
        <v>278</v>
      </c>
      <c r="D5236" s="3">
        <v>5</v>
      </c>
      <c r="E5236" s="3">
        <v>24.136399999999998</v>
      </c>
      <c r="F5236">
        <f t="shared" si="83"/>
        <v>120.68199999999999</v>
      </c>
    </row>
    <row r="5237" spans="1:6" x14ac:dyDescent="0.2">
      <c r="A5237">
        <v>849</v>
      </c>
      <c r="B5237" s="3" t="s">
        <v>292</v>
      </c>
      <c r="C5237" s="3" t="s">
        <v>293</v>
      </c>
      <c r="D5237" s="3">
        <v>2</v>
      </c>
      <c r="E5237" s="3">
        <v>96.852699999999999</v>
      </c>
      <c r="F5237">
        <f t="shared" si="83"/>
        <v>193.7054</v>
      </c>
    </row>
    <row r="5238" spans="1:6" x14ac:dyDescent="0.2">
      <c r="A5238">
        <v>849</v>
      </c>
      <c r="B5238" s="3" t="s">
        <v>294</v>
      </c>
      <c r="C5238" s="3" t="s">
        <v>278</v>
      </c>
      <c r="D5238" s="3">
        <v>108</v>
      </c>
      <c r="E5238" s="3">
        <v>26.221409999999999</v>
      </c>
      <c r="F5238">
        <f t="shared" si="83"/>
        <v>2831.91228</v>
      </c>
    </row>
    <row r="5239" spans="1:6" x14ac:dyDescent="0.2">
      <c r="A5239">
        <v>849</v>
      </c>
      <c r="B5239" s="3" t="s">
        <v>295</v>
      </c>
      <c r="C5239" s="3" t="s">
        <v>273</v>
      </c>
      <c r="D5239" s="3">
        <v>108</v>
      </c>
      <c r="E5239" s="3">
        <v>54.88693</v>
      </c>
      <c r="F5239">
        <f t="shared" si="83"/>
        <v>5927.7884400000003</v>
      </c>
    </row>
    <row r="5240" spans="1:6" x14ac:dyDescent="0.2">
      <c r="A5240">
        <v>849</v>
      </c>
      <c r="B5240" s="3" t="s">
        <v>296</v>
      </c>
      <c r="C5240" s="3" t="s">
        <v>297</v>
      </c>
      <c r="D5240" s="3">
        <v>13</v>
      </c>
      <c r="E5240" s="3">
        <v>5.5029000000000003</v>
      </c>
      <c r="F5240">
        <f t="shared" si="83"/>
        <v>71.537700000000001</v>
      </c>
    </row>
    <row r="5241" spans="1:6" x14ac:dyDescent="0.2">
      <c r="A5241">
        <v>849</v>
      </c>
      <c r="B5241" s="3" t="s">
        <v>298</v>
      </c>
      <c r="C5241" s="3" t="s">
        <v>297</v>
      </c>
      <c r="D5241" s="3">
        <v>26</v>
      </c>
      <c r="E5241" s="3">
        <v>5.9344999999999999</v>
      </c>
      <c r="F5241">
        <f t="shared" si="83"/>
        <v>154.297</v>
      </c>
    </row>
    <row r="5242" spans="1:6" x14ac:dyDescent="0.2">
      <c r="A5242">
        <v>849</v>
      </c>
      <c r="B5242" s="3" t="s">
        <v>299</v>
      </c>
      <c r="C5242" s="3" t="s">
        <v>297</v>
      </c>
      <c r="D5242" s="3">
        <v>13</v>
      </c>
      <c r="E5242" s="3">
        <v>4.3574999999999999</v>
      </c>
      <c r="F5242">
        <f t="shared" si="83"/>
        <v>56.647500000000001</v>
      </c>
    </row>
    <row r="5243" spans="1:6" x14ac:dyDescent="0.2">
      <c r="A5243">
        <v>849</v>
      </c>
      <c r="B5243" s="3" t="s">
        <v>122</v>
      </c>
      <c r="C5243" s="3" t="s">
        <v>276</v>
      </c>
      <c r="D5243" s="3">
        <v>12</v>
      </c>
      <c r="E5243" s="3">
        <v>14.915100000000001</v>
      </c>
      <c r="F5243">
        <f t="shared" si="83"/>
        <v>178.9812</v>
      </c>
    </row>
    <row r="5244" spans="1:6" x14ac:dyDescent="0.2">
      <c r="A5244">
        <v>849</v>
      </c>
      <c r="B5244" s="3" t="s">
        <v>120</v>
      </c>
      <c r="C5244" s="3" t="s">
        <v>278</v>
      </c>
      <c r="D5244" s="3">
        <v>25</v>
      </c>
      <c r="E5244" s="3">
        <v>1.5604</v>
      </c>
      <c r="F5244">
        <f t="shared" si="83"/>
        <v>39.01</v>
      </c>
    </row>
    <row r="5245" spans="1:6" x14ac:dyDescent="0.2">
      <c r="A5245">
        <v>849</v>
      </c>
      <c r="B5245" s="3" t="s">
        <v>300</v>
      </c>
      <c r="C5245" s="3" t="s">
        <v>273</v>
      </c>
      <c r="D5245" s="3">
        <v>12</v>
      </c>
      <c r="E5245" s="3">
        <v>60.59</v>
      </c>
      <c r="F5245">
        <f t="shared" si="83"/>
        <v>727.08</v>
      </c>
    </row>
    <row r="5246" spans="1:6" x14ac:dyDescent="0.2">
      <c r="A5246">
        <v>849</v>
      </c>
      <c r="B5246" s="3" t="s">
        <v>301</v>
      </c>
      <c r="C5246" s="3" t="s">
        <v>302</v>
      </c>
      <c r="D5246" s="3">
        <v>2</v>
      </c>
      <c r="E5246" s="3">
        <v>104.8857</v>
      </c>
      <c r="F5246">
        <f t="shared" si="83"/>
        <v>209.7714</v>
      </c>
    </row>
    <row r="5247" spans="1:6" x14ac:dyDescent="0.2">
      <c r="A5247">
        <v>849</v>
      </c>
      <c r="B5247" s="3" t="s">
        <v>303</v>
      </c>
      <c r="C5247" s="3" t="s">
        <v>304</v>
      </c>
      <c r="D5247" s="3">
        <v>2</v>
      </c>
      <c r="E5247" s="3">
        <v>683.94489999999996</v>
      </c>
      <c r="F5247">
        <f t="shared" si="83"/>
        <v>1367.8897999999999</v>
      </c>
    </row>
    <row r="5248" spans="1:6" x14ac:dyDescent="0.2">
      <c r="A5248">
        <v>849</v>
      </c>
      <c r="B5248" s="3" t="s">
        <v>305</v>
      </c>
      <c r="C5248" s="3" t="s">
        <v>273</v>
      </c>
      <c r="D5248" s="3">
        <v>2</v>
      </c>
      <c r="E5248" s="3">
        <v>71.189099999999996</v>
      </c>
      <c r="F5248">
        <f t="shared" si="83"/>
        <v>142.37819999999999</v>
      </c>
    </row>
    <row r="5249" spans="1:6" x14ac:dyDescent="0.2">
      <c r="A5249">
        <v>849</v>
      </c>
      <c r="B5249" s="3" t="s">
        <v>294</v>
      </c>
      <c r="C5249" s="3" t="s">
        <v>278</v>
      </c>
      <c r="D5249" s="3">
        <v>8</v>
      </c>
      <c r="E5249" s="3">
        <v>26.221409999999999</v>
      </c>
      <c r="F5249">
        <f t="shared" si="83"/>
        <v>209.77127999999999</v>
      </c>
    </row>
    <row r="5250" spans="1:6" x14ac:dyDescent="0.2">
      <c r="A5250">
        <v>849</v>
      </c>
      <c r="B5250" s="3" t="s">
        <v>306</v>
      </c>
      <c r="C5250" s="3" t="s">
        <v>273</v>
      </c>
      <c r="D5250" s="3">
        <v>8</v>
      </c>
      <c r="E5250" s="3">
        <v>99.575779999999995</v>
      </c>
      <c r="F5250">
        <f t="shared" si="83"/>
        <v>796.60623999999996</v>
      </c>
    </row>
    <row r="5251" spans="1:6" x14ac:dyDescent="0.2">
      <c r="A5251">
        <v>849</v>
      </c>
      <c r="B5251" s="3" t="s">
        <v>294</v>
      </c>
      <c r="C5251" s="3" t="s">
        <v>278</v>
      </c>
      <c r="D5251" s="3">
        <v>8</v>
      </c>
      <c r="E5251" s="3">
        <v>26.221409999999999</v>
      </c>
      <c r="F5251">
        <f t="shared" si="83"/>
        <v>209.77127999999999</v>
      </c>
    </row>
    <row r="5252" spans="1:6" x14ac:dyDescent="0.2">
      <c r="A5252">
        <v>849</v>
      </c>
      <c r="B5252" s="3" t="s">
        <v>306</v>
      </c>
      <c r="C5252" s="3" t="s">
        <v>273</v>
      </c>
      <c r="D5252" s="3">
        <v>8</v>
      </c>
      <c r="E5252" s="3">
        <v>99.575779999999995</v>
      </c>
      <c r="F5252">
        <f t="shared" si="83"/>
        <v>796.60623999999996</v>
      </c>
    </row>
    <row r="5253" spans="1:6" x14ac:dyDescent="0.2">
      <c r="A5253">
        <v>849</v>
      </c>
      <c r="B5253" s="3" t="s">
        <v>308</v>
      </c>
      <c r="C5253" s="3" t="s">
        <v>309</v>
      </c>
      <c r="D5253" s="3">
        <v>1</v>
      </c>
      <c r="E5253" s="3">
        <v>167.62309999999999</v>
      </c>
      <c r="F5253">
        <f t="shared" si="83"/>
        <v>167.62309999999999</v>
      </c>
    </row>
    <row r="5254" spans="1:6" x14ac:dyDescent="0.2">
      <c r="A5254">
        <v>849</v>
      </c>
      <c r="B5254" s="3" t="s">
        <v>310</v>
      </c>
      <c r="C5254" s="3" t="s">
        <v>273</v>
      </c>
      <c r="D5254" s="3">
        <v>1</v>
      </c>
      <c r="E5254" s="3">
        <v>0.33200000000000002</v>
      </c>
      <c r="F5254">
        <f t="shared" si="83"/>
        <v>0.33200000000000002</v>
      </c>
    </row>
    <row r="5255" spans="1:6" x14ac:dyDescent="0.2">
      <c r="A5255">
        <v>849</v>
      </c>
      <c r="B5255" s="3" t="s">
        <v>197</v>
      </c>
      <c r="C5255" s="3" t="s">
        <v>278</v>
      </c>
      <c r="D5255" s="3">
        <v>8</v>
      </c>
      <c r="E5255" s="3">
        <v>7.4700000000000003E-2</v>
      </c>
      <c r="F5255">
        <f t="shared" si="83"/>
        <v>0.59760000000000002</v>
      </c>
    </row>
    <row r="5256" spans="1:6" x14ac:dyDescent="0.2">
      <c r="A5256">
        <v>849</v>
      </c>
      <c r="B5256" s="3" t="s">
        <v>311</v>
      </c>
      <c r="C5256" s="3" t="s">
        <v>273</v>
      </c>
      <c r="D5256" s="3">
        <v>52</v>
      </c>
      <c r="E5256" s="3">
        <v>1.5935999999999999</v>
      </c>
      <c r="F5256">
        <f t="shared" si="83"/>
        <v>82.867199999999997</v>
      </c>
    </row>
    <row r="5257" spans="1:6" x14ac:dyDescent="0.2">
      <c r="A5257">
        <v>849</v>
      </c>
      <c r="B5257" s="3" t="s">
        <v>312</v>
      </c>
      <c r="C5257" s="3" t="s">
        <v>278</v>
      </c>
      <c r="D5257" s="3">
        <v>3</v>
      </c>
      <c r="E5257" s="3">
        <v>21.040500000000002</v>
      </c>
      <c r="F5257">
        <f t="shared" si="83"/>
        <v>63.121500000000005</v>
      </c>
    </row>
    <row r="5258" spans="1:6" x14ac:dyDescent="0.2">
      <c r="A5258">
        <v>849</v>
      </c>
      <c r="B5258" s="3" t="s">
        <v>75</v>
      </c>
      <c r="C5258" s="3" t="s">
        <v>313</v>
      </c>
      <c r="D5258" s="3">
        <v>3</v>
      </c>
      <c r="E5258" s="3">
        <v>0.115385</v>
      </c>
      <c r="F5258">
        <f t="shared" si="83"/>
        <v>0.34615499999999999</v>
      </c>
    </row>
    <row r="5259" spans="1:6" x14ac:dyDescent="0.2">
      <c r="A5259">
        <v>849</v>
      </c>
      <c r="B5259" s="3" t="s">
        <v>314</v>
      </c>
      <c r="C5259" s="3" t="s">
        <v>273</v>
      </c>
      <c r="D5259" s="3">
        <v>36</v>
      </c>
      <c r="E5259" s="3">
        <v>0.45650000000000002</v>
      </c>
      <c r="F5259">
        <f t="shared" si="83"/>
        <v>16.434000000000001</v>
      </c>
    </row>
    <row r="5260" spans="1:6" x14ac:dyDescent="0.2">
      <c r="A5260">
        <v>849</v>
      </c>
      <c r="B5260" s="3" t="s">
        <v>314</v>
      </c>
      <c r="C5260" s="3" t="s">
        <v>315</v>
      </c>
      <c r="D5260" s="3">
        <v>12</v>
      </c>
      <c r="E5260" s="3">
        <v>0.45650000000000002</v>
      </c>
      <c r="F5260">
        <f t="shared" ref="F5260:F5323" si="84">D5260*E5260</f>
        <v>5.4779999999999998</v>
      </c>
    </row>
    <row r="5261" spans="1:6" x14ac:dyDescent="0.2">
      <c r="A5261">
        <v>849</v>
      </c>
      <c r="B5261" s="3" t="s">
        <v>316</v>
      </c>
      <c r="C5261" s="3" t="s">
        <v>317</v>
      </c>
      <c r="D5261" s="3">
        <v>1</v>
      </c>
      <c r="E5261" s="3">
        <v>92.206620000000001</v>
      </c>
      <c r="F5261">
        <f t="shared" si="84"/>
        <v>92.206620000000001</v>
      </c>
    </row>
    <row r="5262" spans="1:6" x14ac:dyDescent="0.2">
      <c r="A5262">
        <v>849</v>
      </c>
      <c r="B5262" s="3" t="s">
        <v>318</v>
      </c>
      <c r="C5262" s="3" t="s">
        <v>319</v>
      </c>
      <c r="D5262" s="3">
        <v>2</v>
      </c>
      <c r="E5262" s="3">
        <v>85.453850000000003</v>
      </c>
      <c r="F5262">
        <f t="shared" si="84"/>
        <v>170.90770000000001</v>
      </c>
    </row>
    <row r="5263" spans="1:6" x14ac:dyDescent="0.2">
      <c r="A5263">
        <v>849</v>
      </c>
      <c r="B5263" s="3" t="s">
        <v>320</v>
      </c>
      <c r="C5263" s="3" t="s">
        <v>321</v>
      </c>
      <c r="D5263" s="3">
        <v>1</v>
      </c>
      <c r="E5263" s="3">
        <v>92.206620000000001</v>
      </c>
      <c r="F5263">
        <f t="shared" si="84"/>
        <v>92.206620000000001</v>
      </c>
    </row>
    <row r="5264" spans="1:6" x14ac:dyDescent="0.2">
      <c r="A5264">
        <v>849</v>
      </c>
      <c r="B5264" s="3" t="s">
        <v>267</v>
      </c>
      <c r="C5264" s="3" t="s">
        <v>268</v>
      </c>
      <c r="D5264" s="3">
        <v>1</v>
      </c>
      <c r="E5264" s="3">
        <v>84863.13</v>
      </c>
      <c r="F5264">
        <f t="shared" si="84"/>
        <v>84863.13</v>
      </c>
    </row>
    <row r="5265" spans="1:6" x14ac:dyDescent="0.2">
      <c r="A5265">
        <v>849</v>
      </c>
      <c r="B5265" s="3" t="s">
        <v>260</v>
      </c>
      <c r="C5265" s="3" t="s">
        <v>261</v>
      </c>
      <c r="D5265" s="3">
        <v>1</v>
      </c>
      <c r="E5265" s="3">
        <v>2908.2939999999999</v>
      </c>
      <c r="F5265">
        <f t="shared" si="84"/>
        <v>2908.2939999999999</v>
      </c>
    </row>
    <row r="5266" spans="1:6" x14ac:dyDescent="0.2">
      <c r="A5266">
        <v>849</v>
      </c>
      <c r="B5266" s="3" t="s">
        <v>262</v>
      </c>
      <c r="C5266" s="3" t="s">
        <v>263</v>
      </c>
      <c r="D5266" s="3">
        <v>1</v>
      </c>
      <c r="E5266" s="3">
        <v>3207.1970000000001</v>
      </c>
      <c r="F5266">
        <f t="shared" si="84"/>
        <v>3207.1970000000001</v>
      </c>
    </row>
    <row r="5267" spans="1:6" x14ac:dyDescent="0.2">
      <c r="A5267">
        <v>849</v>
      </c>
      <c r="B5267" s="3" t="s">
        <v>264</v>
      </c>
      <c r="C5267" s="3" t="s">
        <v>265</v>
      </c>
      <c r="D5267" s="3">
        <v>1</v>
      </c>
      <c r="E5267" s="3">
        <v>3466.7310000000002</v>
      </c>
      <c r="F5267">
        <f t="shared" si="84"/>
        <v>3466.7310000000002</v>
      </c>
    </row>
    <row r="5268" spans="1:6" x14ac:dyDescent="0.2">
      <c r="A5268">
        <v>849</v>
      </c>
      <c r="B5268" s="3" t="s">
        <v>259</v>
      </c>
      <c r="C5268" s="3" t="s">
        <v>258</v>
      </c>
      <c r="D5268" s="3">
        <v>1</v>
      </c>
      <c r="E5268" s="3">
        <v>3325.9760000000001</v>
      </c>
      <c r="F5268">
        <f t="shared" si="84"/>
        <v>3325.9760000000001</v>
      </c>
    </row>
    <row r="5269" spans="1:6" x14ac:dyDescent="0.2">
      <c r="A5269">
        <v>849</v>
      </c>
      <c r="B5269" s="3" t="s">
        <v>257</v>
      </c>
      <c r="C5269" s="3" t="s">
        <v>258</v>
      </c>
      <c r="D5269" s="3">
        <v>1</v>
      </c>
      <c r="E5269" s="3">
        <v>3325.9760000000001</v>
      </c>
      <c r="F5269">
        <f t="shared" si="84"/>
        <v>3325.9760000000001</v>
      </c>
    </row>
    <row r="5270" spans="1:6" x14ac:dyDescent="0.2">
      <c r="A5270">
        <v>849</v>
      </c>
      <c r="B5270" s="3" t="s">
        <v>255</v>
      </c>
      <c r="C5270" s="3" t="s">
        <v>256</v>
      </c>
      <c r="D5270" s="3">
        <v>1</v>
      </c>
      <c r="E5270" s="3">
        <v>18546.09</v>
      </c>
      <c r="F5270">
        <f t="shared" si="84"/>
        <v>18546.09</v>
      </c>
    </row>
    <row r="5271" spans="1:6" x14ac:dyDescent="0.2">
      <c r="A5271">
        <v>849</v>
      </c>
      <c r="B5271" s="3" t="s">
        <v>253</v>
      </c>
      <c r="C5271" s="3" t="s">
        <v>254</v>
      </c>
      <c r="D5271" s="3">
        <v>1</v>
      </c>
      <c r="E5271" s="3">
        <v>21043.68</v>
      </c>
      <c r="F5271">
        <f t="shared" si="84"/>
        <v>21043.68</v>
      </c>
    </row>
    <row r="5272" spans="1:6" x14ac:dyDescent="0.2">
      <c r="A5272">
        <v>849</v>
      </c>
      <c r="B5272" s="3" t="s">
        <v>359</v>
      </c>
      <c r="C5272" s="3" t="s">
        <v>360</v>
      </c>
      <c r="D5272" s="3">
        <v>1</v>
      </c>
      <c r="E5272" s="3">
        <v>1844.9380000000001</v>
      </c>
      <c r="F5272">
        <f t="shared" si="84"/>
        <v>1844.9380000000001</v>
      </c>
    </row>
    <row r="5273" spans="1:6" x14ac:dyDescent="0.2">
      <c r="A5273">
        <v>849</v>
      </c>
      <c r="B5273" s="3" t="s">
        <v>389</v>
      </c>
      <c r="C5273" s="3" t="s">
        <v>390</v>
      </c>
      <c r="D5273">
        <v>1</v>
      </c>
      <c r="E5273" s="3">
        <v>4906</v>
      </c>
      <c r="F5273">
        <f>D5273*E5273</f>
        <v>4906</v>
      </c>
    </row>
    <row r="5274" spans="1:6" x14ac:dyDescent="0.2">
      <c r="A5274">
        <v>850</v>
      </c>
      <c r="B5274" s="3" t="s">
        <v>62</v>
      </c>
      <c r="C5274" s="3" t="s">
        <v>63</v>
      </c>
      <c r="D5274" s="3">
        <v>1</v>
      </c>
      <c r="E5274" s="3">
        <v>0.34860000000000002</v>
      </c>
      <c r="F5274">
        <f t="shared" si="84"/>
        <v>0.34860000000000002</v>
      </c>
    </row>
    <row r="5275" spans="1:6" x14ac:dyDescent="0.2">
      <c r="A5275">
        <v>850</v>
      </c>
      <c r="B5275" s="3" t="s">
        <v>64</v>
      </c>
      <c r="C5275" s="3" t="s">
        <v>65</v>
      </c>
      <c r="D5275" s="3">
        <v>1</v>
      </c>
      <c r="E5275" s="3">
        <v>803.07690000000002</v>
      </c>
      <c r="F5275">
        <f t="shared" si="84"/>
        <v>803.07690000000002</v>
      </c>
    </row>
    <row r="5276" spans="1:6" x14ac:dyDescent="0.2">
      <c r="A5276">
        <v>850</v>
      </c>
      <c r="B5276" s="3" t="s">
        <v>67</v>
      </c>
      <c r="C5276" s="3" t="s">
        <v>68</v>
      </c>
      <c r="D5276" s="3">
        <v>1</v>
      </c>
      <c r="E5276" s="3">
        <v>49.678570000000001</v>
      </c>
      <c r="F5276">
        <f t="shared" si="84"/>
        <v>49.678570000000001</v>
      </c>
    </row>
    <row r="5277" spans="1:6" x14ac:dyDescent="0.2">
      <c r="A5277">
        <v>850</v>
      </c>
      <c r="B5277" s="3" t="s">
        <v>70</v>
      </c>
      <c r="C5277" s="3" t="s">
        <v>71</v>
      </c>
      <c r="D5277" s="3">
        <v>2</v>
      </c>
      <c r="E5277" s="3">
        <v>407.98649999999998</v>
      </c>
      <c r="F5277">
        <f t="shared" si="84"/>
        <v>815.97299999999996</v>
      </c>
    </row>
    <row r="5278" spans="1:6" x14ac:dyDescent="0.2">
      <c r="A5278">
        <v>850</v>
      </c>
      <c r="B5278" s="3" t="s">
        <v>73</v>
      </c>
      <c r="C5278" s="3" t="s">
        <v>74</v>
      </c>
      <c r="D5278" s="3">
        <v>5</v>
      </c>
      <c r="E5278" s="3">
        <v>0.57783899999999999</v>
      </c>
      <c r="F5278">
        <f t="shared" si="84"/>
        <v>2.889195</v>
      </c>
    </row>
    <row r="5279" spans="1:6" x14ac:dyDescent="0.2">
      <c r="A5279">
        <v>850</v>
      </c>
      <c r="B5279" s="3" t="s">
        <v>75</v>
      </c>
      <c r="C5279" s="3" t="s">
        <v>76</v>
      </c>
      <c r="D5279" s="3">
        <v>75</v>
      </c>
      <c r="E5279" s="3">
        <v>0.115385</v>
      </c>
      <c r="F5279">
        <f t="shared" si="84"/>
        <v>8.6538749999999993</v>
      </c>
    </row>
    <row r="5280" spans="1:6" x14ac:dyDescent="0.2">
      <c r="A5280">
        <v>850</v>
      </c>
      <c r="B5280" s="3" t="s">
        <v>77</v>
      </c>
      <c r="C5280" s="3" t="s">
        <v>74</v>
      </c>
      <c r="D5280" s="3">
        <v>10</v>
      </c>
      <c r="E5280" s="3">
        <v>1.3944000000000001</v>
      </c>
      <c r="F5280">
        <f t="shared" si="84"/>
        <v>13.944000000000001</v>
      </c>
    </row>
    <row r="5281" spans="1:6" x14ac:dyDescent="0.2">
      <c r="A5281">
        <v>850</v>
      </c>
      <c r="B5281" s="3" t="s">
        <v>78</v>
      </c>
      <c r="C5281" s="3" t="s">
        <v>76</v>
      </c>
      <c r="D5281" s="3">
        <v>20</v>
      </c>
      <c r="E5281" s="3">
        <v>0.71839500000000001</v>
      </c>
      <c r="F5281">
        <f t="shared" si="84"/>
        <v>14.367900000000001</v>
      </c>
    </row>
    <row r="5282" spans="1:6" x14ac:dyDescent="0.2">
      <c r="A5282">
        <v>850</v>
      </c>
      <c r="B5282" s="3" t="s">
        <v>79</v>
      </c>
      <c r="C5282" s="3" t="s">
        <v>74</v>
      </c>
      <c r="D5282" s="3">
        <v>15</v>
      </c>
      <c r="E5282" s="3">
        <v>1.930769</v>
      </c>
      <c r="F5282">
        <f t="shared" si="84"/>
        <v>28.961534999999998</v>
      </c>
    </row>
    <row r="5283" spans="1:6" x14ac:dyDescent="0.2">
      <c r="A5283">
        <v>850</v>
      </c>
      <c r="B5283" s="3" t="s">
        <v>80</v>
      </c>
      <c r="C5283" s="3" t="s">
        <v>74</v>
      </c>
      <c r="D5283" s="3">
        <v>40</v>
      </c>
      <c r="E5283" s="3">
        <v>0.95450000000000002</v>
      </c>
      <c r="F5283">
        <f t="shared" si="84"/>
        <v>38.18</v>
      </c>
    </row>
    <row r="5284" spans="1:6" x14ac:dyDescent="0.2">
      <c r="A5284">
        <v>850</v>
      </c>
      <c r="B5284" s="3" t="s">
        <v>81</v>
      </c>
      <c r="C5284" s="3" t="s">
        <v>74</v>
      </c>
      <c r="D5284" s="3">
        <v>65</v>
      </c>
      <c r="E5284" s="3">
        <v>0.76359999999999995</v>
      </c>
      <c r="F5284">
        <f t="shared" si="84"/>
        <v>49.633999999999993</v>
      </c>
    </row>
    <row r="5285" spans="1:6" x14ac:dyDescent="0.2">
      <c r="A5285">
        <v>850</v>
      </c>
      <c r="B5285" s="3" t="s">
        <v>82</v>
      </c>
      <c r="C5285" s="3" t="s">
        <v>83</v>
      </c>
      <c r="D5285" s="3">
        <v>5</v>
      </c>
      <c r="E5285" s="3">
        <v>20.351600000000001</v>
      </c>
      <c r="F5285">
        <f t="shared" si="84"/>
        <v>101.75800000000001</v>
      </c>
    </row>
    <row r="5286" spans="1:6" x14ac:dyDescent="0.2">
      <c r="A5286">
        <v>850</v>
      </c>
      <c r="B5286" s="3" t="s">
        <v>84</v>
      </c>
      <c r="C5286" s="3" t="s">
        <v>85</v>
      </c>
      <c r="D5286" s="3">
        <v>5</v>
      </c>
      <c r="E5286" s="3">
        <v>102.3322</v>
      </c>
      <c r="F5286">
        <f t="shared" si="84"/>
        <v>511.661</v>
      </c>
    </row>
    <row r="5287" spans="1:6" x14ac:dyDescent="0.2">
      <c r="A5287">
        <v>850</v>
      </c>
      <c r="B5287" s="3" t="s">
        <v>86</v>
      </c>
      <c r="C5287" s="3" t="s">
        <v>85</v>
      </c>
      <c r="D5287" s="3">
        <v>5</v>
      </c>
      <c r="E5287" s="3">
        <v>144.2646</v>
      </c>
      <c r="F5287">
        <f t="shared" si="84"/>
        <v>721.32299999999998</v>
      </c>
    </row>
    <row r="5288" spans="1:6" x14ac:dyDescent="0.2">
      <c r="A5288">
        <v>850</v>
      </c>
      <c r="B5288" s="3" t="s">
        <v>87</v>
      </c>
      <c r="C5288" s="3" t="s">
        <v>88</v>
      </c>
      <c r="D5288" s="3">
        <v>5</v>
      </c>
      <c r="E5288" s="3">
        <v>162.0215</v>
      </c>
      <c r="F5288">
        <f t="shared" si="84"/>
        <v>810.10750000000007</v>
      </c>
    </row>
    <row r="5289" spans="1:6" x14ac:dyDescent="0.2">
      <c r="A5289">
        <v>850</v>
      </c>
      <c r="B5289" s="3" t="s">
        <v>89</v>
      </c>
      <c r="C5289" s="3" t="s">
        <v>85</v>
      </c>
      <c r="D5289" s="3">
        <v>5</v>
      </c>
      <c r="E5289" s="3">
        <v>211.0129</v>
      </c>
      <c r="F5289">
        <f t="shared" si="84"/>
        <v>1055.0645</v>
      </c>
    </row>
    <row r="5290" spans="1:6" x14ac:dyDescent="0.2">
      <c r="A5290">
        <v>850</v>
      </c>
      <c r="B5290" s="3" t="s">
        <v>90</v>
      </c>
      <c r="C5290" s="3" t="s">
        <v>88</v>
      </c>
      <c r="D5290" s="3">
        <v>5</v>
      </c>
      <c r="E5290" s="3">
        <v>238.1635</v>
      </c>
      <c r="F5290">
        <f t="shared" si="84"/>
        <v>1190.8175000000001</v>
      </c>
    </row>
    <row r="5291" spans="1:6" x14ac:dyDescent="0.2">
      <c r="A5291">
        <v>850</v>
      </c>
      <c r="B5291" s="3" t="s">
        <v>92</v>
      </c>
      <c r="C5291" s="3" t="s">
        <v>93</v>
      </c>
      <c r="D5291" s="3">
        <v>5</v>
      </c>
      <c r="E5291" s="3">
        <v>19.297499999999999</v>
      </c>
      <c r="F5291">
        <f t="shared" si="84"/>
        <v>96.487499999999997</v>
      </c>
    </row>
    <row r="5292" spans="1:6" x14ac:dyDescent="0.2">
      <c r="A5292">
        <v>850</v>
      </c>
      <c r="B5292" s="3" t="s">
        <v>94</v>
      </c>
      <c r="C5292" s="3" t="s">
        <v>95</v>
      </c>
      <c r="D5292" s="3">
        <v>1</v>
      </c>
      <c r="E5292" s="3">
        <v>644.46270000000004</v>
      </c>
      <c r="F5292">
        <f t="shared" si="84"/>
        <v>644.46270000000004</v>
      </c>
    </row>
    <row r="5293" spans="1:6" x14ac:dyDescent="0.2">
      <c r="A5293">
        <v>850</v>
      </c>
      <c r="B5293" s="3" t="s">
        <v>236</v>
      </c>
      <c r="C5293" s="3" t="s">
        <v>237</v>
      </c>
      <c r="D5293" s="3">
        <v>6</v>
      </c>
      <c r="E5293" s="3">
        <v>132.80000000000001</v>
      </c>
      <c r="F5293">
        <f t="shared" si="84"/>
        <v>796.80000000000007</v>
      </c>
    </row>
    <row r="5294" spans="1:6" x14ac:dyDescent="0.2">
      <c r="A5294">
        <v>850</v>
      </c>
      <c r="B5294" s="3" t="s">
        <v>238</v>
      </c>
      <c r="C5294" s="3" t="s">
        <v>239</v>
      </c>
      <c r="D5294" s="3">
        <v>4</v>
      </c>
      <c r="E5294" s="3">
        <v>340.93849999999998</v>
      </c>
      <c r="F5294">
        <f t="shared" si="84"/>
        <v>1363.7539999999999</v>
      </c>
    </row>
    <row r="5295" spans="1:6" x14ac:dyDescent="0.2">
      <c r="A5295">
        <v>850</v>
      </c>
      <c r="B5295" s="3" t="s">
        <v>240</v>
      </c>
      <c r="C5295" s="3" t="s">
        <v>241</v>
      </c>
      <c r="D5295" s="3">
        <v>4</v>
      </c>
      <c r="E5295" s="3">
        <v>309.0154</v>
      </c>
      <c r="F5295">
        <f t="shared" si="84"/>
        <v>1236.0616</v>
      </c>
    </row>
    <row r="5296" spans="1:6" x14ac:dyDescent="0.2">
      <c r="A5296">
        <v>850</v>
      </c>
      <c r="B5296" s="3" t="s">
        <v>242</v>
      </c>
      <c r="C5296" s="3" t="s">
        <v>243</v>
      </c>
      <c r="D5296" s="3">
        <v>2</v>
      </c>
      <c r="E5296" s="3">
        <v>427.76920000000001</v>
      </c>
      <c r="F5296">
        <f t="shared" si="84"/>
        <v>855.53840000000002</v>
      </c>
    </row>
    <row r="5297" spans="1:6" x14ac:dyDescent="0.2">
      <c r="A5297">
        <v>850</v>
      </c>
      <c r="B5297" s="3" t="s">
        <v>244</v>
      </c>
      <c r="C5297" s="3" t="s">
        <v>184</v>
      </c>
      <c r="D5297" s="3">
        <v>4</v>
      </c>
      <c r="E5297" s="3">
        <v>18.643080000000001</v>
      </c>
      <c r="F5297">
        <f t="shared" si="84"/>
        <v>74.572320000000005</v>
      </c>
    </row>
    <row r="5298" spans="1:6" x14ac:dyDescent="0.2">
      <c r="A5298">
        <v>850</v>
      </c>
      <c r="B5298" s="3" t="s">
        <v>245</v>
      </c>
      <c r="C5298" s="3" t="s">
        <v>246</v>
      </c>
      <c r="D5298" s="3">
        <v>8</v>
      </c>
      <c r="E5298" s="3">
        <v>0.44819999999999999</v>
      </c>
      <c r="F5298">
        <f t="shared" si="84"/>
        <v>3.5855999999999999</v>
      </c>
    </row>
    <row r="5299" spans="1:6" x14ac:dyDescent="0.2">
      <c r="A5299">
        <v>850</v>
      </c>
      <c r="B5299" s="3" t="s">
        <v>75</v>
      </c>
      <c r="C5299" s="3" t="s">
        <v>247</v>
      </c>
      <c r="D5299" s="3">
        <v>8</v>
      </c>
      <c r="E5299" s="3">
        <v>0.115385</v>
      </c>
      <c r="F5299">
        <f t="shared" si="84"/>
        <v>0.92308000000000001</v>
      </c>
    </row>
    <row r="5300" spans="1:6" x14ac:dyDescent="0.2">
      <c r="A5300">
        <v>850</v>
      </c>
      <c r="B5300" s="3" t="s">
        <v>197</v>
      </c>
      <c r="C5300" s="3" t="s">
        <v>117</v>
      </c>
      <c r="D5300" s="3">
        <v>8</v>
      </c>
      <c r="E5300" s="3">
        <v>7.4700000000000003E-2</v>
      </c>
      <c r="F5300">
        <f t="shared" si="84"/>
        <v>0.59760000000000002</v>
      </c>
    </row>
    <row r="5301" spans="1:6" x14ac:dyDescent="0.2">
      <c r="A5301">
        <v>850</v>
      </c>
      <c r="B5301" s="3" t="s">
        <v>248</v>
      </c>
      <c r="C5301" s="3" t="s">
        <v>249</v>
      </c>
      <c r="D5301" s="3">
        <v>1</v>
      </c>
      <c r="E5301" s="3">
        <v>31064.98</v>
      </c>
      <c r="F5301">
        <f t="shared" si="84"/>
        <v>31064.98</v>
      </c>
    </row>
    <row r="5302" spans="1:6" x14ac:dyDescent="0.2">
      <c r="A5302">
        <v>850</v>
      </c>
      <c r="B5302" s="3" t="s">
        <v>250</v>
      </c>
      <c r="C5302" s="3" t="s">
        <v>251</v>
      </c>
      <c r="D5302" s="3">
        <v>2</v>
      </c>
      <c r="E5302" s="3">
        <v>564.5412</v>
      </c>
      <c r="F5302">
        <f t="shared" si="84"/>
        <v>1129.0824</v>
      </c>
    </row>
    <row r="5303" spans="1:6" x14ac:dyDescent="0.2">
      <c r="A5303">
        <v>850</v>
      </c>
      <c r="B5303" s="3" t="s">
        <v>146</v>
      </c>
      <c r="C5303" s="3" t="s">
        <v>147</v>
      </c>
      <c r="D5303" s="3">
        <v>2</v>
      </c>
      <c r="E5303" s="3">
        <v>8021.5770000000002</v>
      </c>
      <c r="F5303">
        <f t="shared" si="84"/>
        <v>16043.154</v>
      </c>
    </row>
    <row r="5304" spans="1:6" x14ac:dyDescent="0.2">
      <c r="A5304">
        <v>850</v>
      </c>
      <c r="B5304" s="3" t="s">
        <v>215</v>
      </c>
      <c r="C5304" s="3" t="s">
        <v>208</v>
      </c>
      <c r="D5304" s="3">
        <v>1</v>
      </c>
      <c r="E5304" s="3">
        <v>1.4289810000000001</v>
      </c>
      <c r="F5304">
        <f t="shared" si="84"/>
        <v>1.4289810000000001</v>
      </c>
    </row>
    <row r="5305" spans="1:6" x14ac:dyDescent="0.2">
      <c r="A5305">
        <v>850</v>
      </c>
      <c r="B5305" s="3" t="s">
        <v>200</v>
      </c>
      <c r="C5305" s="3" t="s">
        <v>199</v>
      </c>
      <c r="D5305" s="3">
        <v>3</v>
      </c>
      <c r="E5305" s="3">
        <v>0.66373400000000005</v>
      </c>
      <c r="F5305">
        <f t="shared" si="84"/>
        <v>1.9912020000000001</v>
      </c>
    </row>
    <row r="5306" spans="1:6" x14ac:dyDescent="0.2">
      <c r="A5306">
        <v>850</v>
      </c>
      <c r="B5306" s="3" t="s">
        <v>216</v>
      </c>
      <c r="C5306" s="3" t="s">
        <v>199</v>
      </c>
      <c r="D5306" s="3">
        <v>1</v>
      </c>
      <c r="E5306" s="3">
        <v>0.66400000000000003</v>
      </c>
      <c r="F5306">
        <f t="shared" si="84"/>
        <v>0.66400000000000003</v>
      </c>
    </row>
    <row r="5307" spans="1:6" x14ac:dyDescent="0.2">
      <c r="A5307">
        <v>850</v>
      </c>
      <c r="B5307" s="3" t="s">
        <v>217</v>
      </c>
      <c r="C5307" s="3" t="s">
        <v>199</v>
      </c>
      <c r="D5307" s="3">
        <v>1</v>
      </c>
      <c r="E5307" s="3">
        <v>4.2164000000000001</v>
      </c>
      <c r="F5307">
        <f t="shared" si="84"/>
        <v>4.2164000000000001</v>
      </c>
    </row>
    <row r="5308" spans="1:6" x14ac:dyDescent="0.2">
      <c r="A5308">
        <v>850</v>
      </c>
      <c r="B5308" s="3" t="s">
        <v>218</v>
      </c>
      <c r="C5308" s="3" t="s">
        <v>208</v>
      </c>
      <c r="D5308" s="3">
        <v>3</v>
      </c>
      <c r="E5308" s="3">
        <v>7.3455000000000004</v>
      </c>
      <c r="F5308">
        <f t="shared" si="84"/>
        <v>22.0365</v>
      </c>
    </row>
    <row r="5309" spans="1:6" x14ac:dyDescent="0.2">
      <c r="A5309">
        <v>850</v>
      </c>
      <c r="B5309" s="3" t="s">
        <v>219</v>
      </c>
      <c r="C5309" s="3" t="s">
        <v>199</v>
      </c>
      <c r="D5309" s="3">
        <v>2</v>
      </c>
      <c r="E5309" s="3">
        <v>1.4774</v>
      </c>
      <c r="F5309">
        <f t="shared" si="84"/>
        <v>2.9548000000000001</v>
      </c>
    </row>
    <row r="5310" spans="1:6" x14ac:dyDescent="0.2">
      <c r="A5310">
        <v>850</v>
      </c>
      <c r="B5310" s="3" t="s">
        <v>220</v>
      </c>
      <c r="C5310" s="3" t="s">
        <v>208</v>
      </c>
      <c r="D5310" s="3">
        <v>1</v>
      </c>
      <c r="E5310" s="3">
        <v>3.7267000000000001</v>
      </c>
      <c r="F5310">
        <f t="shared" si="84"/>
        <v>3.7267000000000001</v>
      </c>
    </row>
    <row r="5311" spans="1:6" x14ac:dyDescent="0.2">
      <c r="A5311">
        <v>850</v>
      </c>
      <c r="B5311" s="3" t="s">
        <v>221</v>
      </c>
      <c r="C5311" s="3" t="s">
        <v>199</v>
      </c>
      <c r="D5311" s="3">
        <v>5</v>
      </c>
      <c r="E5311" s="3">
        <v>0.97940000000000005</v>
      </c>
      <c r="F5311">
        <f t="shared" si="84"/>
        <v>4.8970000000000002</v>
      </c>
    </row>
    <row r="5312" spans="1:6" x14ac:dyDescent="0.2">
      <c r="A5312">
        <v>850</v>
      </c>
      <c r="B5312" s="3" t="s">
        <v>222</v>
      </c>
      <c r="C5312" s="3" t="s">
        <v>208</v>
      </c>
      <c r="D5312" s="3">
        <v>1</v>
      </c>
      <c r="E5312" s="3">
        <v>6.0673000000000004</v>
      </c>
      <c r="F5312">
        <f t="shared" si="84"/>
        <v>6.0673000000000004</v>
      </c>
    </row>
    <row r="5313" spans="1:6" x14ac:dyDescent="0.2">
      <c r="A5313">
        <v>850</v>
      </c>
      <c r="B5313" s="3" t="s">
        <v>223</v>
      </c>
      <c r="C5313" s="3" t="s">
        <v>224</v>
      </c>
      <c r="D5313" s="3">
        <v>3</v>
      </c>
      <c r="E5313" s="3">
        <v>19.4635</v>
      </c>
      <c r="F5313">
        <f t="shared" si="84"/>
        <v>58.390500000000003</v>
      </c>
    </row>
    <row r="5314" spans="1:6" x14ac:dyDescent="0.2">
      <c r="A5314">
        <v>850</v>
      </c>
      <c r="B5314" s="3" t="s">
        <v>225</v>
      </c>
      <c r="C5314" s="3" t="s">
        <v>226</v>
      </c>
      <c r="D5314" s="3">
        <v>6</v>
      </c>
      <c r="E5314" s="3">
        <v>10.22151</v>
      </c>
      <c r="F5314">
        <f t="shared" si="84"/>
        <v>61.329059999999998</v>
      </c>
    </row>
    <row r="5315" spans="1:6" x14ac:dyDescent="0.2">
      <c r="A5315">
        <v>850</v>
      </c>
      <c r="B5315" s="3" t="s">
        <v>227</v>
      </c>
      <c r="C5315" s="3" t="s">
        <v>208</v>
      </c>
      <c r="D5315" s="3">
        <v>6</v>
      </c>
      <c r="E5315" s="3">
        <v>3.6307689999999999</v>
      </c>
      <c r="F5315">
        <f t="shared" si="84"/>
        <v>21.784613999999998</v>
      </c>
    </row>
    <row r="5316" spans="1:6" x14ac:dyDescent="0.2">
      <c r="A5316">
        <v>850</v>
      </c>
      <c r="B5316" s="3" t="s">
        <v>228</v>
      </c>
      <c r="C5316" s="3" t="s">
        <v>229</v>
      </c>
      <c r="D5316" s="3">
        <v>1</v>
      </c>
      <c r="E5316" s="3">
        <v>306.94979999999998</v>
      </c>
      <c r="F5316">
        <f t="shared" si="84"/>
        <v>306.94979999999998</v>
      </c>
    </row>
    <row r="5317" spans="1:6" x14ac:dyDescent="0.2">
      <c r="A5317">
        <v>850</v>
      </c>
      <c r="B5317" s="3" t="s">
        <v>116</v>
      </c>
      <c r="C5317" s="3" t="s">
        <v>117</v>
      </c>
      <c r="D5317" s="3">
        <v>3</v>
      </c>
      <c r="E5317" s="3">
        <v>0.25729999999999997</v>
      </c>
      <c r="F5317">
        <f t="shared" si="84"/>
        <v>0.77189999999999992</v>
      </c>
    </row>
    <row r="5318" spans="1:6" x14ac:dyDescent="0.2">
      <c r="A5318">
        <v>850</v>
      </c>
      <c r="B5318" s="3" t="s">
        <v>78</v>
      </c>
      <c r="C5318" s="3" t="s">
        <v>76</v>
      </c>
      <c r="D5318" s="3">
        <v>1</v>
      </c>
      <c r="E5318" s="3">
        <v>0.71839500000000001</v>
      </c>
      <c r="F5318">
        <f t="shared" si="84"/>
        <v>0.71839500000000001</v>
      </c>
    </row>
    <row r="5319" spans="1:6" x14ac:dyDescent="0.2">
      <c r="A5319">
        <v>850</v>
      </c>
      <c r="B5319" s="3" t="s">
        <v>231</v>
      </c>
      <c r="C5319" s="3" t="s">
        <v>208</v>
      </c>
      <c r="D5319" s="3">
        <v>1</v>
      </c>
      <c r="E5319" s="3">
        <v>2.0832999999999999</v>
      </c>
      <c r="F5319">
        <f t="shared" si="84"/>
        <v>2.0832999999999999</v>
      </c>
    </row>
    <row r="5320" spans="1:6" x14ac:dyDescent="0.2">
      <c r="A5320">
        <v>850</v>
      </c>
      <c r="B5320" s="3" t="s">
        <v>232</v>
      </c>
      <c r="C5320" s="3" t="s">
        <v>119</v>
      </c>
      <c r="D5320" s="3">
        <v>3</v>
      </c>
      <c r="E5320" s="3">
        <v>1.5935999999999999</v>
      </c>
      <c r="F5320">
        <f t="shared" si="84"/>
        <v>4.7807999999999993</v>
      </c>
    </row>
    <row r="5321" spans="1:6" x14ac:dyDescent="0.2">
      <c r="A5321">
        <v>850</v>
      </c>
      <c r="B5321" s="3" t="s">
        <v>233</v>
      </c>
      <c r="C5321" s="3" t="s">
        <v>234</v>
      </c>
      <c r="D5321" s="3">
        <v>2</v>
      </c>
      <c r="E5321" s="3">
        <v>3989.2950000000001</v>
      </c>
      <c r="F5321">
        <f t="shared" si="84"/>
        <v>7978.59</v>
      </c>
    </row>
    <row r="5322" spans="1:6" x14ac:dyDescent="0.2">
      <c r="A5322">
        <v>850</v>
      </c>
      <c r="B5322" s="3" t="s">
        <v>142</v>
      </c>
      <c r="C5322" s="3" t="s">
        <v>143</v>
      </c>
      <c r="D5322" s="3">
        <v>1</v>
      </c>
      <c r="E5322" s="3">
        <v>18141.64</v>
      </c>
      <c r="F5322">
        <f t="shared" si="84"/>
        <v>18141.64</v>
      </c>
    </row>
    <row r="5323" spans="1:6" x14ac:dyDescent="0.2">
      <c r="A5323">
        <v>850</v>
      </c>
      <c r="B5323" s="3" t="s">
        <v>144</v>
      </c>
      <c r="C5323" s="3" t="s">
        <v>145</v>
      </c>
      <c r="D5323" s="3">
        <v>5</v>
      </c>
      <c r="E5323" s="3">
        <v>7346.6769999999997</v>
      </c>
      <c r="F5323">
        <f t="shared" si="84"/>
        <v>36733.384999999995</v>
      </c>
    </row>
    <row r="5324" spans="1:6" x14ac:dyDescent="0.2">
      <c r="A5324">
        <v>850</v>
      </c>
      <c r="B5324" s="3" t="s">
        <v>197</v>
      </c>
      <c r="C5324" s="3" t="s">
        <v>117</v>
      </c>
      <c r="D5324" s="3">
        <v>1</v>
      </c>
      <c r="E5324" s="3">
        <v>7.4700000000000003E-2</v>
      </c>
      <c r="F5324">
        <f t="shared" ref="F5324:F5357" si="85">D5324*E5324</f>
        <v>7.4700000000000003E-2</v>
      </c>
    </row>
    <row r="5325" spans="1:6" x14ac:dyDescent="0.2">
      <c r="A5325">
        <v>850</v>
      </c>
      <c r="B5325" s="3" t="s">
        <v>198</v>
      </c>
      <c r="C5325" s="3" t="s">
        <v>199</v>
      </c>
      <c r="D5325" s="3">
        <v>1</v>
      </c>
      <c r="E5325" s="3">
        <v>0.66373400000000005</v>
      </c>
      <c r="F5325">
        <f t="shared" si="85"/>
        <v>0.66373400000000005</v>
      </c>
    </row>
    <row r="5326" spans="1:6" x14ac:dyDescent="0.2">
      <c r="A5326">
        <v>850</v>
      </c>
      <c r="B5326" s="3" t="s">
        <v>200</v>
      </c>
      <c r="C5326" s="3" t="s">
        <v>199</v>
      </c>
      <c r="D5326" s="3">
        <v>1</v>
      </c>
      <c r="E5326" s="3">
        <v>0.66373400000000005</v>
      </c>
      <c r="F5326">
        <f t="shared" si="85"/>
        <v>0.66373400000000005</v>
      </c>
    </row>
    <row r="5327" spans="1:6" x14ac:dyDescent="0.2">
      <c r="A5327">
        <v>850</v>
      </c>
      <c r="B5327" s="3" t="s">
        <v>201</v>
      </c>
      <c r="C5327" s="3" t="s">
        <v>76</v>
      </c>
      <c r="D5327" s="3">
        <v>5</v>
      </c>
      <c r="E5327" s="3">
        <v>0.22645100000000001</v>
      </c>
      <c r="F5327">
        <f t="shared" si="85"/>
        <v>1.132255</v>
      </c>
    </row>
    <row r="5328" spans="1:6" x14ac:dyDescent="0.2">
      <c r="A5328">
        <v>850</v>
      </c>
      <c r="B5328" s="3" t="s">
        <v>202</v>
      </c>
      <c r="C5328" s="3" t="s">
        <v>203</v>
      </c>
      <c r="D5328" s="3">
        <v>5</v>
      </c>
      <c r="E5328" s="3">
        <v>12.45</v>
      </c>
      <c r="F5328">
        <f t="shared" si="85"/>
        <v>62.25</v>
      </c>
    </row>
    <row r="5329" spans="1:6" x14ac:dyDescent="0.2">
      <c r="A5329">
        <v>850</v>
      </c>
      <c r="B5329" s="3" t="s">
        <v>204</v>
      </c>
      <c r="C5329" s="3" t="s">
        <v>205</v>
      </c>
      <c r="D5329" s="3">
        <v>1</v>
      </c>
      <c r="E5329" s="3">
        <v>103.7222</v>
      </c>
      <c r="F5329">
        <f t="shared" si="85"/>
        <v>103.7222</v>
      </c>
    </row>
    <row r="5330" spans="1:6" x14ac:dyDescent="0.2">
      <c r="A5330">
        <v>850</v>
      </c>
      <c r="B5330" s="3" t="s">
        <v>116</v>
      </c>
      <c r="C5330" s="3" t="s">
        <v>117</v>
      </c>
      <c r="D5330" s="3">
        <v>1</v>
      </c>
      <c r="E5330" s="3">
        <v>0.25729999999999997</v>
      </c>
      <c r="F5330">
        <f t="shared" si="85"/>
        <v>0.25729999999999997</v>
      </c>
    </row>
    <row r="5331" spans="1:6" x14ac:dyDescent="0.2">
      <c r="A5331">
        <v>850</v>
      </c>
      <c r="B5331" s="3" t="s">
        <v>78</v>
      </c>
      <c r="C5331" s="3" t="s">
        <v>76</v>
      </c>
      <c r="D5331" s="3">
        <v>4</v>
      </c>
      <c r="E5331" s="3">
        <v>0.71839500000000001</v>
      </c>
      <c r="F5331">
        <f t="shared" si="85"/>
        <v>2.87358</v>
      </c>
    </row>
    <row r="5332" spans="1:6" x14ac:dyDescent="0.2">
      <c r="A5332">
        <v>850</v>
      </c>
      <c r="B5332" s="3" t="s">
        <v>207</v>
      </c>
      <c r="C5332" s="3" t="s">
        <v>208</v>
      </c>
      <c r="D5332" s="3">
        <v>3</v>
      </c>
      <c r="E5332" s="3">
        <v>4.6314000000000002</v>
      </c>
      <c r="F5332">
        <f t="shared" si="85"/>
        <v>13.894200000000001</v>
      </c>
    </row>
    <row r="5333" spans="1:6" x14ac:dyDescent="0.2">
      <c r="A5333">
        <v>850</v>
      </c>
      <c r="B5333" s="3" t="s">
        <v>209</v>
      </c>
      <c r="C5333" s="3" t="s">
        <v>210</v>
      </c>
      <c r="D5333" s="3">
        <v>1</v>
      </c>
      <c r="E5333" s="3">
        <v>39.550759999999997</v>
      </c>
      <c r="F5333">
        <f t="shared" si="85"/>
        <v>39.550759999999997</v>
      </c>
    </row>
    <row r="5334" spans="1:6" x14ac:dyDescent="0.2">
      <c r="A5334">
        <v>850</v>
      </c>
      <c r="B5334" s="3" t="s">
        <v>211</v>
      </c>
      <c r="C5334" s="3" t="s">
        <v>203</v>
      </c>
      <c r="D5334" s="3">
        <v>3</v>
      </c>
      <c r="E5334" s="3">
        <v>25.754899999999999</v>
      </c>
      <c r="F5334">
        <f t="shared" si="85"/>
        <v>77.264700000000005</v>
      </c>
    </row>
    <row r="5335" spans="1:6" x14ac:dyDescent="0.2">
      <c r="A5335">
        <v>850</v>
      </c>
      <c r="B5335" s="3" t="s">
        <v>212</v>
      </c>
      <c r="C5335" s="3" t="s">
        <v>213</v>
      </c>
      <c r="D5335" s="3">
        <v>2</v>
      </c>
      <c r="E5335" s="3">
        <v>272.92059999999998</v>
      </c>
      <c r="F5335">
        <f t="shared" si="85"/>
        <v>545.84119999999996</v>
      </c>
    </row>
    <row r="5336" spans="1:6" x14ac:dyDescent="0.2">
      <c r="A5336">
        <v>850</v>
      </c>
      <c r="B5336" s="3" t="s">
        <v>135</v>
      </c>
      <c r="C5336" s="3" t="s">
        <v>136</v>
      </c>
      <c r="D5336" s="3">
        <v>4</v>
      </c>
      <c r="E5336" s="3">
        <v>395.04689999999999</v>
      </c>
      <c r="F5336">
        <f t="shared" si="85"/>
        <v>1580.1876</v>
      </c>
    </row>
    <row r="5337" spans="1:6" x14ac:dyDescent="0.2">
      <c r="A5337">
        <v>850</v>
      </c>
      <c r="B5337" s="3" t="s">
        <v>137</v>
      </c>
      <c r="C5337" s="3" t="s">
        <v>138</v>
      </c>
      <c r="D5337" s="3">
        <v>1</v>
      </c>
      <c r="E5337" s="3">
        <v>252.98429999999999</v>
      </c>
      <c r="F5337">
        <f t="shared" si="85"/>
        <v>252.98429999999999</v>
      </c>
    </row>
    <row r="5338" spans="1:6" x14ac:dyDescent="0.2">
      <c r="A5338">
        <v>850</v>
      </c>
      <c r="B5338" s="3" t="s">
        <v>139</v>
      </c>
      <c r="C5338" s="3" t="s">
        <v>140</v>
      </c>
      <c r="D5338" s="3">
        <v>118</v>
      </c>
      <c r="E5338" s="3">
        <v>2054.4580000000001</v>
      </c>
      <c r="F5338">
        <f t="shared" si="85"/>
        <v>242426.04400000002</v>
      </c>
    </row>
    <row r="5339" spans="1:6" x14ac:dyDescent="0.2">
      <c r="A5339">
        <v>850</v>
      </c>
      <c r="B5339" s="3" t="s">
        <v>116</v>
      </c>
      <c r="C5339" s="3" t="s">
        <v>117</v>
      </c>
      <c r="D5339" s="3">
        <v>1</v>
      </c>
      <c r="E5339" s="3">
        <v>0.25729999999999997</v>
      </c>
      <c r="F5339">
        <f t="shared" si="85"/>
        <v>0.25729999999999997</v>
      </c>
    </row>
    <row r="5340" spans="1:6" x14ac:dyDescent="0.2">
      <c r="A5340">
        <v>850</v>
      </c>
      <c r="B5340" s="3" t="s">
        <v>118</v>
      </c>
      <c r="C5340" s="3" t="s">
        <v>119</v>
      </c>
      <c r="D5340" s="3">
        <v>1</v>
      </c>
      <c r="E5340" s="3">
        <v>0.83</v>
      </c>
      <c r="F5340">
        <f t="shared" si="85"/>
        <v>0.83</v>
      </c>
    </row>
    <row r="5341" spans="1:6" x14ac:dyDescent="0.2">
      <c r="A5341">
        <v>850</v>
      </c>
      <c r="B5341" s="3" t="s">
        <v>120</v>
      </c>
      <c r="C5341" s="3" t="s">
        <v>117</v>
      </c>
      <c r="D5341" s="3">
        <v>3</v>
      </c>
      <c r="E5341" s="3">
        <v>1.5604</v>
      </c>
      <c r="F5341">
        <f t="shared" si="85"/>
        <v>4.6812000000000005</v>
      </c>
    </row>
    <row r="5342" spans="1:6" x14ac:dyDescent="0.2">
      <c r="A5342">
        <v>850</v>
      </c>
      <c r="B5342" s="3" t="s">
        <v>121</v>
      </c>
      <c r="C5342" s="3" t="s">
        <v>117</v>
      </c>
      <c r="D5342" s="3">
        <v>1</v>
      </c>
      <c r="E5342" s="3">
        <v>270.83730000000003</v>
      </c>
      <c r="F5342">
        <f t="shared" si="85"/>
        <v>270.83730000000003</v>
      </c>
    </row>
    <row r="5343" spans="1:6" x14ac:dyDescent="0.2">
      <c r="A5343">
        <v>850</v>
      </c>
      <c r="B5343" s="3" t="s">
        <v>122</v>
      </c>
      <c r="C5343" s="3" t="s">
        <v>76</v>
      </c>
      <c r="D5343" s="3">
        <v>2</v>
      </c>
      <c r="E5343" s="3">
        <v>14.915100000000001</v>
      </c>
      <c r="F5343">
        <f t="shared" si="85"/>
        <v>29.830200000000001</v>
      </c>
    </row>
    <row r="5344" spans="1:6" x14ac:dyDescent="0.2">
      <c r="A5344">
        <v>850</v>
      </c>
      <c r="B5344" s="3" t="s">
        <v>123</v>
      </c>
      <c r="C5344" s="3" t="s">
        <v>119</v>
      </c>
      <c r="D5344" s="3">
        <v>3</v>
      </c>
      <c r="E5344" s="3">
        <v>122.52460000000001</v>
      </c>
      <c r="F5344">
        <f t="shared" si="85"/>
        <v>367.57380000000001</v>
      </c>
    </row>
    <row r="5345" spans="1:6" x14ac:dyDescent="0.2">
      <c r="A5345">
        <v>850</v>
      </c>
      <c r="B5345" s="3" t="s">
        <v>124</v>
      </c>
      <c r="C5345" s="3" t="s">
        <v>119</v>
      </c>
      <c r="D5345" s="3">
        <v>6</v>
      </c>
      <c r="E5345" s="3">
        <v>65.877099999999999</v>
      </c>
      <c r="F5345">
        <f t="shared" si="85"/>
        <v>395.26260000000002</v>
      </c>
    </row>
    <row r="5346" spans="1:6" x14ac:dyDescent="0.2">
      <c r="A5346">
        <v>850</v>
      </c>
      <c r="B5346" s="3" t="s">
        <v>125</v>
      </c>
      <c r="C5346" s="3" t="s">
        <v>117</v>
      </c>
      <c r="D5346" s="3">
        <v>6</v>
      </c>
      <c r="E5346" s="3">
        <v>45.957099999999997</v>
      </c>
      <c r="F5346">
        <f t="shared" si="85"/>
        <v>275.74259999999998</v>
      </c>
    </row>
    <row r="5347" spans="1:6" x14ac:dyDescent="0.2">
      <c r="A5347">
        <v>850</v>
      </c>
      <c r="B5347" s="3" t="s">
        <v>126</v>
      </c>
      <c r="C5347" s="3" t="s">
        <v>127</v>
      </c>
      <c r="D5347" s="3">
        <v>1</v>
      </c>
      <c r="E5347" s="3">
        <v>411.49740000000003</v>
      </c>
      <c r="F5347">
        <f t="shared" si="85"/>
        <v>411.49740000000003</v>
      </c>
    </row>
    <row r="5348" spans="1:6" x14ac:dyDescent="0.2">
      <c r="A5348">
        <v>850</v>
      </c>
      <c r="B5348" s="3" t="s">
        <v>129</v>
      </c>
      <c r="C5348" s="3" t="s">
        <v>130</v>
      </c>
      <c r="D5348" s="3">
        <v>3</v>
      </c>
      <c r="E5348" s="3">
        <v>6724.2780000000002</v>
      </c>
      <c r="F5348">
        <f t="shared" si="85"/>
        <v>20172.834000000003</v>
      </c>
    </row>
    <row r="5349" spans="1:6" x14ac:dyDescent="0.2">
      <c r="A5349">
        <v>850</v>
      </c>
      <c r="B5349" s="3">
        <v>4656354</v>
      </c>
      <c r="C5349" s="3" t="s">
        <v>133</v>
      </c>
      <c r="D5349" s="3">
        <v>1</v>
      </c>
      <c r="E5349" s="3">
        <v>1168.0260000000001</v>
      </c>
      <c r="F5349">
        <f t="shared" si="85"/>
        <v>1168.0260000000001</v>
      </c>
    </row>
    <row r="5350" spans="1:6" x14ac:dyDescent="0.2">
      <c r="A5350">
        <v>850</v>
      </c>
      <c r="B5350" s="3" t="s">
        <v>110</v>
      </c>
      <c r="C5350" s="3" t="s">
        <v>111</v>
      </c>
      <c r="D5350" s="3">
        <v>1</v>
      </c>
      <c r="E5350" s="3">
        <v>119.83540000000001</v>
      </c>
      <c r="F5350">
        <f t="shared" si="85"/>
        <v>119.83540000000001</v>
      </c>
    </row>
    <row r="5351" spans="1:6" x14ac:dyDescent="0.2">
      <c r="A5351">
        <v>850</v>
      </c>
      <c r="B5351" s="3" t="s">
        <v>112</v>
      </c>
      <c r="C5351" s="3" t="s">
        <v>113</v>
      </c>
      <c r="D5351" s="3">
        <v>3</v>
      </c>
      <c r="E5351" s="3">
        <v>97.646150000000006</v>
      </c>
      <c r="F5351">
        <f t="shared" si="85"/>
        <v>292.93844999999999</v>
      </c>
    </row>
    <row r="5352" spans="1:6" x14ac:dyDescent="0.2">
      <c r="A5352">
        <v>850</v>
      </c>
      <c r="B5352" s="3" t="s">
        <v>110</v>
      </c>
      <c r="C5352" s="3" t="s">
        <v>111</v>
      </c>
      <c r="D5352" s="3">
        <v>2</v>
      </c>
      <c r="E5352" s="3">
        <v>119.83540000000001</v>
      </c>
      <c r="F5352">
        <f t="shared" si="85"/>
        <v>239.67080000000001</v>
      </c>
    </row>
    <row r="5353" spans="1:6" x14ac:dyDescent="0.2">
      <c r="A5353">
        <v>850</v>
      </c>
      <c r="B5353" s="3" t="s">
        <v>112</v>
      </c>
      <c r="C5353" s="3" t="s">
        <v>113</v>
      </c>
      <c r="D5353" s="3">
        <v>1</v>
      </c>
      <c r="E5353" s="3">
        <v>97.646150000000006</v>
      </c>
      <c r="F5353">
        <f t="shared" si="85"/>
        <v>97.646150000000006</v>
      </c>
    </row>
    <row r="5354" spans="1:6" x14ac:dyDescent="0.2">
      <c r="A5354">
        <v>850</v>
      </c>
      <c r="B5354" s="3" t="s">
        <v>97</v>
      </c>
      <c r="C5354" s="3" t="s">
        <v>98</v>
      </c>
      <c r="D5354" s="3">
        <v>5</v>
      </c>
      <c r="E5354" s="3">
        <v>189.87909999999999</v>
      </c>
      <c r="F5354">
        <f t="shared" si="85"/>
        <v>949.39549999999997</v>
      </c>
    </row>
    <row r="5355" spans="1:6" x14ac:dyDescent="0.2">
      <c r="A5355">
        <v>850</v>
      </c>
      <c r="B5355" s="3" t="s">
        <v>99</v>
      </c>
      <c r="C5355" s="3" t="s">
        <v>100</v>
      </c>
      <c r="D5355" s="3">
        <v>1</v>
      </c>
      <c r="E5355" s="3">
        <v>1287.1379999999999</v>
      </c>
      <c r="F5355">
        <f t="shared" si="85"/>
        <v>1287.1379999999999</v>
      </c>
    </row>
    <row r="5356" spans="1:6" x14ac:dyDescent="0.2">
      <c r="A5356">
        <v>850</v>
      </c>
      <c r="B5356" s="3" t="s">
        <v>101</v>
      </c>
      <c r="C5356" s="3" t="s">
        <v>102</v>
      </c>
      <c r="D5356" s="3">
        <v>1</v>
      </c>
      <c r="E5356" s="3">
        <v>1363.037</v>
      </c>
      <c r="F5356">
        <f t="shared" si="85"/>
        <v>1363.037</v>
      </c>
    </row>
    <row r="5357" spans="1:6" x14ac:dyDescent="0.2">
      <c r="A5357">
        <v>850</v>
      </c>
      <c r="B5357" s="3" t="s">
        <v>103</v>
      </c>
      <c r="C5357" s="3" t="s">
        <v>104</v>
      </c>
      <c r="D5357" s="3">
        <v>1</v>
      </c>
      <c r="E5357" s="3">
        <v>423.5822</v>
      </c>
      <c r="F5357">
        <f t="shared" si="85"/>
        <v>423.5822</v>
      </c>
    </row>
    <row r="5358" spans="1:6" x14ac:dyDescent="0.2">
      <c r="A5358">
        <v>850</v>
      </c>
      <c r="B5358" s="3" t="s">
        <v>105</v>
      </c>
      <c r="C5358" s="3" t="s">
        <v>106</v>
      </c>
      <c r="D5358" s="3">
        <v>5</v>
      </c>
      <c r="E5358" s="3">
        <v>36.470199999999998</v>
      </c>
      <c r="F5358">
        <f t="shared" ref="F5358:F5421" si="86">D5358*E5358</f>
        <v>182.351</v>
      </c>
    </row>
    <row r="5359" spans="1:6" x14ac:dyDescent="0.2">
      <c r="A5359">
        <v>850</v>
      </c>
      <c r="B5359" s="3" t="s">
        <v>107</v>
      </c>
      <c r="C5359" s="3" t="s">
        <v>108</v>
      </c>
      <c r="D5359" s="3">
        <v>5</v>
      </c>
      <c r="E5359" s="3">
        <v>61.492310000000003</v>
      </c>
      <c r="F5359">
        <f t="shared" si="86"/>
        <v>307.46154999999999</v>
      </c>
    </row>
    <row r="5360" spans="1:6" x14ac:dyDescent="0.2">
      <c r="A5360">
        <v>850</v>
      </c>
      <c r="B5360" s="3" t="s">
        <v>62</v>
      </c>
      <c r="C5360" s="3" t="s">
        <v>323</v>
      </c>
      <c r="D5360" s="3">
        <v>1</v>
      </c>
      <c r="E5360" s="3">
        <v>0.34860000000000002</v>
      </c>
      <c r="F5360">
        <f t="shared" si="86"/>
        <v>0.34860000000000002</v>
      </c>
    </row>
    <row r="5361" spans="1:6" x14ac:dyDescent="0.2">
      <c r="A5361">
        <v>850</v>
      </c>
      <c r="B5361" s="3" t="s">
        <v>324</v>
      </c>
      <c r="C5361" s="3" t="s">
        <v>273</v>
      </c>
      <c r="D5361" s="3">
        <v>1</v>
      </c>
      <c r="E5361" s="3">
        <v>0.95450000000000002</v>
      </c>
      <c r="F5361">
        <f t="shared" si="86"/>
        <v>0.95450000000000002</v>
      </c>
    </row>
    <row r="5362" spans="1:6" x14ac:dyDescent="0.2">
      <c r="A5362">
        <v>850</v>
      </c>
      <c r="B5362" s="3" t="s">
        <v>325</v>
      </c>
      <c r="C5362" s="3" t="s">
        <v>273</v>
      </c>
      <c r="D5362" s="3">
        <v>4</v>
      </c>
      <c r="E5362" s="3">
        <v>3.3692310000000001</v>
      </c>
      <c r="F5362">
        <f t="shared" si="86"/>
        <v>13.476924</v>
      </c>
    </row>
    <row r="5363" spans="1:6" x14ac:dyDescent="0.2">
      <c r="A5363">
        <v>850</v>
      </c>
      <c r="B5363" s="3" t="s">
        <v>154</v>
      </c>
      <c r="C5363" s="3" t="s">
        <v>278</v>
      </c>
      <c r="D5363" s="3">
        <v>3</v>
      </c>
      <c r="E5363" s="3">
        <v>4.3658000000000001</v>
      </c>
      <c r="F5363">
        <f t="shared" si="86"/>
        <v>13.0974</v>
      </c>
    </row>
    <row r="5364" spans="1:6" x14ac:dyDescent="0.2">
      <c r="A5364">
        <v>850</v>
      </c>
      <c r="B5364" s="3" t="s">
        <v>290</v>
      </c>
      <c r="C5364" s="3" t="s">
        <v>278</v>
      </c>
      <c r="D5364" s="3">
        <v>1</v>
      </c>
      <c r="E5364" s="3">
        <v>43.751809999999999</v>
      </c>
      <c r="F5364">
        <f t="shared" si="86"/>
        <v>43.751809999999999</v>
      </c>
    </row>
    <row r="5365" spans="1:6" x14ac:dyDescent="0.2">
      <c r="A5365">
        <v>850</v>
      </c>
      <c r="B5365" s="3" t="s">
        <v>288</v>
      </c>
      <c r="C5365" s="3" t="s">
        <v>289</v>
      </c>
      <c r="D5365" s="3">
        <v>3</v>
      </c>
      <c r="E5365" s="3">
        <v>7.340122</v>
      </c>
      <c r="F5365">
        <f t="shared" si="86"/>
        <v>22.020365999999999</v>
      </c>
    </row>
    <row r="5366" spans="1:6" x14ac:dyDescent="0.2">
      <c r="A5366">
        <v>850</v>
      </c>
      <c r="B5366" s="3" t="s">
        <v>287</v>
      </c>
      <c r="C5366" s="3" t="s">
        <v>273</v>
      </c>
      <c r="D5366" s="3">
        <v>2</v>
      </c>
      <c r="E5366" s="3">
        <v>100.669</v>
      </c>
      <c r="F5366">
        <f t="shared" si="86"/>
        <v>201.33799999999999</v>
      </c>
    </row>
    <row r="5367" spans="1:6" x14ac:dyDescent="0.2">
      <c r="A5367">
        <v>850</v>
      </c>
      <c r="B5367" s="3" t="s">
        <v>285</v>
      </c>
      <c r="C5367" s="3" t="s">
        <v>286</v>
      </c>
      <c r="D5367" s="3">
        <v>4</v>
      </c>
      <c r="E5367" s="3">
        <v>58.189990000000002</v>
      </c>
      <c r="F5367">
        <f t="shared" si="86"/>
        <v>232.75996000000001</v>
      </c>
    </row>
    <row r="5368" spans="1:6" x14ac:dyDescent="0.2">
      <c r="A5368">
        <v>850</v>
      </c>
      <c r="B5368" s="3" t="s">
        <v>291</v>
      </c>
      <c r="C5368" s="3" t="s">
        <v>278</v>
      </c>
      <c r="D5368" s="3">
        <v>1</v>
      </c>
      <c r="E5368" s="3">
        <v>24.136399999999998</v>
      </c>
      <c r="F5368">
        <f t="shared" si="86"/>
        <v>24.136399999999998</v>
      </c>
    </row>
    <row r="5369" spans="1:6" x14ac:dyDescent="0.2">
      <c r="A5369">
        <v>850</v>
      </c>
      <c r="B5369" s="3" t="s">
        <v>277</v>
      </c>
      <c r="C5369" s="3" t="s">
        <v>278</v>
      </c>
      <c r="D5369" s="3">
        <v>118</v>
      </c>
      <c r="E5369" s="3">
        <v>41.026589999999999</v>
      </c>
      <c r="F5369">
        <f t="shared" si="86"/>
        <v>4841.1376199999995</v>
      </c>
    </row>
    <row r="5370" spans="1:6" x14ac:dyDescent="0.2">
      <c r="A5370">
        <v>850</v>
      </c>
      <c r="B5370" s="3" t="s">
        <v>326</v>
      </c>
      <c r="C5370" s="3" t="s">
        <v>278</v>
      </c>
      <c r="D5370" s="3">
        <v>1</v>
      </c>
      <c r="E5370" s="3">
        <v>3.9745979999999999</v>
      </c>
      <c r="F5370">
        <f t="shared" si="86"/>
        <v>3.9745979999999999</v>
      </c>
    </row>
    <row r="5371" spans="1:6" x14ac:dyDescent="0.2">
      <c r="A5371">
        <v>850</v>
      </c>
      <c r="B5371" s="3" t="s">
        <v>274</v>
      </c>
      <c r="C5371" s="3" t="s">
        <v>273</v>
      </c>
      <c r="D5371" s="3">
        <v>1</v>
      </c>
      <c r="E5371" s="3">
        <v>149.23089999999999</v>
      </c>
      <c r="F5371">
        <f t="shared" si="86"/>
        <v>149.23089999999999</v>
      </c>
    </row>
    <row r="5372" spans="1:6" x14ac:dyDescent="0.2">
      <c r="A5372">
        <v>850</v>
      </c>
      <c r="B5372" s="3" t="s">
        <v>327</v>
      </c>
      <c r="C5372" s="3" t="s">
        <v>309</v>
      </c>
      <c r="D5372" s="3">
        <v>3</v>
      </c>
      <c r="E5372" s="3">
        <v>1532.5239999999999</v>
      </c>
      <c r="F5372">
        <f t="shared" si="86"/>
        <v>4597.5720000000001</v>
      </c>
    </row>
    <row r="5373" spans="1:6" x14ac:dyDescent="0.2">
      <c r="A5373">
        <v>850</v>
      </c>
      <c r="B5373" s="3" t="s">
        <v>328</v>
      </c>
      <c r="C5373" s="3" t="s">
        <v>329</v>
      </c>
      <c r="D5373" s="3">
        <v>1</v>
      </c>
      <c r="E5373" s="3">
        <v>155.62309999999999</v>
      </c>
      <c r="F5373">
        <f t="shared" si="86"/>
        <v>155.62309999999999</v>
      </c>
    </row>
    <row r="5374" spans="1:6" x14ac:dyDescent="0.2">
      <c r="A5374">
        <v>850</v>
      </c>
      <c r="B5374" s="3" t="s">
        <v>330</v>
      </c>
      <c r="C5374" s="3" t="s">
        <v>331</v>
      </c>
      <c r="D5374" s="3">
        <v>2</v>
      </c>
      <c r="E5374" s="3">
        <v>710.44619999999998</v>
      </c>
      <c r="F5374">
        <f t="shared" si="86"/>
        <v>1420.8924</v>
      </c>
    </row>
    <row r="5375" spans="1:6" x14ac:dyDescent="0.2">
      <c r="A5375">
        <v>850</v>
      </c>
      <c r="B5375" s="3" t="s">
        <v>332</v>
      </c>
      <c r="C5375" s="3" t="s">
        <v>333</v>
      </c>
      <c r="D5375" s="3">
        <v>3</v>
      </c>
      <c r="E5375" s="3">
        <v>167.5538</v>
      </c>
      <c r="F5375">
        <f t="shared" si="86"/>
        <v>502.66139999999996</v>
      </c>
    </row>
    <row r="5376" spans="1:6" x14ac:dyDescent="0.2">
      <c r="A5376">
        <v>850</v>
      </c>
      <c r="B5376" s="3" t="s">
        <v>272</v>
      </c>
      <c r="C5376" s="3" t="s">
        <v>273</v>
      </c>
      <c r="D5376" s="3">
        <v>6</v>
      </c>
      <c r="E5376" s="3">
        <v>170.1112</v>
      </c>
      <c r="F5376">
        <f t="shared" si="86"/>
        <v>1020.6672</v>
      </c>
    </row>
    <row r="5377" spans="1:6" x14ac:dyDescent="0.2">
      <c r="A5377">
        <v>850</v>
      </c>
      <c r="B5377" s="3" t="s">
        <v>275</v>
      </c>
      <c r="C5377" s="3" t="s">
        <v>276</v>
      </c>
      <c r="D5377" s="3">
        <v>6</v>
      </c>
      <c r="E5377" s="3">
        <v>9.081448</v>
      </c>
      <c r="F5377">
        <f t="shared" si="86"/>
        <v>54.488687999999996</v>
      </c>
    </row>
    <row r="5378" spans="1:6" x14ac:dyDescent="0.2">
      <c r="A5378">
        <v>850</v>
      </c>
      <c r="B5378" s="3" t="s">
        <v>334</v>
      </c>
      <c r="C5378" s="3" t="s">
        <v>329</v>
      </c>
      <c r="D5378" s="3"/>
      <c r="E5378" s="3">
        <v>149.0308</v>
      </c>
      <c r="F5378">
        <f t="shared" si="86"/>
        <v>0</v>
      </c>
    </row>
    <row r="5379" spans="1:6" x14ac:dyDescent="0.2">
      <c r="A5379">
        <v>850</v>
      </c>
      <c r="B5379" s="3" t="s">
        <v>335</v>
      </c>
      <c r="C5379" s="3" t="s">
        <v>331</v>
      </c>
      <c r="D5379" s="3">
        <v>1</v>
      </c>
      <c r="E5379" s="3">
        <v>703.1</v>
      </c>
      <c r="F5379">
        <f t="shared" si="86"/>
        <v>703.1</v>
      </c>
    </row>
    <row r="5380" spans="1:6" x14ac:dyDescent="0.2">
      <c r="A5380">
        <v>850</v>
      </c>
      <c r="B5380" s="3" t="s">
        <v>336</v>
      </c>
      <c r="C5380" s="3" t="s">
        <v>333</v>
      </c>
      <c r="D5380" s="3">
        <v>1</v>
      </c>
      <c r="E5380" s="3">
        <v>288.42309999999998</v>
      </c>
      <c r="F5380">
        <f t="shared" si="86"/>
        <v>288.42309999999998</v>
      </c>
    </row>
    <row r="5381" spans="1:6" x14ac:dyDescent="0.2">
      <c r="A5381">
        <v>850</v>
      </c>
      <c r="B5381" s="3" t="s">
        <v>337</v>
      </c>
      <c r="C5381" s="3" t="s">
        <v>297</v>
      </c>
      <c r="D5381" s="3">
        <v>1</v>
      </c>
      <c r="E5381" s="3">
        <v>11.761100000000001</v>
      </c>
      <c r="F5381">
        <f t="shared" si="86"/>
        <v>11.761100000000001</v>
      </c>
    </row>
    <row r="5382" spans="1:6" x14ac:dyDescent="0.2">
      <c r="A5382">
        <v>850</v>
      </c>
      <c r="B5382" s="3" t="s">
        <v>338</v>
      </c>
      <c r="C5382" s="3" t="s">
        <v>297</v>
      </c>
      <c r="D5382" s="3">
        <v>1</v>
      </c>
      <c r="E5382" s="3">
        <v>11.712960000000001</v>
      </c>
      <c r="F5382">
        <f t="shared" si="86"/>
        <v>11.712960000000001</v>
      </c>
    </row>
    <row r="5383" spans="1:6" x14ac:dyDescent="0.2">
      <c r="A5383">
        <v>850</v>
      </c>
      <c r="B5383" s="3" t="s">
        <v>339</v>
      </c>
      <c r="C5383" s="3" t="s">
        <v>297</v>
      </c>
      <c r="D5383" s="3">
        <v>1</v>
      </c>
      <c r="E5383" s="3">
        <v>20.279039999999998</v>
      </c>
      <c r="F5383">
        <f t="shared" si="86"/>
        <v>20.279039999999998</v>
      </c>
    </row>
    <row r="5384" spans="1:6" x14ac:dyDescent="0.2">
      <c r="A5384">
        <v>850</v>
      </c>
      <c r="B5384" s="3" t="s">
        <v>340</v>
      </c>
      <c r="C5384" s="3" t="s">
        <v>309</v>
      </c>
      <c r="D5384" s="3">
        <v>1</v>
      </c>
      <c r="E5384" s="3">
        <v>1536.3340000000001</v>
      </c>
      <c r="F5384">
        <f t="shared" si="86"/>
        <v>1536.3340000000001</v>
      </c>
    </row>
    <row r="5385" spans="1:6" x14ac:dyDescent="0.2">
      <c r="A5385">
        <v>850</v>
      </c>
      <c r="B5385" s="3" t="s">
        <v>341</v>
      </c>
      <c r="C5385" s="3" t="s">
        <v>342</v>
      </c>
      <c r="D5385" s="3">
        <v>1</v>
      </c>
      <c r="E5385" s="3">
        <v>307.22449999999998</v>
      </c>
      <c r="F5385">
        <f t="shared" si="86"/>
        <v>307.22449999999998</v>
      </c>
    </row>
    <row r="5386" spans="1:6" x14ac:dyDescent="0.2">
      <c r="A5386">
        <v>850</v>
      </c>
      <c r="B5386" s="3" t="s">
        <v>284</v>
      </c>
      <c r="C5386" s="3" t="s">
        <v>273</v>
      </c>
      <c r="D5386" s="3">
        <v>1</v>
      </c>
      <c r="E5386" s="3">
        <v>15.547000000000001</v>
      </c>
      <c r="F5386">
        <f t="shared" si="86"/>
        <v>15.547000000000001</v>
      </c>
    </row>
    <row r="5387" spans="1:6" x14ac:dyDescent="0.2">
      <c r="A5387">
        <v>850</v>
      </c>
      <c r="B5387" s="3" t="s">
        <v>283</v>
      </c>
      <c r="C5387" s="3" t="s">
        <v>278</v>
      </c>
      <c r="D5387" s="3">
        <v>1</v>
      </c>
      <c r="E5387" s="3">
        <v>101.76220000000001</v>
      </c>
      <c r="F5387">
        <f t="shared" si="86"/>
        <v>101.76220000000001</v>
      </c>
    </row>
    <row r="5388" spans="1:6" x14ac:dyDescent="0.2">
      <c r="A5388">
        <v>850</v>
      </c>
      <c r="B5388" s="3" t="s">
        <v>281</v>
      </c>
      <c r="C5388" s="3" t="s">
        <v>282</v>
      </c>
      <c r="D5388" s="3">
        <v>1</v>
      </c>
      <c r="E5388" s="3">
        <v>43.369190000000003</v>
      </c>
      <c r="F5388">
        <f t="shared" si="86"/>
        <v>43.369190000000003</v>
      </c>
    </row>
    <row r="5389" spans="1:6" x14ac:dyDescent="0.2">
      <c r="A5389">
        <v>850</v>
      </c>
      <c r="B5389" s="3" t="s">
        <v>279</v>
      </c>
      <c r="C5389" s="3" t="s">
        <v>280</v>
      </c>
      <c r="D5389" s="3">
        <v>1</v>
      </c>
      <c r="E5389" s="3">
        <v>36.786499999999997</v>
      </c>
      <c r="F5389">
        <f t="shared" si="86"/>
        <v>36.786499999999997</v>
      </c>
    </row>
    <row r="5390" spans="1:6" x14ac:dyDescent="0.2">
      <c r="A5390">
        <v>850</v>
      </c>
      <c r="B5390" s="3" t="s">
        <v>343</v>
      </c>
      <c r="C5390" s="3" t="s">
        <v>282</v>
      </c>
      <c r="D5390" s="3">
        <v>1</v>
      </c>
      <c r="E5390" s="3">
        <v>16.807500000000001</v>
      </c>
      <c r="F5390">
        <f t="shared" si="86"/>
        <v>16.807500000000001</v>
      </c>
    </row>
    <row r="5391" spans="1:6" x14ac:dyDescent="0.2">
      <c r="A5391">
        <v>850</v>
      </c>
      <c r="B5391" s="3" t="s">
        <v>344</v>
      </c>
      <c r="C5391" s="3" t="s">
        <v>282</v>
      </c>
      <c r="D5391" s="3">
        <v>1</v>
      </c>
      <c r="E5391" s="3">
        <v>12.76713</v>
      </c>
      <c r="F5391">
        <f t="shared" si="86"/>
        <v>12.76713</v>
      </c>
    </row>
    <row r="5392" spans="1:6" x14ac:dyDescent="0.2">
      <c r="A5392">
        <v>850</v>
      </c>
      <c r="B5392" s="3" t="s">
        <v>270</v>
      </c>
      <c r="C5392" s="3" t="s">
        <v>271</v>
      </c>
      <c r="D5392" s="3">
        <v>1</v>
      </c>
      <c r="E5392" s="3">
        <v>3027.0970000000002</v>
      </c>
      <c r="F5392">
        <f t="shared" si="86"/>
        <v>3027.0970000000002</v>
      </c>
    </row>
    <row r="5393" spans="1:6" x14ac:dyDescent="0.2">
      <c r="A5393">
        <v>850</v>
      </c>
      <c r="B5393" s="3" t="s">
        <v>272</v>
      </c>
      <c r="C5393" s="3" t="s">
        <v>273</v>
      </c>
      <c r="D5393" s="3">
        <v>1</v>
      </c>
      <c r="E5393" s="3">
        <v>170.1112</v>
      </c>
      <c r="F5393">
        <f t="shared" si="86"/>
        <v>170.1112</v>
      </c>
    </row>
    <row r="5394" spans="1:6" x14ac:dyDescent="0.2">
      <c r="A5394">
        <v>850</v>
      </c>
      <c r="B5394" s="3" t="s">
        <v>274</v>
      </c>
      <c r="C5394" s="3" t="s">
        <v>273</v>
      </c>
      <c r="D5394" s="3">
        <v>1</v>
      </c>
      <c r="E5394" s="3">
        <v>149.23089999999999</v>
      </c>
      <c r="F5394">
        <f t="shared" si="86"/>
        <v>149.23089999999999</v>
      </c>
    </row>
    <row r="5395" spans="1:6" x14ac:dyDescent="0.2">
      <c r="A5395">
        <v>850</v>
      </c>
      <c r="B5395" s="3" t="s">
        <v>275</v>
      </c>
      <c r="C5395" s="3" t="s">
        <v>276</v>
      </c>
      <c r="D5395" s="3">
        <v>2</v>
      </c>
      <c r="E5395" s="3">
        <v>9.081448</v>
      </c>
      <c r="F5395">
        <f t="shared" si="86"/>
        <v>18.162896</v>
      </c>
    </row>
    <row r="5396" spans="1:6" x14ac:dyDescent="0.2">
      <c r="A5396">
        <v>850</v>
      </c>
      <c r="B5396" s="3" t="s">
        <v>277</v>
      </c>
      <c r="C5396" s="3" t="s">
        <v>278</v>
      </c>
      <c r="D5396" s="3">
        <v>5</v>
      </c>
      <c r="E5396" s="3">
        <v>41.026589999999999</v>
      </c>
      <c r="F5396">
        <f t="shared" si="86"/>
        <v>205.13294999999999</v>
      </c>
    </row>
    <row r="5397" spans="1:6" x14ac:dyDescent="0.2">
      <c r="A5397">
        <v>850</v>
      </c>
      <c r="B5397" s="3" t="s">
        <v>279</v>
      </c>
      <c r="C5397" s="3" t="s">
        <v>280</v>
      </c>
      <c r="D5397" s="3">
        <v>1</v>
      </c>
      <c r="E5397" s="3">
        <v>36.786499999999997</v>
      </c>
      <c r="F5397">
        <f t="shared" si="86"/>
        <v>36.786499999999997</v>
      </c>
    </row>
    <row r="5398" spans="1:6" x14ac:dyDescent="0.2">
      <c r="A5398">
        <v>850</v>
      </c>
      <c r="B5398" s="3" t="s">
        <v>281</v>
      </c>
      <c r="C5398" s="3" t="s">
        <v>282</v>
      </c>
      <c r="D5398" s="3">
        <v>1</v>
      </c>
      <c r="E5398" s="3">
        <v>43.369190000000003</v>
      </c>
      <c r="F5398">
        <f t="shared" si="86"/>
        <v>43.369190000000003</v>
      </c>
    </row>
    <row r="5399" spans="1:6" x14ac:dyDescent="0.2">
      <c r="A5399">
        <v>850</v>
      </c>
      <c r="B5399" s="3" t="s">
        <v>283</v>
      </c>
      <c r="C5399" s="3" t="s">
        <v>278</v>
      </c>
      <c r="D5399" s="3">
        <v>3</v>
      </c>
      <c r="E5399" s="3">
        <v>101.76220000000001</v>
      </c>
      <c r="F5399">
        <f t="shared" si="86"/>
        <v>305.28660000000002</v>
      </c>
    </row>
    <row r="5400" spans="1:6" x14ac:dyDescent="0.2">
      <c r="A5400">
        <v>850</v>
      </c>
      <c r="B5400" s="3" t="s">
        <v>284</v>
      </c>
      <c r="C5400" s="3" t="s">
        <v>273</v>
      </c>
      <c r="D5400" s="3">
        <v>1</v>
      </c>
      <c r="E5400" s="3">
        <v>15.547000000000001</v>
      </c>
      <c r="F5400">
        <f t="shared" si="86"/>
        <v>15.547000000000001</v>
      </c>
    </row>
    <row r="5401" spans="1:6" x14ac:dyDescent="0.2">
      <c r="A5401">
        <v>850</v>
      </c>
      <c r="B5401" s="3" t="s">
        <v>285</v>
      </c>
      <c r="C5401" s="3" t="s">
        <v>286</v>
      </c>
      <c r="D5401" s="3">
        <v>2</v>
      </c>
      <c r="E5401" s="3">
        <v>58.189990000000002</v>
      </c>
      <c r="F5401">
        <f t="shared" si="86"/>
        <v>116.37998</v>
      </c>
    </row>
    <row r="5402" spans="1:6" x14ac:dyDescent="0.2">
      <c r="A5402">
        <v>850</v>
      </c>
      <c r="B5402" s="3" t="s">
        <v>287</v>
      </c>
      <c r="C5402" s="3" t="s">
        <v>273</v>
      </c>
      <c r="D5402" s="3">
        <v>2</v>
      </c>
      <c r="E5402" s="3">
        <v>100.669</v>
      </c>
      <c r="F5402">
        <f t="shared" si="86"/>
        <v>201.33799999999999</v>
      </c>
    </row>
    <row r="5403" spans="1:6" x14ac:dyDescent="0.2">
      <c r="A5403">
        <v>850</v>
      </c>
      <c r="B5403" s="3" t="s">
        <v>288</v>
      </c>
      <c r="C5403" s="3" t="s">
        <v>289</v>
      </c>
      <c r="D5403" s="3">
        <v>2</v>
      </c>
      <c r="E5403" s="3">
        <v>7.340122</v>
      </c>
      <c r="F5403">
        <f t="shared" si="86"/>
        <v>14.680244</v>
      </c>
    </row>
    <row r="5404" spans="1:6" x14ac:dyDescent="0.2">
      <c r="A5404">
        <v>850</v>
      </c>
      <c r="B5404" s="3" t="s">
        <v>290</v>
      </c>
      <c r="C5404" s="3" t="s">
        <v>278</v>
      </c>
      <c r="D5404" s="3">
        <v>4</v>
      </c>
      <c r="E5404" s="3">
        <v>43.751809999999999</v>
      </c>
      <c r="F5404">
        <f t="shared" si="86"/>
        <v>175.00724</v>
      </c>
    </row>
    <row r="5405" spans="1:6" x14ac:dyDescent="0.2">
      <c r="A5405">
        <v>850</v>
      </c>
      <c r="B5405" s="3" t="s">
        <v>277</v>
      </c>
      <c r="C5405" s="3" t="s">
        <v>278</v>
      </c>
      <c r="D5405" s="3">
        <v>5</v>
      </c>
      <c r="E5405" s="3">
        <v>41.026589999999999</v>
      </c>
      <c r="F5405">
        <f t="shared" si="86"/>
        <v>205.13294999999999</v>
      </c>
    </row>
    <row r="5406" spans="1:6" x14ac:dyDescent="0.2">
      <c r="A5406">
        <v>850</v>
      </c>
      <c r="B5406" s="3" t="s">
        <v>291</v>
      </c>
      <c r="C5406" s="3" t="s">
        <v>278</v>
      </c>
      <c r="D5406" s="3">
        <v>5</v>
      </c>
      <c r="E5406" s="3">
        <v>24.136399999999998</v>
      </c>
      <c r="F5406">
        <f t="shared" si="86"/>
        <v>120.68199999999999</v>
      </c>
    </row>
    <row r="5407" spans="1:6" x14ac:dyDescent="0.2">
      <c r="A5407">
        <v>850</v>
      </c>
      <c r="B5407" s="3" t="s">
        <v>292</v>
      </c>
      <c r="C5407" s="3" t="s">
        <v>293</v>
      </c>
      <c r="D5407" s="3">
        <v>2</v>
      </c>
      <c r="E5407" s="3">
        <v>96.852699999999999</v>
      </c>
      <c r="F5407">
        <f t="shared" si="86"/>
        <v>193.7054</v>
      </c>
    </row>
    <row r="5408" spans="1:6" x14ac:dyDescent="0.2">
      <c r="A5408">
        <v>850</v>
      </c>
      <c r="B5408" s="3" t="s">
        <v>294</v>
      </c>
      <c r="C5408" s="3" t="s">
        <v>278</v>
      </c>
      <c r="D5408" s="3">
        <v>108</v>
      </c>
      <c r="E5408" s="3">
        <v>26.221409999999999</v>
      </c>
      <c r="F5408">
        <f t="shared" si="86"/>
        <v>2831.91228</v>
      </c>
    </row>
    <row r="5409" spans="1:6" x14ac:dyDescent="0.2">
      <c r="A5409">
        <v>850</v>
      </c>
      <c r="B5409" s="3" t="s">
        <v>295</v>
      </c>
      <c r="C5409" s="3" t="s">
        <v>273</v>
      </c>
      <c r="D5409" s="3">
        <v>108</v>
      </c>
      <c r="E5409" s="3">
        <v>54.88693</v>
      </c>
      <c r="F5409">
        <f t="shared" si="86"/>
        <v>5927.7884400000003</v>
      </c>
    </row>
    <row r="5410" spans="1:6" x14ac:dyDescent="0.2">
      <c r="A5410">
        <v>850</v>
      </c>
      <c r="B5410" s="3" t="s">
        <v>296</v>
      </c>
      <c r="C5410" s="3" t="s">
        <v>297</v>
      </c>
      <c r="D5410" s="3">
        <v>13</v>
      </c>
      <c r="E5410" s="3">
        <v>5.5029000000000003</v>
      </c>
      <c r="F5410">
        <f t="shared" si="86"/>
        <v>71.537700000000001</v>
      </c>
    </row>
    <row r="5411" spans="1:6" x14ac:dyDescent="0.2">
      <c r="A5411">
        <v>850</v>
      </c>
      <c r="B5411" s="3" t="s">
        <v>298</v>
      </c>
      <c r="C5411" s="3" t="s">
        <v>297</v>
      </c>
      <c r="D5411" s="3">
        <v>26</v>
      </c>
      <c r="E5411" s="3">
        <v>5.9344999999999999</v>
      </c>
      <c r="F5411">
        <f t="shared" si="86"/>
        <v>154.297</v>
      </c>
    </row>
    <row r="5412" spans="1:6" x14ac:dyDescent="0.2">
      <c r="A5412">
        <v>850</v>
      </c>
      <c r="B5412" s="3" t="s">
        <v>299</v>
      </c>
      <c r="C5412" s="3" t="s">
        <v>297</v>
      </c>
      <c r="D5412" s="3">
        <v>13</v>
      </c>
      <c r="E5412" s="3">
        <v>4.3574999999999999</v>
      </c>
      <c r="F5412">
        <f t="shared" si="86"/>
        <v>56.647500000000001</v>
      </c>
    </row>
    <row r="5413" spans="1:6" x14ac:dyDescent="0.2">
      <c r="A5413">
        <v>850</v>
      </c>
      <c r="B5413" s="3" t="s">
        <v>122</v>
      </c>
      <c r="C5413" s="3" t="s">
        <v>276</v>
      </c>
      <c r="D5413" s="3">
        <v>12</v>
      </c>
      <c r="E5413" s="3">
        <v>14.915100000000001</v>
      </c>
      <c r="F5413">
        <f t="shared" si="86"/>
        <v>178.9812</v>
      </c>
    </row>
    <row r="5414" spans="1:6" x14ac:dyDescent="0.2">
      <c r="A5414">
        <v>850</v>
      </c>
      <c r="B5414" s="3" t="s">
        <v>120</v>
      </c>
      <c r="C5414" s="3" t="s">
        <v>278</v>
      </c>
      <c r="D5414" s="3">
        <v>25</v>
      </c>
      <c r="E5414" s="3">
        <v>1.5604</v>
      </c>
      <c r="F5414">
        <f t="shared" si="86"/>
        <v>39.01</v>
      </c>
    </row>
    <row r="5415" spans="1:6" x14ac:dyDescent="0.2">
      <c r="A5415">
        <v>850</v>
      </c>
      <c r="B5415" s="3" t="s">
        <v>300</v>
      </c>
      <c r="C5415" s="3" t="s">
        <v>273</v>
      </c>
      <c r="D5415" s="3">
        <v>12</v>
      </c>
      <c r="E5415" s="3">
        <v>60.59</v>
      </c>
      <c r="F5415">
        <f t="shared" si="86"/>
        <v>727.08</v>
      </c>
    </row>
    <row r="5416" spans="1:6" x14ac:dyDescent="0.2">
      <c r="A5416">
        <v>850</v>
      </c>
      <c r="B5416" s="3" t="s">
        <v>301</v>
      </c>
      <c r="C5416" s="3" t="s">
        <v>302</v>
      </c>
      <c r="D5416" s="3">
        <v>2</v>
      </c>
      <c r="E5416" s="3">
        <v>104.8857</v>
      </c>
      <c r="F5416">
        <f t="shared" si="86"/>
        <v>209.7714</v>
      </c>
    </row>
    <row r="5417" spans="1:6" x14ac:dyDescent="0.2">
      <c r="A5417">
        <v>850</v>
      </c>
      <c r="B5417" s="3" t="s">
        <v>303</v>
      </c>
      <c r="C5417" s="3" t="s">
        <v>304</v>
      </c>
      <c r="D5417" s="3">
        <v>2</v>
      </c>
      <c r="E5417" s="3">
        <v>683.94489999999996</v>
      </c>
      <c r="F5417">
        <f t="shared" si="86"/>
        <v>1367.8897999999999</v>
      </c>
    </row>
    <row r="5418" spans="1:6" x14ac:dyDescent="0.2">
      <c r="A5418">
        <v>850</v>
      </c>
      <c r="B5418" s="3" t="s">
        <v>305</v>
      </c>
      <c r="C5418" s="3" t="s">
        <v>273</v>
      </c>
      <c r="D5418" s="3">
        <v>2</v>
      </c>
      <c r="E5418" s="3">
        <v>71.189099999999996</v>
      </c>
      <c r="F5418">
        <f t="shared" si="86"/>
        <v>142.37819999999999</v>
      </c>
    </row>
    <row r="5419" spans="1:6" x14ac:dyDescent="0.2">
      <c r="A5419">
        <v>850</v>
      </c>
      <c r="B5419" s="3" t="s">
        <v>294</v>
      </c>
      <c r="C5419" s="3" t="s">
        <v>278</v>
      </c>
      <c r="D5419" s="3">
        <v>8</v>
      </c>
      <c r="E5419" s="3">
        <v>26.221409999999999</v>
      </c>
      <c r="F5419">
        <f t="shared" si="86"/>
        <v>209.77127999999999</v>
      </c>
    </row>
    <row r="5420" spans="1:6" x14ac:dyDescent="0.2">
      <c r="A5420">
        <v>850</v>
      </c>
      <c r="B5420" s="3" t="s">
        <v>306</v>
      </c>
      <c r="C5420" s="3" t="s">
        <v>273</v>
      </c>
      <c r="D5420" s="3">
        <v>8</v>
      </c>
      <c r="E5420" s="3">
        <v>99.575779999999995</v>
      </c>
      <c r="F5420">
        <f t="shared" si="86"/>
        <v>796.60623999999996</v>
      </c>
    </row>
    <row r="5421" spans="1:6" x14ac:dyDescent="0.2">
      <c r="A5421">
        <v>850</v>
      </c>
      <c r="B5421" s="3" t="s">
        <v>294</v>
      </c>
      <c r="C5421" s="3" t="s">
        <v>278</v>
      </c>
      <c r="D5421" s="3">
        <v>8</v>
      </c>
      <c r="E5421" s="3">
        <v>26.221409999999999</v>
      </c>
      <c r="F5421">
        <f t="shared" si="86"/>
        <v>209.77127999999999</v>
      </c>
    </row>
    <row r="5422" spans="1:6" x14ac:dyDescent="0.2">
      <c r="A5422">
        <v>850</v>
      </c>
      <c r="B5422" s="3" t="s">
        <v>306</v>
      </c>
      <c r="C5422" s="3" t="s">
        <v>273</v>
      </c>
      <c r="D5422" s="3">
        <v>8</v>
      </c>
      <c r="E5422" s="3">
        <v>99.575779999999995</v>
      </c>
      <c r="F5422">
        <f t="shared" ref="F5422:F5485" si="87">D5422*E5422</f>
        <v>796.60623999999996</v>
      </c>
    </row>
    <row r="5423" spans="1:6" x14ac:dyDescent="0.2">
      <c r="A5423">
        <v>850</v>
      </c>
      <c r="B5423" s="3" t="s">
        <v>308</v>
      </c>
      <c r="C5423" s="3" t="s">
        <v>309</v>
      </c>
      <c r="D5423" s="3">
        <v>1</v>
      </c>
      <c r="E5423" s="3">
        <v>167.62309999999999</v>
      </c>
      <c r="F5423">
        <f t="shared" si="87"/>
        <v>167.62309999999999</v>
      </c>
    </row>
    <row r="5424" spans="1:6" x14ac:dyDescent="0.2">
      <c r="A5424">
        <v>850</v>
      </c>
      <c r="B5424" s="3" t="s">
        <v>310</v>
      </c>
      <c r="C5424" s="3" t="s">
        <v>273</v>
      </c>
      <c r="D5424" s="3">
        <v>1</v>
      </c>
      <c r="E5424" s="3">
        <v>0.33200000000000002</v>
      </c>
      <c r="F5424">
        <f t="shared" si="87"/>
        <v>0.33200000000000002</v>
      </c>
    </row>
    <row r="5425" spans="1:6" x14ac:dyDescent="0.2">
      <c r="A5425">
        <v>850</v>
      </c>
      <c r="B5425" s="3" t="s">
        <v>197</v>
      </c>
      <c r="C5425" s="3" t="s">
        <v>278</v>
      </c>
      <c r="D5425" s="3">
        <v>8</v>
      </c>
      <c r="E5425" s="3">
        <v>7.4700000000000003E-2</v>
      </c>
      <c r="F5425">
        <f t="shared" si="87"/>
        <v>0.59760000000000002</v>
      </c>
    </row>
    <row r="5426" spans="1:6" x14ac:dyDescent="0.2">
      <c r="A5426">
        <v>850</v>
      </c>
      <c r="B5426" s="3" t="s">
        <v>311</v>
      </c>
      <c r="C5426" s="3" t="s">
        <v>273</v>
      </c>
      <c r="D5426" s="3">
        <v>52</v>
      </c>
      <c r="E5426" s="3">
        <v>1.5935999999999999</v>
      </c>
      <c r="F5426">
        <f t="shared" si="87"/>
        <v>82.867199999999997</v>
      </c>
    </row>
    <row r="5427" spans="1:6" x14ac:dyDescent="0.2">
      <c r="A5427">
        <v>850</v>
      </c>
      <c r="B5427" s="3" t="s">
        <v>312</v>
      </c>
      <c r="C5427" s="3" t="s">
        <v>278</v>
      </c>
      <c r="D5427" s="3">
        <v>3</v>
      </c>
      <c r="E5427" s="3">
        <v>21.040500000000002</v>
      </c>
      <c r="F5427">
        <f t="shared" si="87"/>
        <v>63.121500000000005</v>
      </c>
    </row>
    <row r="5428" spans="1:6" x14ac:dyDescent="0.2">
      <c r="A5428">
        <v>850</v>
      </c>
      <c r="B5428" s="3" t="s">
        <v>75</v>
      </c>
      <c r="C5428" s="3" t="s">
        <v>313</v>
      </c>
      <c r="D5428" s="3">
        <v>3</v>
      </c>
      <c r="E5428" s="3">
        <v>0.115385</v>
      </c>
      <c r="F5428">
        <f t="shared" si="87"/>
        <v>0.34615499999999999</v>
      </c>
    </row>
    <row r="5429" spans="1:6" x14ac:dyDescent="0.2">
      <c r="A5429">
        <v>850</v>
      </c>
      <c r="B5429" s="3" t="s">
        <v>314</v>
      </c>
      <c r="C5429" s="3" t="s">
        <v>273</v>
      </c>
      <c r="D5429" s="3">
        <v>36</v>
      </c>
      <c r="E5429" s="3">
        <v>0.45650000000000002</v>
      </c>
      <c r="F5429">
        <f t="shared" si="87"/>
        <v>16.434000000000001</v>
      </c>
    </row>
    <row r="5430" spans="1:6" x14ac:dyDescent="0.2">
      <c r="A5430">
        <v>850</v>
      </c>
      <c r="B5430" s="3" t="s">
        <v>314</v>
      </c>
      <c r="C5430" s="3" t="s">
        <v>315</v>
      </c>
      <c r="D5430" s="3">
        <v>12</v>
      </c>
      <c r="E5430" s="3">
        <v>0.45650000000000002</v>
      </c>
      <c r="F5430">
        <f t="shared" si="87"/>
        <v>5.4779999999999998</v>
      </c>
    </row>
    <row r="5431" spans="1:6" x14ac:dyDescent="0.2">
      <c r="A5431">
        <v>850</v>
      </c>
      <c r="B5431" s="3" t="s">
        <v>316</v>
      </c>
      <c r="C5431" s="3" t="s">
        <v>317</v>
      </c>
      <c r="D5431" s="3">
        <v>1</v>
      </c>
      <c r="E5431" s="3">
        <v>92.206620000000001</v>
      </c>
      <c r="F5431">
        <f t="shared" si="87"/>
        <v>92.206620000000001</v>
      </c>
    </row>
    <row r="5432" spans="1:6" x14ac:dyDescent="0.2">
      <c r="A5432">
        <v>850</v>
      </c>
      <c r="B5432" s="3" t="s">
        <v>318</v>
      </c>
      <c r="C5432" s="3" t="s">
        <v>319</v>
      </c>
      <c r="D5432" s="3">
        <v>2</v>
      </c>
      <c r="E5432" s="3">
        <v>85.453850000000003</v>
      </c>
      <c r="F5432">
        <f t="shared" si="87"/>
        <v>170.90770000000001</v>
      </c>
    </row>
    <row r="5433" spans="1:6" x14ac:dyDescent="0.2">
      <c r="A5433">
        <v>850</v>
      </c>
      <c r="B5433" s="3" t="s">
        <v>320</v>
      </c>
      <c r="C5433" s="3" t="s">
        <v>321</v>
      </c>
      <c r="D5433" s="3">
        <v>1</v>
      </c>
      <c r="E5433" s="3">
        <v>92.206620000000001</v>
      </c>
      <c r="F5433">
        <f t="shared" si="87"/>
        <v>92.206620000000001</v>
      </c>
    </row>
    <row r="5434" spans="1:6" x14ac:dyDescent="0.2">
      <c r="A5434">
        <v>850</v>
      </c>
      <c r="B5434" s="3" t="s">
        <v>267</v>
      </c>
      <c r="C5434" s="3" t="s">
        <v>268</v>
      </c>
      <c r="D5434" s="3">
        <v>1</v>
      </c>
      <c r="E5434" s="3">
        <v>84863.13</v>
      </c>
      <c r="F5434">
        <f t="shared" si="87"/>
        <v>84863.13</v>
      </c>
    </row>
    <row r="5435" spans="1:6" x14ac:dyDescent="0.2">
      <c r="A5435">
        <v>850</v>
      </c>
      <c r="B5435" s="3" t="s">
        <v>260</v>
      </c>
      <c r="C5435" s="3" t="s">
        <v>261</v>
      </c>
      <c r="D5435" s="3">
        <v>1</v>
      </c>
      <c r="E5435" s="3">
        <v>2908.2939999999999</v>
      </c>
      <c r="F5435">
        <f t="shared" si="87"/>
        <v>2908.2939999999999</v>
      </c>
    </row>
    <row r="5436" spans="1:6" x14ac:dyDescent="0.2">
      <c r="A5436">
        <v>850</v>
      </c>
      <c r="B5436" s="3" t="s">
        <v>262</v>
      </c>
      <c r="C5436" s="3" t="s">
        <v>263</v>
      </c>
      <c r="D5436" s="3">
        <v>1</v>
      </c>
      <c r="E5436" s="3">
        <v>3207.1970000000001</v>
      </c>
      <c r="F5436">
        <f t="shared" si="87"/>
        <v>3207.1970000000001</v>
      </c>
    </row>
    <row r="5437" spans="1:6" x14ac:dyDescent="0.2">
      <c r="A5437">
        <v>850</v>
      </c>
      <c r="B5437" s="3" t="s">
        <v>264</v>
      </c>
      <c r="C5437" s="3" t="s">
        <v>265</v>
      </c>
      <c r="D5437" s="3">
        <v>1</v>
      </c>
      <c r="E5437" s="3">
        <v>3466.7310000000002</v>
      </c>
      <c r="F5437">
        <f t="shared" si="87"/>
        <v>3466.7310000000002</v>
      </c>
    </row>
    <row r="5438" spans="1:6" x14ac:dyDescent="0.2">
      <c r="A5438">
        <v>850</v>
      </c>
      <c r="B5438" s="3" t="s">
        <v>259</v>
      </c>
      <c r="C5438" s="3" t="s">
        <v>258</v>
      </c>
      <c r="D5438" s="3">
        <v>1</v>
      </c>
      <c r="E5438" s="3">
        <v>3325.9760000000001</v>
      </c>
      <c r="F5438">
        <f t="shared" si="87"/>
        <v>3325.9760000000001</v>
      </c>
    </row>
    <row r="5439" spans="1:6" x14ac:dyDescent="0.2">
      <c r="A5439">
        <v>850</v>
      </c>
      <c r="B5439" s="3" t="s">
        <v>257</v>
      </c>
      <c r="C5439" s="3" t="s">
        <v>258</v>
      </c>
      <c r="D5439" s="3">
        <v>1</v>
      </c>
      <c r="E5439" s="3">
        <v>3325.9760000000001</v>
      </c>
      <c r="F5439">
        <f t="shared" si="87"/>
        <v>3325.9760000000001</v>
      </c>
    </row>
    <row r="5440" spans="1:6" x14ac:dyDescent="0.2">
      <c r="A5440">
        <v>850</v>
      </c>
      <c r="B5440" s="3" t="s">
        <v>359</v>
      </c>
      <c r="C5440" s="3" t="s">
        <v>360</v>
      </c>
      <c r="D5440" s="3">
        <v>1</v>
      </c>
      <c r="E5440" s="3">
        <v>1844.9380000000001</v>
      </c>
      <c r="F5440">
        <f t="shared" si="87"/>
        <v>1844.9380000000001</v>
      </c>
    </row>
    <row r="5441" spans="1:6" x14ac:dyDescent="0.2">
      <c r="A5441">
        <v>850</v>
      </c>
      <c r="B5441" s="3" t="s">
        <v>389</v>
      </c>
      <c r="C5441" s="3" t="s">
        <v>390</v>
      </c>
      <c r="D5441">
        <v>1</v>
      </c>
      <c r="E5441" s="3">
        <v>4906</v>
      </c>
      <c r="F5441">
        <f t="shared" si="87"/>
        <v>4906</v>
      </c>
    </row>
    <row r="5442" spans="1:6" x14ac:dyDescent="0.2">
      <c r="A5442">
        <v>851</v>
      </c>
      <c r="B5442" s="3" t="s">
        <v>62</v>
      </c>
      <c r="C5442" s="3" t="s">
        <v>63</v>
      </c>
      <c r="D5442" s="3">
        <v>1</v>
      </c>
      <c r="E5442" s="3">
        <v>0.34860000000000002</v>
      </c>
      <c r="F5442">
        <f t="shared" si="87"/>
        <v>0.34860000000000002</v>
      </c>
    </row>
    <row r="5443" spans="1:6" x14ac:dyDescent="0.2">
      <c r="A5443">
        <v>851</v>
      </c>
      <c r="B5443" s="3" t="s">
        <v>64</v>
      </c>
      <c r="C5443" s="3" t="s">
        <v>65</v>
      </c>
      <c r="D5443" s="3">
        <v>1</v>
      </c>
      <c r="E5443" s="3">
        <v>803.07690000000002</v>
      </c>
      <c r="F5443">
        <f t="shared" si="87"/>
        <v>803.07690000000002</v>
      </c>
    </row>
    <row r="5444" spans="1:6" x14ac:dyDescent="0.2">
      <c r="A5444">
        <v>851</v>
      </c>
      <c r="B5444" s="3" t="s">
        <v>67</v>
      </c>
      <c r="C5444" s="3" t="s">
        <v>68</v>
      </c>
      <c r="D5444" s="3">
        <v>1</v>
      </c>
      <c r="E5444" s="3">
        <v>49.678570000000001</v>
      </c>
      <c r="F5444">
        <f t="shared" si="87"/>
        <v>49.678570000000001</v>
      </c>
    </row>
    <row r="5445" spans="1:6" x14ac:dyDescent="0.2">
      <c r="A5445">
        <v>851</v>
      </c>
      <c r="B5445" s="3" t="s">
        <v>70</v>
      </c>
      <c r="C5445" s="3" t="s">
        <v>71</v>
      </c>
      <c r="D5445" s="3">
        <v>2</v>
      </c>
      <c r="E5445" s="3">
        <v>407.98649999999998</v>
      </c>
      <c r="F5445">
        <f t="shared" si="87"/>
        <v>815.97299999999996</v>
      </c>
    </row>
    <row r="5446" spans="1:6" x14ac:dyDescent="0.2">
      <c r="A5446">
        <v>851</v>
      </c>
      <c r="B5446" s="3" t="s">
        <v>73</v>
      </c>
      <c r="C5446" s="3" t="s">
        <v>74</v>
      </c>
      <c r="D5446" s="3">
        <v>5</v>
      </c>
      <c r="E5446" s="3">
        <v>0.57783899999999999</v>
      </c>
      <c r="F5446">
        <f t="shared" si="87"/>
        <v>2.889195</v>
      </c>
    </row>
    <row r="5447" spans="1:6" x14ac:dyDescent="0.2">
      <c r="A5447">
        <v>851</v>
      </c>
      <c r="B5447" s="3" t="s">
        <v>75</v>
      </c>
      <c r="C5447" s="3" t="s">
        <v>76</v>
      </c>
      <c r="D5447" s="3">
        <v>75</v>
      </c>
      <c r="E5447" s="3">
        <v>0.115385</v>
      </c>
      <c r="F5447">
        <f t="shared" si="87"/>
        <v>8.6538749999999993</v>
      </c>
    </row>
    <row r="5448" spans="1:6" x14ac:dyDescent="0.2">
      <c r="A5448">
        <v>851</v>
      </c>
      <c r="B5448" s="3" t="s">
        <v>77</v>
      </c>
      <c r="C5448" s="3" t="s">
        <v>74</v>
      </c>
      <c r="D5448" s="3">
        <v>10</v>
      </c>
      <c r="E5448" s="3">
        <v>1.3944000000000001</v>
      </c>
      <c r="F5448">
        <f t="shared" si="87"/>
        <v>13.944000000000001</v>
      </c>
    </row>
    <row r="5449" spans="1:6" x14ac:dyDescent="0.2">
      <c r="A5449">
        <v>851</v>
      </c>
      <c r="B5449" s="3" t="s">
        <v>78</v>
      </c>
      <c r="C5449" s="3" t="s">
        <v>76</v>
      </c>
      <c r="D5449" s="3">
        <v>20</v>
      </c>
      <c r="E5449" s="3">
        <v>0.71839500000000001</v>
      </c>
      <c r="F5449">
        <f t="shared" si="87"/>
        <v>14.367900000000001</v>
      </c>
    </row>
    <row r="5450" spans="1:6" x14ac:dyDescent="0.2">
      <c r="A5450">
        <v>851</v>
      </c>
      <c r="B5450" s="3" t="s">
        <v>79</v>
      </c>
      <c r="C5450" s="3" t="s">
        <v>74</v>
      </c>
      <c r="D5450" s="3">
        <v>15</v>
      </c>
      <c r="E5450" s="3">
        <v>1.930769</v>
      </c>
      <c r="F5450">
        <f t="shared" si="87"/>
        <v>28.961534999999998</v>
      </c>
    </row>
    <row r="5451" spans="1:6" x14ac:dyDescent="0.2">
      <c r="A5451">
        <v>851</v>
      </c>
      <c r="B5451" s="3" t="s">
        <v>80</v>
      </c>
      <c r="C5451" s="3" t="s">
        <v>74</v>
      </c>
      <c r="D5451" s="3">
        <v>40</v>
      </c>
      <c r="E5451" s="3">
        <v>0.95450000000000002</v>
      </c>
      <c r="F5451">
        <f t="shared" si="87"/>
        <v>38.18</v>
      </c>
    </row>
    <row r="5452" spans="1:6" x14ac:dyDescent="0.2">
      <c r="A5452">
        <v>851</v>
      </c>
      <c r="B5452" s="3" t="s">
        <v>81</v>
      </c>
      <c r="C5452" s="3" t="s">
        <v>74</v>
      </c>
      <c r="D5452" s="3">
        <v>65</v>
      </c>
      <c r="E5452" s="3">
        <v>0.76359999999999995</v>
      </c>
      <c r="F5452">
        <f t="shared" si="87"/>
        <v>49.633999999999993</v>
      </c>
    </row>
    <row r="5453" spans="1:6" x14ac:dyDescent="0.2">
      <c r="A5453">
        <v>851</v>
      </c>
      <c r="B5453" s="3" t="s">
        <v>82</v>
      </c>
      <c r="C5453" s="3" t="s">
        <v>83</v>
      </c>
      <c r="D5453" s="3">
        <v>5</v>
      </c>
      <c r="E5453" s="3">
        <v>20.351600000000001</v>
      </c>
      <c r="F5453">
        <f t="shared" si="87"/>
        <v>101.75800000000001</v>
      </c>
    </row>
    <row r="5454" spans="1:6" x14ac:dyDescent="0.2">
      <c r="A5454">
        <v>851</v>
      </c>
      <c r="B5454" s="3" t="s">
        <v>84</v>
      </c>
      <c r="C5454" s="3" t="s">
        <v>85</v>
      </c>
      <c r="D5454" s="3">
        <v>5</v>
      </c>
      <c r="E5454" s="3">
        <v>102.3322</v>
      </c>
      <c r="F5454">
        <f t="shared" si="87"/>
        <v>511.661</v>
      </c>
    </row>
    <row r="5455" spans="1:6" x14ac:dyDescent="0.2">
      <c r="A5455">
        <v>851</v>
      </c>
      <c r="B5455" s="3" t="s">
        <v>86</v>
      </c>
      <c r="C5455" s="3" t="s">
        <v>85</v>
      </c>
      <c r="D5455" s="3">
        <v>5</v>
      </c>
      <c r="E5455" s="3">
        <v>144.2646</v>
      </c>
      <c r="F5455">
        <f t="shared" si="87"/>
        <v>721.32299999999998</v>
      </c>
    </row>
    <row r="5456" spans="1:6" x14ac:dyDescent="0.2">
      <c r="A5456">
        <v>851</v>
      </c>
      <c r="B5456" s="3" t="s">
        <v>87</v>
      </c>
      <c r="C5456" s="3" t="s">
        <v>88</v>
      </c>
      <c r="D5456" s="3">
        <v>5</v>
      </c>
      <c r="E5456" s="3">
        <v>162.0215</v>
      </c>
      <c r="F5456">
        <f t="shared" si="87"/>
        <v>810.10750000000007</v>
      </c>
    </row>
    <row r="5457" spans="1:6" x14ac:dyDescent="0.2">
      <c r="A5457">
        <v>851</v>
      </c>
      <c r="B5457" s="3" t="s">
        <v>89</v>
      </c>
      <c r="C5457" s="3" t="s">
        <v>85</v>
      </c>
      <c r="D5457" s="3">
        <v>5</v>
      </c>
      <c r="E5457" s="3">
        <v>211.0129</v>
      </c>
      <c r="F5457">
        <f t="shared" si="87"/>
        <v>1055.0645</v>
      </c>
    </row>
    <row r="5458" spans="1:6" x14ac:dyDescent="0.2">
      <c r="A5458">
        <v>851</v>
      </c>
      <c r="B5458" s="3" t="s">
        <v>90</v>
      </c>
      <c r="C5458" s="3" t="s">
        <v>88</v>
      </c>
      <c r="D5458" s="3">
        <v>5</v>
      </c>
      <c r="E5458" s="3">
        <v>238.1635</v>
      </c>
      <c r="F5458">
        <f t="shared" si="87"/>
        <v>1190.8175000000001</v>
      </c>
    </row>
    <row r="5459" spans="1:6" x14ac:dyDescent="0.2">
      <c r="A5459">
        <v>851</v>
      </c>
      <c r="B5459" s="3" t="s">
        <v>92</v>
      </c>
      <c r="C5459" s="3" t="s">
        <v>93</v>
      </c>
      <c r="D5459" s="3">
        <v>5</v>
      </c>
      <c r="E5459" s="3">
        <v>19.297499999999999</v>
      </c>
      <c r="F5459">
        <f t="shared" si="87"/>
        <v>96.487499999999997</v>
      </c>
    </row>
    <row r="5460" spans="1:6" x14ac:dyDescent="0.2">
      <c r="A5460">
        <v>851</v>
      </c>
      <c r="B5460" s="3" t="s">
        <v>94</v>
      </c>
      <c r="C5460" s="3" t="s">
        <v>95</v>
      </c>
      <c r="D5460" s="3">
        <v>1</v>
      </c>
      <c r="E5460" s="3">
        <v>644.46270000000004</v>
      </c>
      <c r="F5460">
        <f t="shared" si="87"/>
        <v>644.46270000000004</v>
      </c>
    </row>
    <row r="5461" spans="1:6" x14ac:dyDescent="0.2">
      <c r="A5461">
        <v>851</v>
      </c>
      <c r="B5461" s="3" t="s">
        <v>236</v>
      </c>
      <c r="C5461" s="3" t="s">
        <v>237</v>
      </c>
      <c r="D5461" s="3">
        <v>6</v>
      </c>
      <c r="E5461" s="3">
        <v>132.80000000000001</v>
      </c>
      <c r="F5461">
        <f t="shared" si="87"/>
        <v>796.80000000000007</v>
      </c>
    </row>
    <row r="5462" spans="1:6" x14ac:dyDescent="0.2">
      <c r="A5462">
        <v>851</v>
      </c>
      <c r="B5462" s="3" t="s">
        <v>238</v>
      </c>
      <c r="C5462" s="3" t="s">
        <v>239</v>
      </c>
      <c r="D5462" s="3">
        <v>4</v>
      </c>
      <c r="E5462" s="3">
        <v>340.93849999999998</v>
      </c>
      <c r="F5462">
        <f t="shared" si="87"/>
        <v>1363.7539999999999</v>
      </c>
    </row>
    <row r="5463" spans="1:6" x14ac:dyDescent="0.2">
      <c r="A5463">
        <v>851</v>
      </c>
      <c r="B5463" s="3" t="s">
        <v>240</v>
      </c>
      <c r="C5463" s="3" t="s">
        <v>241</v>
      </c>
      <c r="D5463" s="3">
        <v>4</v>
      </c>
      <c r="E5463" s="3">
        <v>309.0154</v>
      </c>
      <c r="F5463">
        <f t="shared" si="87"/>
        <v>1236.0616</v>
      </c>
    </row>
    <row r="5464" spans="1:6" x14ac:dyDescent="0.2">
      <c r="A5464">
        <v>851</v>
      </c>
      <c r="B5464" s="3" t="s">
        <v>242</v>
      </c>
      <c r="C5464" s="3" t="s">
        <v>243</v>
      </c>
      <c r="D5464" s="3">
        <v>2</v>
      </c>
      <c r="E5464" s="3">
        <v>427.76920000000001</v>
      </c>
      <c r="F5464">
        <f t="shared" si="87"/>
        <v>855.53840000000002</v>
      </c>
    </row>
    <row r="5465" spans="1:6" x14ac:dyDescent="0.2">
      <c r="A5465">
        <v>851</v>
      </c>
      <c r="B5465" s="3" t="s">
        <v>244</v>
      </c>
      <c r="C5465" s="3" t="s">
        <v>184</v>
      </c>
      <c r="D5465" s="3">
        <v>4</v>
      </c>
      <c r="E5465" s="3">
        <v>18.643080000000001</v>
      </c>
      <c r="F5465">
        <f t="shared" si="87"/>
        <v>74.572320000000005</v>
      </c>
    </row>
    <row r="5466" spans="1:6" x14ac:dyDescent="0.2">
      <c r="A5466">
        <v>851</v>
      </c>
      <c r="B5466" s="3" t="s">
        <v>245</v>
      </c>
      <c r="C5466" s="3" t="s">
        <v>246</v>
      </c>
      <c r="D5466" s="3">
        <v>8</v>
      </c>
      <c r="E5466" s="3">
        <v>0.44819999999999999</v>
      </c>
      <c r="F5466">
        <f t="shared" si="87"/>
        <v>3.5855999999999999</v>
      </c>
    </row>
    <row r="5467" spans="1:6" x14ac:dyDescent="0.2">
      <c r="A5467">
        <v>851</v>
      </c>
      <c r="B5467" s="3" t="s">
        <v>75</v>
      </c>
      <c r="C5467" s="3" t="s">
        <v>247</v>
      </c>
      <c r="D5467" s="3">
        <v>8</v>
      </c>
      <c r="E5467" s="3">
        <v>0.115385</v>
      </c>
      <c r="F5467">
        <f t="shared" si="87"/>
        <v>0.92308000000000001</v>
      </c>
    </row>
    <row r="5468" spans="1:6" x14ac:dyDescent="0.2">
      <c r="A5468">
        <v>851</v>
      </c>
      <c r="B5468" s="3" t="s">
        <v>197</v>
      </c>
      <c r="C5468" s="3" t="s">
        <v>117</v>
      </c>
      <c r="D5468" s="3">
        <v>8</v>
      </c>
      <c r="E5468" s="3">
        <v>7.4700000000000003E-2</v>
      </c>
      <c r="F5468">
        <f t="shared" si="87"/>
        <v>0.59760000000000002</v>
      </c>
    </row>
    <row r="5469" spans="1:6" x14ac:dyDescent="0.2">
      <c r="A5469">
        <v>851</v>
      </c>
      <c r="B5469" s="3" t="s">
        <v>248</v>
      </c>
      <c r="C5469" s="3" t="s">
        <v>249</v>
      </c>
      <c r="D5469" s="3">
        <v>1</v>
      </c>
      <c r="E5469" s="3">
        <v>31064.98</v>
      </c>
      <c r="F5469">
        <f t="shared" si="87"/>
        <v>31064.98</v>
      </c>
    </row>
    <row r="5470" spans="1:6" x14ac:dyDescent="0.2">
      <c r="A5470">
        <v>851</v>
      </c>
      <c r="B5470" s="3" t="s">
        <v>250</v>
      </c>
      <c r="C5470" s="3" t="s">
        <v>251</v>
      </c>
      <c r="D5470" s="3">
        <v>2</v>
      </c>
      <c r="E5470" s="3">
        <v>564.5412</v>
      </c>
      <c r="F5470">
        <f t="shared" si="87"/>
        <v>1129.0824</v>
      </c>
    </row>
    <row r="5471" spans="1:6" x14ac:dyDescent="0.2">
      <c r="A5471">
        <v>851</v>
      </c>
      <c r="B5471" s="3" t="s">
        <v>146</v>
      </c>
      <c r="C5471" s="3" t="s">
        <v>147</v>
      </c>
      <c r="D5471" s="3">
        <v>3</v>
      </c>
      <c r="E5471" s="3">
        <v>8021.5770000000002</v>
      </c>
      <c r="F5471">
        <f t="shared" si="87"/>
        <v>24064.731</v>
      </c>
    </row>
    <row r="5472" spans="1:6" x14ac:dyDescent="0.2">
      <c r="A5472">
        <v>851</v>
      </c>
      <c r="B5472" s="3" t="s">
        <v>215</v>
      </c>
      <c r="C5472" s="3" t="s">
        <v>208</v>
      </c>
      <c r="D5472" s="3">
        <v>1</v>
      </c>
      <c r="E5472" s="3">
        <v>1.4289810000000001</v>
      </c>
      <c r="F5472">
        <f t="shared" si="87"/>
        <v>1.4289810000000001</v>
      </c>
    </row>
    <row r="5473" spans="1:6" x14ac:dyDescent="0.2">
      <c r="A5473">
        <v>851</v>
      </c>
      <c r="B5473" s="3" t="s">
        <v>200</v>
      </c>
      <c r="C5473" s="3" t="s">
        <v>199</v>
      </c>
      <c r="D5473" s="3">
        <v>3</v>
      </c>
      <c r="E5473" s="3">
        <v>0.66373400000000005</v>
      </c>
      <c r="F5473">
        <f t="shared" si="87"/>
        <v>1.9912020000000001</v>
      </c>
    </row>
    <row r="5474" spans="1:6" x14ac:dyDescent="0.2">
      <c r="A5474">
        <v>851</v>
      </c>
      <c r="B5474" s="3" t="s">
        <v>216</v>
      </c>
      <c r="C5474" s="3" t="s">
        <v>199</v>
      </c>
      <c r="D5474" s="3">
        <v>3</v>
      </c>
      <c r="E5474" s="3">
        <v>0.66400000000000003</v>
      </c>
      <c r="F5474">
        <f t="shared" si="87"/>
        <v>1.992</v>
      </c>
    </row>
    <row r="5475" spans="1:6" x14ac:dyDescent="0.2">
      <c r="A5475">
        <v>851</v>
      </c>
      <c r="B5475" s="3" t="s">
        <v>217</v>
      </c>
      <c r="C5475" s="3" t="s">
        <v>199</v>
      </c>
      <c r="D5475" s="3">
        <v>1</v>
      </c>
      <c r="E5475" s="3">
        <v>4.2164000000000001</v>
      </c>
      <c r="F5475">
        <f t="shared" si="87"/>
        <v>4.2164000000000001</v>
      </c>
    </row>
    <row r="5476" spans="1:6" x14ac:dyDescent="0.2">
      <c r="A5476">
        <v>851</v>
      </c>
      <c r="B5476" s="3" t="s">
        <v>218</v>
      </c>
      <c r="C5476" s="3" t="s">
        <v>208</v>
      </c>
      <c r="D5476" s="3">
        <v>1</v>
      </c>
      <c r="E5476" s="3">
        <v>7.3455000000000004</v>
      </c>
      <c r="F5476">
        <f t="shared" si="87"/>
        <v>7.3455000000000004</v>
      </c>
    </row>
    <row r="5477" spans="1:6" x14ac:dyDescent="0.2">
      <c r="A5477">
        <v>851</v>
      </c>
      <c r="B5477" s="3" t="s">
        <v>219</v>
      </c>
      <c r="C5477" s="3" t="s">
        <v>199</v>
      </c>
      <c r="D5477" s="3">
        <v>3</v>
      </c>
      <c r="E5477" s="3">
        <v>1.4774</v>
      </c>
      <c r="F5477">
        <f t="shared" si="87"/>
        <v>4.4321999999999999</v>
      </c>
    </row>
    <row r="5478" spans="1:6" x14ac:dyDescent="0.2">
      <c r="A5478">
        <v>851</v>
      </c>
      <c r="B5478" s="3" t="s">
        <v>220</v>
      </c>
      <c r="C5478" s="3" t="s">
        <v>208</v>
      </c>
      <c r="D5478" s="3">
        <v>1</v>
      </c>
      <c r="E5478" s="3">
        <v>3.7267000000000001</v>
      </c>
      <c r="F5478">
        <f t="shared" si="87"/>
        <v>3.7267000000000001</v>
      </c>
    </row>
    <row r="5479" spans="1:6" x14ac:dyDescent="0.2">
      <c r="A5479">
        <v>851</v>
      </c>
      <c r="B5479" s="3" t="s">
        <v>221</v>
      </c>
      <c r="C5479" s="3" t="s">
        <v>199</v>
      </c>
      <c r="D5479" s="3">
        <v>6</v>
      </c>
      <c r="E5479" s="3">
        <v>0.97940000000000005</v>
      </c>
      <c r="F5479">
        <f t="shared" si="87"/>
        <v>5.8764000000000003</v>
      </c>
    </row>
    <row r="5480" spans="1:6" x14ac:dyDescent="0.2">
      <c r="A5480">
        <v>851</v>
      </c>
      <c r="B5480" s="3" t="s">
        <v>222</v>
      </c>
      <c r="C5480" s="3" t="s">
        <v>208</v>
      </c>
      <c r="D5480" s="3">
        <v>2</v>
      </c>
      <c r="E5480" s="3">
        <v>6.0673000000000004</v>
      </c>
      <c r="F5480">
        <f t="shared" si="87"/>
        <v>12.134600000000001</v>
      </c>
    </row>
    <row r="5481" spans="1:6" x14ac:dyDescent="0.2">
      <c r="A5481">
        <v>851</v>
      </c>
      <c r="B5481" s="3" t="s">
        <v>223</v>
      </c>
      <c r="C5481" s="3" t="s">
        <v>224</v>
      </c>
      <c r="D5481" s="3">
        <v>1</v>
      </c>
      <c r="E5481" s="3">
        <v>19.4635</v>
      </c>
      <c r="F5481">
        <f t="shared" si="87"/>
        <v>19.4635</v>
      </c>
    </row>
    <row r="5482" spans="1:6" x14ac:dyDescent="0.2">
      <c r="A5482">
        <v>851</v>
      </c>
      <c r="B5482" s="3" t="s">
        <v>225</v>
      </c>
      <c r="C5482" s="3" t="s">
        <v>226</v>
      </c>
      <c r="D5482" s="3">
        <v>1</v>
      </c>
      <c r="E5482" s="3">
        <v>10.22151</v>
      </c>
      <c r="F5482">
        <f t="shared" si="87"/>
        <v>10.22151</v>
      </c>
    </row>
    <row r="5483" spans="1:6" x14ac:dyDescent="0.2">
      <c r="A5483">
        <v>851</v>
      </c>
      <c r="B5483" s="3" t="s">
        <v>227</v>
      </c>
      <c r="C5483" s="3" t="s">
        <v>208</v>
      </c>
      <c r="D5483" s="3">
        <v>5</v>
      </c>
      <c r="E5483" s="3">
        <v>3.6307689999999999</v>
      </c>
      <c r="F5483">
        <f t="shared" si="87"/>
        <v>18.153845</v>
      </c>
    </row>
    <row r="5484" spans="1:6" x14ac:dyDescent="0.2">
      <c r="A5484">
        <v>851</v>
      </c>
      <c r="B5484" s="3" t="s">
        <v>228</v>
      </c>
      <c r="C5484" s="3" t="s">
        <v>229</v>
      </c>
      <c r="D5484" s="3">
        <v>1</v>
      </c>
      <c r="E5484" s="3">
        <v>306.94979999999998</v>
      </c>
      <c r="F5484">
        <f t="shared" si="87"/>
        <v>306.94979999999998</v>
      </c>
    </row>
    <row r="5485" spans="1:6" x14ac:dyDescent="0.2">
      <c r="A5485">
        <v>851</v>
      </c>
      <c r="B5485" s="3" t="s">
        <v>116</v>
      </c>
      <c r="C5485" s="3" t="s">
        <v>117</v>
      </c>
      <c r="D5485" s="3">
        <v>7</v>
      </c>
      <c r="E5485" s="3">
        <v>0.25729999999999997</v>
      </c>
      <c r="F5485">
        <f t="shared" si="87"/>
        <v>1.8010999999999999</v>
      </c>
    </row>
    <row r="5486" spans="1:6" x14ac:dyDescent="0.2">
      <c r="A5486">
        <v>851</v>
      </c>
      <c r="B5486" s="3" t="s">
        <v>78</v>
      </c>
      <c r="C5486" s="3" t="s">
        <v>76</v>
      </c>
      <c r="D5486" s="3">
        <v>7</v>
      </c>
      <c r="E5486" s="3">
        <v>0.71839500000000001</v>
      </c>
      <c r="F5486">
        <f t="shared" ref="F5486:F5549" si="88">D5486*E5486</f>
        <v>5.0287649999999999</v>
      </c>
    </row>
    <row r="5487" spans="1:6" x14ac:dyDescent="0.2">
      <c r="A5487">
        <v>851</v>
      </c>
      <c r="B5487" s="3" t="s">
        <v>231</v>
      </c>
      <c r="C5487" s="3" t="s">
        <v>208</v>
      </c>
      <c r="D5487" s="3">
        <v>4</v>
      </c>
      <c r="E5487" s="3">
        <v>2.0832999999999999</v>
      </c>
      <c r="F5487">
        <f t="shared" si="88"/>
        <v>8.3331999999999997</v>
      </c>
    </row>
    <row r="5488" spans="1:6" x14ac:dyDescent="0.2">
      <c r="A5488">
        <v>851</v>
      </c>
      <c r="B5488" s="3" t="s">
        <v>232</v>
      </c>
      <c r="C5488" s="3" t="s">
        <v>119</v>
      </c>
      <c r="D5488" s="3">
        <v>7</v>
      </c>
      <c r="E5488" s="3">
        <v>1.5935999999999999</v>
      </c>
      <c r="F5488">
        <f t="shared" si="88"/>
        <v>11.155199999999999</v>
      </c>
    </row>
    <row r="5489" spans="1:6" x14ac:dyDescent="0.2">
      <c r="A5489">
        <v>851</v>
      </c>
      <c r="B5489" s="3" t="s">
        <v>233</v>
      </c>
      <c r="C5489" s="3" t="s">
        <v>234</v>
      </c>
      <c r="D5489" s="3">
        <v>1</v>
      </c>
      <c r="E5489" s="3">
        <v>3989.2950000000001</v>
      </c>
      <c r="F5489">
        <f t="shared" si="88"/>
        <v>3989.2950000000001</v>
      </c>
    </row>
    <row r="5490" spans="1:6" x14ac:dyDescent="0.2">
      <c r="A5490">
        <v>851</v>
      </c>
      <c r="B5490" s="3" t="s">
        <v>142</v>
      </c>
      <c r="C5490" s="3" t="s">
        <v>143</v>
      </c>
      <c r="D5490" s="3">
        <v>2</v>
      </c>
      <c r="E5490" s="3">
        <v>18141.64</v>
      </c>
      <c r="F5490">
        <f t="shared" si="88"/>
        <v>36283.279999999999</v>
      </c>
    </row>
    <row r="5491" spans="1:6" x14ac:dyDescent="0.2">
      <c r="A5491">
        <v>851</v>
      </c>
      <c r="B5491" s="3" t="s">
        <v>144</v>
      </c>
      <c r="C5491" s="3" t="s">
        <v>145</v>
      </c>
      <c r="D5491" s="3">
        <v>2</v>
      </c>
      <c r="E5491" s="3">
        <v>7346.6769999999997</v>
      </c>
      <c r="F5491">
        <f t="shared" si="88"/>
        <v>14693.353999999999</v>
      </c>
    </row>
    <row r="5492" spans="1:6" x14ac:dyDescent="0.2">
      <c r="A5492">
        <v>851</v>
      </c>
      <c r="B5492" s="3" t="s">
        <v>197</v>
      </c>
      <c r="C5492" s="3" t="s">
        <v>117</v>
      </c>
      <c r="D5492" s="3">
        <v>16</v>
      </c>
      <c r="E5492" s="3">
        <v>7.4700000000000003E-2</v>
      </c>
      <c r="F5492">
        <f t="shared" si="88"/>
        <v>1.1952</v>
      </c>
    </row>
    <row r="5493" spans="1:6" x14ac:dyDescent="0.2">
      <c r="A5493">
        <v>851</v>
      </c>
      <c r="B5493" s="3" t="s">
        <v>198</v>
      </c>
      <c r="C5493" s="3" t="s">
        <v>199</v>
      </c>
      <c r="D5493" s="3">
        <v>4</v>
      </c>
      <c r="E5493" s="3">
        <v>0.66373400000000005</v>
      </c>
      <c r="F5493">
        <f t="shared" si="88"/>
        <v>2.6549360000000002</v>
      </c>
    </row>
    <row r="5494" spans="1:6" x14ac:dyDescent="0.2">
      <c r="A5494">
        <v>851</v>
      </c>
      <c r="B5494" s="3" t="s">
        <v>200</v>
      </c>
      <c r="C5494" s="3" t="s">
        <v>199</v>
      </c>
      <c r="D5494" s="3">
        <v>4</v>
      </c>
      <c r="E5494" s="3">
        <v>0.66373400000000005</v>
      </c>
      <c r="F5494">
        <f t="shared" si="88"/>
        <v>2.6549360000000002</v>
      </c>
    </row>
    <row r="5495" spans="1:6" x14ac:dyDescent="0.2">
      <c r="A5495">
        <v>851</v>
      </c>
      <c r="B5495" s="3" t="s">
        <v>201</v>
      </c>
      <c r="C5495" s="3" t="s">
        <v>76</v>
      </c>
      <c r="D5495" s="3">
        <v>16</v>
      </c>
      <c r="E5495" s="3">
        <v>0.22645100000000001</v>
      </c>
      <c r="F5495">
        <f t="shared" si="88"/>
        <v>3.6232160000000002</v>
      </c>
    </row>
    <row r="5496" spans="1:6" x14ac:dyDescent="0.2">
      <c r="A5496">
        <v>851</v>
      </c>
      <c r="B5496" s="3" t="s">
        <v>202</v>
      </c>
      <c r="C5496" s="3" t="s">
        <v>203</v>
      </c>
      <c r="D5496" s="3">
        <v>8</v>
      </c>
      <c r="E5496" s="3">
        <v>12.45</v>
      </c>
      <c r="F5496">
        <f t="shared" si="88"/>
        <v>99.6</v>
      </c>
    </row>
    <row r="5497" spans="1:6" x14ac:dyDescent="0.2">
      <c r="A5497">
        <v>851</v>
      </c>
      <c r="B5497" s="3" t="s">
        <v>204</v>
      </c>
      <c r="C5497" s="3" t="s">
        <v>205</v>
      </c>
      <c r="D5497" s="3">
        <v>2</v>
      </c>
      <c r="E5497" s="3">
        <v>103.7222</v>
      </c>
      <c r="F5497">
        <f t="shared" si="88"/>
        <v>207.4444</v>
      </c>
    </row>
    <row r="5498" spans="1:6" x14ac:dyDescent="0.2">
      <c r="A5498">
        <v>851</v>
      </c>
      <c r="B5498" s="3" t="s">
        <v>116</v>
      </c>
      <c r="C5498" s="3" t="s">
        <v>117</v>
      </c>
      <c r="D5498" s="3">
        <v>8</v>
      </c>
      <c r="E5498" s="3">
        <v>0.25729999999999997</v>
      </c>
      <c r="F5498">
        <f t="shared" si="88"/>
        <v>2.0583999999999998</v>
      </c>
    </row>
    <row r="5499" spans="1:6" x14ac:dyDescent="0.2">
      <c r="A5499">
        <v>851</v>
      </c>
      <c r="B5499" s="3" t="s">
        <v>78</v>
      </c>
      <c r="C5499" s="3" t="s">
        <v>76</v>
      </c>
      <c r="D5499" s="3">
        <v>8</v>
      </c>
      <c r="E5499" s="3">
        <v>0.71839500000000001</v>
      </c>
      <c r="F5499">
        <f t="shared" si="88"/>
        <v>5.74716</v>
      </c>
    </row>
    <row r="5500" spans="1:6" x14ac:dyDescent="0.2">
      <c r="A5500">
        <v>851</v>
      </c>
      <c r="B5500" s="3" t="s">
        <v>207</v>
      </c>
      <c r="C5500" s="3" t="s">
        <v>208</v>
      </c>
      <c r="D5500" s="3">
        <v>2</v>
      </c>
      <c r="E5500" s="3">
        <v>4.6314000000000002</v>
      </c>
      <c r="F5500">
        <f t="shared" si="88"/>
        <v>9.2628000000000004</v>
      </c>
    </row>
    <row r="5501" spans="1:6" x14ac:dyDescent="0.2">
      <c r="A5501">
        <v>851</v>
      </c>
      <c r="B5501" s="3" t="s">
        <v>209</v>
      </c>
      <c r="C5501" s="3" t="s">
        <v>210</v>
      </c>
      <c r="D5501" s="3">
        <v>2</v>
      </c>
      <c r="E5501" s="3">
        <v>39.550759999999997</v>
      </c>
      <c r="F5501">
        <f t="shared" si="88"/>
        <v>79.101519999999994</v>
      </c>
    </row>
    <row r="5502" spans="1:6" x14ac:dyDescent="0.2">
      <c r="A5502">
        <v>851</v>
      </c>
      <c r="B5502" s="3" t="s">
        <v>211</v>
      </c>
      <c r="C5502" s="3" t="s">
        <v>203</v>
      </c>
      <c r="D5502" s="3">
        <v>4</v>
      </c>
      <c r="E5502" s="3">
        <v>25.754899999999999</v>
      </c>
      <c r="F5502">
        <f t="shared" si="88"/>
        <v>103.0196</v>
      </c>
    </row>
    <row r="5503" spans="1:6" x14ac:dyDescent="0.2">
      <c r="A5503">
        <v>851</v>
      </c>
      <c r="B5503" s="3" t="s">
        <v>212</v>
      </c>
      <c r="C5503" s="3" t="s">
        <v>213</v>
      </c>
      <c r="D5503" s="3">
        <v>2</v>
      </c>
      <c r="E5503" s="3">
        <v>272.92059999999998</v>
      </c>
      <c r="F5503">
        <f t="shared" si="88"/>
        <v>545.84119999999996</v>
      </c>
    </row>
    <row r="5504" spans="1:6" x14ac:dyDescent="0.2">
      <c r="A5504">
        <v>851</v>
      </c>
      <c r="B5504" s="3" t="s">
        <v>149</v>
      </c>
      <c r="C5504" s="3" t="s">
        <v>150</v>
      </c>
      <c r="D5504" s="3">
        <v>1</v>
      </c>
      <c r="E5504" s="3">
        <v>0.70550000000000002</v>
      </c>
      <c r="F5504">
        <f t="shared" si="88"/>
        <v>0.70550000000000002</v>
      </c>
    </row>
    <row r="5505" spans="1:6" x14ac:dyDescent="0.2">
      <c r="A5505">
        <v>851</v>
      </c>
      <c r="B5505" s="3" t="s">
        <v>151</v>
      </c>
      <c r="C5505" s="3" t="s">
        <v>152</v>
      </c>
      <c r="D5505" s="3">
        <v>1</v>
      </c>
      <c r="E5505" s="3">
        <v>5.6191000000000004</v>
      </c>
      <c r="F5505">
        <f t="shared" si="88"/>
        <v>5.6191000000000004</v>
      </c>
    </row>
    <row r="5506" spans="1:6" x14ac:dyDescent="0.2">
      <c r="A5506">
        <v>851</v>
      </c>
      <c r="B5506" s="3" t="s">
        <v>153</v>
      </c>
      <c r="C5506" s="3" t="s">
        <v>119</v>
      </c>
      <c r="D5506" s="3">
        <v>5</v>
      </c>
      <c r="E5506" s="3">
        <v>1.116636</v>
      </c>
      <c r="F5506">
        <f t="shared" si="88"/>
        <v>5.5831799999999996</v>
      </c>
    </row>
    <row r="5507" spans="1:6" x14ac:dyDescent="0.2">
      <c r="A5507">
        <v>851</v>
      </c>
      <c r="B5507" s="3" t="s">
        <v>154</v>
      </c>
      <c r="C5507" s="3" t="s">
        <v>117</v>
      </c>
      <c r="D5507" s="3">
        <v>5</v>
      </c>
      <c r="E5507" s="3">
        <v>4.3658000000000001</v>
      </c>
      <c r="F5507">
        <f t="shared" si="88"/>
        <v>21.829000000000001</v>
      </c>
    </row>
    <row r="5508" spans="1:6" x14ac:dyDescent="0.2">
      <c r="A5508">
        <v>851</v>
      </c>
      <c r="B5508" s="3" t="s">
        <v>155</v>
      </c>
      <c r="C5508" s="3" t="s">
        <v>156</v>
      </c>
      <c r="D5508" s="3">
        <v>1</v>
      </c>
      <c r="E5508" s="3">
        <v>28.552</v>
      </c>
      <c r="F5508">
        <f t="shared" si="88"/>
        <v>28.552</v>
      </c>
    </row>
    <row r="5509" spans="1:6" x14ac:dyDescent="0.2">
      <c r="A5509">
        <v>851</v>
      </c>
      <c r="B5509" s="3" t="s">
        <v>157</v>
      </c>
      <c r="C5509" s="3" t="s">
        <v>158</v>
      </c>
      <c r="D5509" s="3">
        <v>1</v>
      </c>
      <c r="E5509" s="3">
        <v>29.456700000000001</v>
      </c>
      <c r="F5509">
        <f t="shared" si="88"/>
        <v>29.456700000000001</v>
      </c>
    </row>
    <row r="5510" spans="1:6" x14ac:dyDescent="0.2">
      <c r="A5510">
        <v>851</v>
      </c>
      <c r="B5510" s="3" t="s">
        <v>159</v>
      </c>
      <c r="C5510" s="3" t="s">
        <v>117</v>
      </c>
      <c r="D5510" s="3">
        <v>3</v>
      </c>
      <c r="E5510" s="3">
        <v>11.976900000000001</v>
      </c>
      <c r="F5510">
        <f t="shared" si="88"/>
        <v>35.930700000000002</v>
      </c>
    </row>
    <row r="5511" spans="1:6" x14ac:dyDescent="0.2">
      <c r="A5511">
        <v>851</v>
      </c>
      <c r="B5511" s="3" t="s">
        <v>116</v>
      </c>
      <c r="C5511" s="3" t="s">
        <v>117</v>
      </c>
      <c r="D5511" s="3">
        <v>168</v>
      </c>
      <c r="E5511" s="3">
        <v>0.25729999999999997</v>
      </c>
      <c r="F5511">
        <f t="shared" si="88"/>
        <v>43.226399999999998</v>
      </c>
    </row>
    <row r="5512" spans="1:6" x14ac:dyDescent="0.2">
      <c r="A5512">
        <v>851</v>
      </c>
      <c r="B5512" s="3" t="s">
        <v>160</v>
      </c>
      <c r="C5512" s="3" t="s">
        <v>161</v>
      </c>
      <c r="D5512" s="3">
        <v>3</v>
      </c>
      <c r="E5512" s="3">
        <v>15.9194</v>
      </c>
      <c r="F5512">
        <f t="shared" si="88"/>
        <v>47.758200000000002</v>
      </c>
    </row>
    <row r="5513" spans="1:6" x14ac:dyDescent="0.2">
      <c r="A5513">
        <v>851</v>
      </c>
      <c r="B5513" s="3" t="s">
        <v>162</v>
      </c>
      <c r="C5513" s="3" t="s">
        <v>163</v>
      </c>
      <c r="D5513" s="3">
        <v>1</v>
      </c>
      <c r="E5513" s="3">
        <v>62.822699999999998</v>
      </c>
      <c r="F5513">
        <f t="shared" si="88"/>
        <v>62.822699999999998</v>
      </c>
    </row>
    <row r="5514" spans="1:6" x14ac:dyDescent="0.2">
      <c r="A5514">
        <v>851</v>
      </c>
      <c r="B5514" s="3" t="s">
        <v>164</v>
      </c>
      <c r="C5514" s="3" t="s">
        <v>165</v>
      </c>
      <c r="D5514" s="3">
        <v>3</v>
      </c>
      <c r="E5514" s="3">
        <v>29.382000000000001</v>
      </c>
      <c r="F5514">
        <f t="shared" si="88"/>
        <v>88.146000000000001</v>
      </c>
    </row>
    <row r="5515" spans="1:6" x14ac:dyDescent="0.2">
      <c r="A5515">
        <v>851</v>
      </c>
      <c r="B5515" s="3" t="s">
        <v>166</v>
      </c>
      <c r="C5515" s="3" t="s">
        <v>76</v>
      </c>
      <c r="D5515" s="3">
        <v>84</v>
      </c>
      <c r="E5515" s="3">
        <v>0.97109999999999996</v>
      </c>
      <c r="F5515">
        <f t="shared" si="88"/>
        <v>81.572400000000002</v>
      </c>
    </row>
    <row r="5516" spans="1:6" x14ac:dyDescent="0.2">
      <c r="A5516">
        <v>851</v>
      </c>
      <c r="B5516" s="3" t="s">
        <v>167</v>
      </c>
      <c r="C5516" s="3" t="s">
        <v>168</v>
      </c>
      <c r="D5516" s="3">
        <v>1</v>
      </c>
      <c r="E5516" s="3">
        <v>68.201099999999997</v>
      </c>
      <c r="F5516">
        <f t="shared" si="88"/>
        <v>68.201099999999997</v>
      </c>
    </row>
    <row r="5517" spans="1:6" x14ac:dyDescent="0.2">
      <c r="A5517">
        <v>851</v>
      </c>
      <c r="B5517" s="3" t="s">
        <v>169</v>
      </c>
      <c r="C5517" s="3" t="s">
        <v>119</v>
      </c>
      <c r="D5517" s="3">
        <v>3</v>
      </c>
      <c r="E5517" s="3">
        <v>26.078600000000002</v>
      </c>
      <c r="F5517">
        <f t="shared" si="88"/>
        <v>78.235800000000012</v>
      </c>
    </row>
    <row r="5518" spans="1:6" x14ac:dyDescent="0.2">
      <c r="A5518">
        <v>851</v>
      </c>
      <c r="B5518" s="3" t="s">
        <v>170</v>
      </c>
      <c r="C5518" s="3" t="s">
        <v>171</v>
      </c>
      <c r="D5518" s="3">
        <v>8</v>
      </c>
      <c r="E5518" s="3">
        <v>15.438000000000001</v>
      </c>
      <c r="F5518">
        <f t="shared" si="88"/>
        <v>123.504</v>
      </c>
    </row>
    <row r="5519" spans="1:6" x14ac:dyDescent="0.2">
      <c r="A5519">
        <v>851</v>
      </c>
      <c r="B5519" s="3" t="s">
        <v>172</v>
      </c>
      <c r="C5519" s="3" t="s">
        <v>173</v>
      </c>
      <c r="D5519" s="3">
        <v>1</v>
      </c>
      <c r="E5519" s="3">
        <v>158.41380000000001</v>
      </c>
      <c r="F5519">
        <f t="shared" si="88"/>
        <v>158.41380000000001</v>
      </c>
    </row>
    <row r="5520" spans="1:6" x14ac:dyDescent="0.2">
      <c r="A5520">
        <v>851</v>
      </c>
      <c r="B5520" s="3" t="s">
        <v>174</v>
      </c>
      <c r="C5520" s="3" t="s">
        <v>119</v>
      </c>
      <c r="D5520" s="3">
        <v>118</v>
      </c>
      <c r="E5520" s="3">
        <v>1.2616000000000001</v>
      </c>
      <c r="F5520">
        <f t="shared" si="88"/>
        <v>148.86879999999999</v>
      </c>
    </row>
    <row r="5521" spans="1:6" x14ac:dyDescent="0.2">
      <c r="A5521">
        <v>851</v>
      </c>
      <c r="B5521" s="3" t="s">
        <v>175</v>
      </c>
      <c r="C5521" s="3" t="s">
        <v>176</v>
      </c>
      <c r="D5521" s="3">
        <v>1</v>
      </c>
      <c r="E5521" s="3">
        <v>194.7595</v>
      </c>
      <c r="F5521">
        <f t="shared" si="88"/>
        <v>194.7595</v>
      </c>
    </row>
    <row r="5522" spans="1:6" x14ac:dyDescent="0.2">
      <c r="A5522">
        <v>851</v>
      </c>
      <c r="B5522" s="3" t="s">
        <v>177</v>
      </c>
      <c r="C5522" s="3" t="s">
        <v>178</v>
      </c>
      <c r="D5522" s="3">
        <v>1</v>
      </c>
      <c r="E5522" s="3">
        <v>1660.624</v>
      </c>
      <c r="F5522">
        <f t="shared" si="88"/>
        <v>1660.624</v>
      </c>
    </row>
    <row r="5523" spans="1:6" x14ac:dyDescent="0.2">
      <c r="A5523">
        <v>851</v>
      </c>
      <c r="B5523" s="3" t="s">
        <v>179</v>
      </c>
      <c r="C5523" s="3" t="s">
        <v>119</v>
      </c>
      <c r="D5523" s="3">
        <v>12</v>
      </c>
      <c r="E5523" s="3">
        <v>32.444699999999997</v>
      </c>
      <c r="F5523">
        <f t="shared" si="88"/>
        <v>389.33639999999997</v>
      </c>
    </row>
    <row r="5524" spans="1:6" x14ac:dyDescent="0.2">
      <c r="A5524">
        <v>851</v>
      </c>
      <c r="B5524" s="3" t="s">
        <v>180</v>
      </c>
      <c r="C5524" s="3" t="s">
        <v>181</v>
      </c>
      <c r="D5524" s="3">
        <v>8</v>
      </c>
      <c r="E5524" s="3">
        <v>64.117500000000007</v>
      </c>
      <c r="F5524">
        <f t="shared" si="88"/>
        <v>512.94000000000005</v>
      </c>
    </row>
    <row r="5525" spans="1:6" x14ac:dyDescent="0.2">
      <c r="A5525">
        <v>851</v>
      </c>
      <c r="B5525" s="3" t="s">
        <v>182</v>
      </c>
      <c r="C5525" s="3" t="s">
        <v>158</v>
      </c>
      <c r="D5525" s="3">
        <v>6</v>
      </c>
      <c r="E5525" s="3">
        <v>80.78819</v>
      </c>
      <c r="F5525">
        <f t="shared" si="88"/>
        <v>484.72914000000003</v>
      </c>
    </row>
    <row r="5526" spans="1:6" x14ac:dyDescent="0.2">
      <c r="A5526">
        <v>851</v>
      </c>
      <c r="B5526" s="3" t="s">
        <v>183</v>
      </c>
      <c r="C5526" s="3" t="s">
        <v>184</v>
      </c>
      <c r="D5526" s="3">
        <v>1</v>
      </c>
      <c r="E5526" s="3">
        <v>548.61540000000002</v>
      </c>
      <c r="F5526">
        <f t="shared" si="88"/>
        <v>548.61540000000002</v>
      </c>
    </row>
    <row r="5527" spans="1:6" x14ac:dyDescent="0.2">
      <c r="A5527">
        <v>851</v>
      </c>
      <c r="B5527" s="3" t="s">
        <v>185</v>
      </c>
      <c r="C5527" s="3" t="s">
        <v>186</v>
      </c>
      <c r="D5527" s="3">
        <v>3</v>
      </c>
      <c r="E5527" s="3">
        <v>278.05</v>
      </c>
      <c r="F5527">
        <f t="shared" si="88"/>
        <v>834.15000000000009</v>
      </c>
    </row>
    <row r="5528" spans="1:6" x14ac:dyDescent="0.2">
      <c r="A5528">
        <v>851</v>
      </c>
      <c r="B5528" s="3" t="s">
        <v>187</v>
      </c>
      <c r="C5528" s="3" t="s">
        <v>188</v>
      </c>
      <c r="D5528" s="3">
        <v>8</v>
      </c>
      <c r="E5528" s="3">
        <v>105.0365</v>
      </c>
      <c r="F5528">
        <f t="shared" si="88"/>
        <v>840.29200000000003</v>
      </c>
    </row>
    <row r="5529" spans="1:6" x14ac:dyDescent="0.2">
      <c r="A5529">
        <v>851</v>
      </c>
      <c r="B5529" s="3" t="s">
        <v>189</v>
      </c>
      <c r="C5529" s="3" t="s">
        <v>163</v>
      </c>
      <c r="D5529" s="3">
        <v>6</v>
      </c>
      <c r="E5529" s="3">
        <v>154.25970000000001</v>
      </c>
      <c r="F5529">
        <f t="shared" si="88"/>
        <v>925.55820000000006</v>
      </c>
    </row>
    <row r="5530" spans="1:6" x14ac:dyDescent="0.2">
      <c r="A5530">
        <v>851</v>
      </c>
      <c r="B5530" s="3" t="s">
        <v>190</v>
      </c>
      <c r="C5530" s="3" t="s">
        <v>191</v>
      </c>
      <c r="D5530" s="3">
        <v>1</v>
      </c>
      <c r="E5530" s="3">
        <v>1397.886</v>
      </c>
      <c r="F5530">
        <f t="shared" si="88"/>
        <v>1397.886</v>
      </c>
    </row>
    <row r="5531" spans="1:6" x14ac:dyDescent="0.2">
      <c r="A5531">
        <v>851</v>
      </c>
      <c r="B5531" s="3" t="s">
        <v>192</v>
      </c>
      <c r="C5531" s="3" t="s">
        <v>193</v>
      </c>
      <c r="D5531" s="3">
        <v>2</v>
      </c>
      <c r="E5531" s="3">
        <v>843.03639999999996</v>
      </c>
      <c r="F5531">
        <f t="shared" si="88"/>
        <v>1686.0727999999999</v>
      </c>
    </row>
    <row r="5532" spans="1:6" x14ac:dyDescent="0.2">
      <c r="A5532">
        <v>851</v>
      </c>
      <c r="B5532" s="3" t="s">
        <v>194</v>
      </c>
      <c r="C5532" s="3" t="s">
        <v>193</v>
      </c>
      <c r="D5532" s="3">
        <v>8</v>
      </c>
      <c r="E5532" s="3">
        <v>868.20489999999995</v>
      </c>
      <c r="F5532">
        <f t="shared" si="88"/>
        <v>6945.6391999999996</v>
      </c>
    </row>
    <row r="5533" spans="1:6" x14ac:dyDescent="0.2">
      <c r="A5533">
        <v>851</v>
      </c>
      <c r="B5533" s="3" t="s">
        <v>195</v>
      </c>
      <c r="C5533" s="3" t="s">
        <v>117</v>
      </c>
      <c r="D5533" s="3">
        <v>2</v>
      </c>
      <c r="E5533" s="3">
        <v>1.0375000000000001</v>
      </c>
      <c r="F5533">
        <f t="shared" si="88"/>
        <v>2.0750000000000002</v>
      </c>
    </row>
    <row r="5534" spans="1:6" x14ac:dyDescent="0.2">
      <c r="A5534">
        <v>851</v>
      </c>
      <c r="B5534" s="3" t="s">
        <v>135</v>
      </c>
      <c r="C5534" s="3" t="s">
        <v>136</v>
      </c>
      <c r="D5534" s="3">
        <v>1</v>
      </c>
      <c r="E5534" s="3">
        <v>395.04689999999999</v>
      </c>
      <c r="F5534">
        <f t="shared" si="88"/>
        <v>395.04689999999999</v>
      </c>
    </row>
    <row r="5535" spans="1:6" x14ac:dyDescent="0.2">
      <c r="A5535">
        <v>851</v>
      </c>
      <c r="B5535" s="3" t="s">
        <v>137</v>
      </c>
      <c r="C5535" s="3" t="s">
        <v>138</v>
      </c>
      <c r="D5535" s="3">
        <v>1</v>
      </c>
      <c r="E5535" s="3">
        <v>252.98429999999999</v>
      </c>
      <c r="F5535">
        <f t="shared" si="88"/>
        <v>252.98429999999999</v>
      </c>
    </row>
    <row r="5536" spans="1:6" x14ac:dyDescent="0.2">
      <c r="A5536">
        <v>851</v>
      </c>
      <c r="B5536" s="3" t="s">
        <v>139</v>
      </c>
      <c r="C5536" s="3" t="s">
        <v>140</v>
      </c>
      <c r="D5536" s="3">
        <v>2</v>
      </c>
      <c r="E5536" s="3">
        <v>2054.4580000000001</v>
      </c>
      <c r="F5536">
        <f t="shared" si="88"/>
        <v>4108.9160000000002</v>
      </c>
    </row>
    <row r="5537" spans="1:6" x14ac:dyDescent="0.2">
      <c r="A5537">
        <v>851</v>
      </c>
      <c r="B5537" s="3" t="s">
        <v>116</v>
      </c>
      <c r="C5537" s="3" t="s">
        <v>117</v>
      </c>
      <c r="D5537" s="3">
        <v>1</v>
      </c>
      <c r="E5537" s="3">
        <v>0.25729999999999997</v>
      </c>
      <c r="F5537">
        <f t="shared" si="88"/>
        <v>0.25729999999999997</v>
      </c>
    </row>
    <row r="5538" spans="1:6" x14ac:dyDescent="0.2">
      <c r="A5538">
        <v>851</v>
      </c>
      <c r="B5538" s="3" t="s">
        <v>118</v>
      </c>
      <c r="C5538" s="3" t="s">
        <v>119</v>
      </c>
      <c r="D5538" s="3">
        <v>1</v>
      </c>
      <c r="E5538" s="3">
        <v>0.83</v>
      </c>
      <c r="F5538">
        <f t="shared" si="88"/>
        <v>0.83</v>
      </c>
    </row>
    <row r="5539" spans="1:6" x14ac:dyDescent="0.2">
      <c r="A5539">
        <v>851</v>
      </c>
      <c r="B5539" s="3" t="s">
        <v>120</v>
      </c>
      <c r="C5539" s="3" t="s">
        <v>117</v>
      </c>
      <c r="D5539" s="3">
        <v>6</v>
      </c>
      <c r="E5539" s="3">
        <v>1.5604</v>
      </c>
      <c r="F5539">
        <f t="shared" si="88"/>
        <v>9.3624000000000009</v>
      </c>
    </row>
    <row r="5540" spans="1:6" x14ac:dyDescent="0.2">
      <c r="A5540">
        <v>851</v>
      </c>
      <c r="B5540" s="3" t="s">
        <v>121</v>
      </c>
      <c r="C5540" s="3" t="s">
        <v>117</v>
      </c>
      <c r="D5540" s="3">
        <v>1</v>
      </c>
      <c r="E5540" s="3">
        <v>270.83730000000003</v>
      </c>
      <c r="F5540">
        <f t="shared" si="88"/>
        <v>270.83730000000003</v>
      </c>
    </row>
    <row r="5541" spans="1:6" x14ac:dyDescent="0.2">
      <c r="A5541">
        <v>851</v>
      </c>
      <c r="B5541" s="3" t="s">
        <v>122</v>
      </c>
      <c r="C5541" s="3" t="s">
        <v>76</v>
      </c>
      <c r="D5541" s="3">
        <v>6</v>
      </c>
      <c r="E5541" s="3">
        <v>14.915100000000001</v>
      </c>
      <c r="F5541">
        <f t="shared" si="88"/>
        <v>89.490600000000001</v>
      </c>
    </row>
    <row r="5542" spans="1:6" x14ac:dyDescent="0.2">
      <c r="A5542">
        <v>851</v>
      </c>
      <c r="B5542" s="3" t="s">
        <v>123</v>
      </c>
      <c r="C5542" s="3" t="s">
        <v>119</v>
      </c>
      <c r="D5542" s="3">
        <v>2</v>
      </c>
      <c r="E5542" s="3">
        <v>122.52460000000001</v>
      </c>
      <c r="F5542">
        <f t="shared" si="88"/>
        <v>245.04920000000001</v>
      </c>
    </row>
    <row r="5543" spans="1:6" x14ac:dyDescent="0.2">
      <c r="A5543">
        <v>851</v>
      </c>
      <c r="B5543" s="3" t="s">
        <v>124</v>
      </c>
      <c r="C5543" s="3" t="s">
        <v>119</v>
      </c>
      <c r="D5543" s="3">
        <v>4</v>
      </c>
      <c r="E5543" s="3">
        <v>65.877099999999999</v>
      </c>
      <c r="F5543">
        <f t="shared" si="88"/>
        <v>263.50839999999999</v>
      </c>
    </row>
    <row r="5544" spans="1:6" x14ac:dyDescent="0.2">
      <c r="A5544">
        <v>851</v>
      </c>
      <c r="B5544" s="3" t="s">
        <v>125</v>
      </c>
      <c r="C5544" s="3" t="s">
        <v>117</v>
      </c>
      <c r="D5544" s="3">
        <v>6</v>
      </c>
      <c r="E5544" s="3">
        <v>45.957099999999997</v>
      </c>
      <c r="F5544">
        <f t="shared" si="88"/>
        <v>275.74259999999998</v>
      </c>
    </row>
    <row r="5545" spans="1:6" x14ac:dyDescent="0.2">
      <c r="A5545">
        <v>851</v>
      </c>
      <c r="B5545" s="3" t="s">
        <v>126</v>
      </c>
      <c r="C5545" s="3" t="s">
        <v>127</v>
      </c>
      <c r="D5545" s="3">
        <v>6</v>
      </c>
      <c r="E5545" s="3">
        <v>411.49740000000003</v>
      </c>
      <c r="F5545">
        <f t="shared" si="88"/>
        <v>2468.9844000000003</v>
      </c>
    </row>
    <row r="5546" spans="1:6" x14ac:dyDescent="0.2">
      <c r="A5546">
        <v>851</v>
      </c>
      <c r="B5546" s="3" t="s">
        <v>129</v>
      </c>
      <c r="C5546" s="3" t="s">
        <v>130</v>
      </c>
      <c r="D5546" s="3">
        <v>1</v>
      </c>
      <c r="E5546" s="3">
        <v>6724.2780000000002</v>
      </c>
      <c r="F5546">
        <f t="shared" si="88"/>
        <v>6724.2780000000002</v>
      </c>
    </row>
    <row r="5547" spans="1:6" x14ac:dyDescent="0.2">
      <c r="A5547">
        <v>851</v>
      </c>
      <c r="B5547" s="3">
        <v>4656354</v>
      </c>
      <c r="C5547" s="3" t="s">
        <v>133</v>
      </c>
      <c r="D5547" s="3">
        <v>1</v>
      </c>
      <c r="E5547" s="3">
        <v>1168.0260000000001</v>
      </c>
      <c r="F5547">
        <f t="shared" si="88"/>
        <v>1168.0260000000001</v>
      </c>
    </row>
    <row r="5548" spans="1:6" x14ac:dyDescent="0.2">
      <c r="A5548">
        <v>851</v>
      </c>
      <c r="B5548" s="3" t="s">
        <v>110</v>
      </c>
      <c r="C5548" s="3" t="s">
        <v>111</v>
      </c>
      <c r="D5548" s="3">
        <v>3</v>
      </c>
      <c r="E5548" s="3">
        <v>119.83540000000001</v>
      </c>
      <c r="F5548">
        <f t="shared" si="88"/>
        <v>359.50620000000004</v>
      </c>
    </row>
    <row r="5549" spans="1:6" x14ac:dyDescent="0.2">
      <c r="A5549">
        <v>851</v>
      </c>
      <c r="B5549" s="3" t="s">
        <v>112</v>
      </c>
      <c r="C5549" s="3" t="s">
        <v>113</v>
      </c>
      <c r="D5549" s="3">
        <v>5</v>
      </c>
      <c r="E5549" s="3">
        <v>97.646150000000006</v>
      </c>
      <c r="F5549">
        <f t="shared" si="88"/>
        <v>488.23075000000006</v>
      </c>
    </row>
    <row r="5550" spans="1:6" x14ac:dyDescent="0.2">
      <c r="A5550">
        <v>851</v>
      </c>
      <c r="B5550" s="3" t="s">
        <v>110</v>
      </c>
      <c r="C5550" s="3" t="s">
        <v>111</v>
      </c>
      <c r="D5550" s="3">
        <v>6</v>
      </c>
      <c r="E5550" s="3">
        <v>119.83540000000001</v>
      </c>
      <c r="F5550">
        <f t="shared" ref="F5550:F5613" si="89">D5550*E5550</f>
        <v>719.01240000000007</v>
      </c>
    </row>
    <row r="5551" spans="1:6" x14ac:dyDescent="0.2">
      <c r="A5551">
        <v>851</v>
      </c>
      <c r="B5551" s="3" t="s">
        <v>112</v>
      </c>
      <c r="C5551" s="3" t="s">
        <v>113</v>
      </c>
      <c r="D5551" s="3">
        <v>6</v>
      </c>
      <c r="E5551" s="3">
        <v>97.646150000000006</v>
      </c>
      <c r="F5551">
        <f t="shared" si="89"/>
        <v>585.87689999999998</v>
      </c>
    </row>
    <row r="5552" spans="1:6" x14ac:dyDescent="0.2">
      <c r="A5552">
        <v>851</v>
      </c>
      <c r="B5552" s="3" t="s">
        <v>97</v>
      </c>
      <c r="C5552" s="3" t="s">
        <v>98</v>
      </c>
      <c r="D5552" s="3">
        <v>5</v>
      </c>
      <c r="E5552" s="3">
        <v>189.87909999999999</v>
      </c>
      <c r="F5552">
        <f t="shared" si="89"/>
        <v>949.39549999999997</v>
      </c>
    </row>
    <row r="5553" spans="1:6" x14ac:dyDescent="0.2">
      <c r="A5553">
        <v>851</v>
      </c>
      <c r="B5553" s="3" t="s">
        <v>99</v>
      </c>
      <c r="C5553" s="3" t="s">
        <v>100</v>
      </c>
      <c r="D5553" s="3">
        <v>5</v>
      </c>
      <c r="E5553" s="3">
        <v>1287.1379999999999</v>
      </c>
      <c r="F5553">
        <f t="shared" si="89"/>
        <v>6435.69</v>
      </c>
    </row>
    <row r="5554" spans="1:6" x14ac:dyDescent="0.2">
      <c r="A5554">
        <v>851</v>
      </c>
      <c r="B5554" s="3" t="s">
        <v>101</v>
      </c>
      <c r="C5554" s="3" t="s">
        <v>102</v>
      </c>
      <c r="D5554" s="3">
        <v>1</v>
      </c>
      <c r="E5554" s="3">
        <v>1363.037</v>
      </c>
      <c r="F5554">
        <f t="shared" si="89"/>
        <v>1363.037</v>
      </c>
    </row>
    <row r="5555" spans="1:6" x14ac:dyDescent="0.2">
      <c r="A5555">
        <v>851</v>
      </c>
      <c r="B5555" s="3" t="s">
        <v>103</v>
      </c>
      <c r="C5555" s="3" t="s">
        <v>104</v>
      </c>
      <c r="D5555" s="3">
        <v>1</v>
      </c>
      <c r="E5555" s="3">
        <v>423.5822</v>
      </c>
      <c r="F5555">
        <f t="shared" si="89"/>
        <v>423.5822</v>
      </c>
    </row>
    <row r="5556" spans="1:6" x14ac:dyDescent="0.2">
      <c r="A5556">
        <v>851</v>
      </c>
      <c r="B5556" s="3" t="s">
        <v>105</v>
      </c>
      <c r="C5556" s="3" t="s">
        <v>106</v>
      </c>
      <c r="D5556" s="3">
        <v>1</v>
      </c>
      <c r="E5556" s="3">
        <v>36.470199999999998</v>
      </c>
      <c r="F5556">
        <f t="shared" si="89"/>
        <v>36.470199999999998</v>
      </c>
    </row>
    <row r="5557" spans="1:6" x14ac:dyDescent="0.2">
      <c r="A5557">
        <v>851</v>
      </c>
      <c r="B5557" s="3" t="s">
        <v>107</v>
      </c>
      <c r="C5557" s="3" t="s">
        <v>108</v>
      </c>
      <c r="D5557" s="3">
        <v>1</v>
      </c>
      <c r="E5557" s="3">
        <v>61.492310000000003</v>
      </c>
      <c r="F5557">
        <f t="shared" si="89"/>
        <v>61.492310000000003</v>
      </c>
    </row>
    <row r="5558" spans="1:6" x14ac:dyDescent="0.2">
      <c r="A5558">
        <v>851</v>
      </c>
      <c r="B5558" s="3" t="s">
        <v>62</v>
      </c>
      <c r="C5558" s="3" t="s">
        <v>323</v>
      </c>
      <c r="D5558" s="3">
        <v>1</v>
      </c>
      <c r="E5558" s="3">
        <v>0.34860000000000002</v>
      </c>
      <c r="F5558">
        <f t="shared" si="89"/>
        <v>0.34860000000000002</v>
      </c>
    </row>
    <row r="5559" spans="1:6" x14ac:dyDescent="0.2">
      <c r="A5559">
        <v>851</v>
      </c>
      <c r="B5559" s="3" t="s">
        <v>324</v>
      </c>
      <c r="C5559" s="3" t="s">
        <v>273</v>
      </c>
      <c r="D5559" s="3">
        <v>1</v>
      </c>
      <c r="E5559" s="3">
        <v>0.95450000000000002</v>
      </c>
      <c r="F5559">
        <f t="shared" si="89"/>
        <v>0.95450000000000002</v>
      </c>
    </row>
    <row r="5560" spans="1:6" x14ac:dyDescent="0.2">
      <c r="A5560">
        <v>851</v>
      </c>
      <c r="B5560" s="3" t="s">
        <v>325</v>
      </c>
      <c r="C5560" s="3" t="s">
        <v>273</v>
      </c>
      <c r="D5560" s="3">
        <v>1</v>
      </c>
      <c r="E5560" s="3">
        <v>3.3692310000000001</v>
      </c>
      <c r="F5560">
        <f t="shared" si="89"/>
        <v>3.3692310000000001</v>
      </c>
    </row>
    <row r="5561" spans="1:6" x14ac:dyDescent="0.2">
      <c r="A5561">
        <v>851</v>
      </c>
      <c r="B5561" s="3" t="s">
        <v>154</v>
      </c>
      <c r="C5561" s="3" t="s">
        <v>278</v>
      </c>
      <c r="D5561" s="3">
        <v>1</v>
      </c>
      <c r="E5561" s="3">
        <v>4.3658000000000001</v>
      </c>
      <c r="F5561">
        <f t="shared" si="89"/>
        <v>4.3658000000000001</v>
      </c>
    </row>
    <row r="5562" spans="1:6" x14ac:dyDescent="0.2">
      <c r="A5562">
        <v>851</v>
      </c>
      <c r="B5562" s="3" t="s">
        <v>290</v>
      </c>
      <c r="C5562" s="3" t="s">
        <v>278</v>
      </c>
      <c r="D5562" s="3">
        <v>1</v>
      </c>
      <c r="E5562" s="3">
        <v>43.751809999999999</v>
      </c>
      <c r="F5562">
        <f t="shared" si="89"/>
        <v>43.751809999999999</v>
      </c>
    </row>
    <row r="5563" spans="1:6" x14ac:dyDescent="0.2">
      <c r="A5563">
        <v>851</v>
      </c>
      <c r="B5563" s="3" t="s">
        <v>288</v>
      </c>
      <c r="C5563" s="3" t="s">
        <v>289</v>
      </c>
      <c r="D5563" s="3">
        <v>1</v>
      </c>
      <c r="E5563" s="3">
        <v>7.340122</v>
      </c>
      <c r="F5563">
        <f t="shared" si="89"/>
        <v>7.340122</v>
      </c>
    </row>
    <row r="5564" spans="1:6" x14ac:dyDescent="0.2">
      <c r="A5564">
        <v>851</v>
      </c>
      <c r="B5564" s="3" t="s">
        <v>287</v>
      </c>
      <c r="C5564" s="3" t="s">
        <v>273</v>
      </c>
      <c r="D5564" s="3">
        <v>1</v>
      </c>
      <c r="E5564" s="3">
        <v>100.669</v>
      </c>
      <c r="F5564">
        <f t="shared" si="89"/>
        <v>100.669</v>
      </c>
    </row>
    <row r="5565" spans="1:6" x14ac:dyDescent="0.2">
      <c r="A5565">
        <v>851</v>
      </c>
      <c r="B5565" s="3" t="s">
        <v>285</v>
      </c>
      <c r="C5565" s="3" t="s">
        <v>286</v>
      </c>
      <c r="D5565" s="3">
        <v>1</v>
      </c>
      <c r="E5565" s="3">
        <v>58.189990000000002</v>
      </c>
      <c r="F5565">
        <f t="shared" si="89"/>
        <v>58.189990000000002</v>
      </c>
    </row>
    <row r="5566" spans="1:6" x14ac:dyDescent="0.2">
      <c r="A5566">
        <v>851</v>
      </c>
      <c r="B5566" s="3" t="s">
        <v>291</v>
      </c>
      <c r="C5566" s="3" t="s">
        <v>278</v>
      </c>
      <c r="D5566" s="3">
        <v>1</v>
      </c>
      <c r="E5566" s="3">
        <v>24.136399999999998</v>
      </c>
      <c r="F5566">
        <f t="shared" si="89"/>
        <v>24.136399999999998</v>
      </c>
    </row>
    <row r="5567" spans="1:6" x14ac:dyDescent="0.2">
      <c r="A5567">
        <v>851</v>
      </c>
      <c r="B5567" s="3" t="s">
        <v>277</v>
      </c>
      <c r="C5567" s="3" t="s">
        <v>278</v>
      </c>
      <c r="D5567" s="3">
        <v>1</v>
      </c>
      <c r="E5567" s="3">
        <v>41.026589999999999</v>
      </c>
      <c r="F5567">
        <f t="shared" si="89"/>
        <v>41.026589999999999</v>
      </c>
    </row>
    <row r="5568" spans="1:6" x14ac:dyDescent="0.2">
      <c r="A5568">
        <v>851</v>
      </c>
      <c r="B5568" s="3" t="s">
        <v>326</v>
      </c>
      <c r="C5568" s="3" t="s">
        <v>278</v>
      </c>
      <c r="D5568" s="3">
        <v>1</v>
      </c>
      <c r="E5568" s="3">
        <v>3.9745979999999999</v>
      </c>
      <c r="F5568">
        <f t="shared" si="89"/>
        <v>3.9745979999999999</v>
      </c>
    </row>
    <row r="5569" spans="1:6" x14ac:dyDescent="0.2">
      <c r="A5569">
        <v>851</v>
      </c>
      <c r="B5569" s="3" t="s">
        <v>274</v>
      </c>
      <c r="C5569" s="3" t="s">
        <v>273</v>
      </c>
      <c r="D5569" s="3">
        <v>1</v>
      </c>
      <c r="E5569" s="3">
        <v>149.23089999999999</v>
      </c>
      <c r="F5569">
        <f t="shared" si="89"/>
        <v>149.23089999999999</v>
      </c>
    </row>
    <row r="5570" spans="1:6" x14ac:dyDescent="0.2">
      <c r="A5570">
        <v>851</v>
      </c>
      <c r="B5570" s="3" t="s">
        <v>327</v>
      </c>
      <c r="C5570" s="3" t="s">
        <v>309</v>
      </c>
      <c r="D5570" s="3">
        <v>1</v>
      </c>
      <c r="E5570" s="3">
        <v>1532.5239999999999</v>
      </c>
      <c r="F5570">
        <f t="shared" si="89"/>
        <v>1532.5239999999999</v>
      </c>
    </row>
    <row r="5571" spans="1:6" x14ac:dyDescent="0.2">
      <c r="A5571">
        <v>851</v>
      </c>
      <c r="B5571" s="3" t="s">
        <v>328</v>
      </c>
      <c r="C5571" s="3" t="s">
        <v>329</v>
      </c>
      <c r="D5571" s="3">
        <v>1</v>
      </c>
      <c r="E5571" s="3">
        <v>155.62309999999999</v>
      </c>
      <c r="F5571">
        <f t="shared" si="89"/>
        <v>155.62309999999999</v>
      </c>
    </row>
    <row r="5572" spans="1:6" x14ac:dyDescent="0.2">
      <c r="A5572">
        <v>851</v>
      </c>
      <c r="B5572" s="3" t="s">
        <v>330</v>
      </c>
      <c r="C5572" s="3" t="s">
        <v>331</v>
      </c>
      <c r="D5572" s="3">
        <v>1</v>
      </c>
      <c r="E5572" s="3">
        <v>710.44619999999998</v>
      </c>
      <c r="F5572">
        <f t="shared" si="89"/>
        <v>710.44619999999998</v>
      </c>
    </row>
    <row r="5573" spans="1:6" x14ac:dyDescent="0.2">
      <c r="A5573">
        <v>851</v>
      </c>
      <c r="B5573" s="3" t="s">
        <v>332</v>
      </c>
      <c r="C5573" s="3" t="s">
        <v>333</v>
      </c>
      <c r="D5573" s="3">
        <v>1</v>
      </c>
      <c r="E5573" s="3">
        <v>167.5538</v>
      </c>
      <c r="F5573">
        <f t="shared" si="89"/>
        <v>167.5538</v>
      </c>
    </row>
    <row r="5574" spans="1:6" x14ac:dyDescent="0.2">
      <c r="A5574">
        <v>851</v>
      </c>
      <c r="B5574" s="3" t="s">
        <v>272</v>
      </c>
      <c r="C5574" s="3" t="s">
        <v>273</v>
      </c>
      <c r="D5574" s="3">
        <v>1</v>
      </c>
      <c r="E5574" s="3">
        <v>170.1112</v>
      </c>
      <c r="F5574">
        <f t="shared" si="89"/>
        <v>170.1112</v>
      </c>
    </row>
    <row r="5575" spans="1:6" x14ac:dyDescent="0.2">
      <c r="A5575">
        <v>851</v>
      </c>
      <c r="B5575" s="3" t="s">
        <v>275</v>
      </c>
      <c r="C5575" s="3" t="s">
        <v>276</v>
      </c>
      <c r="D5575" s="3">
        <v>1</v>
      </c>
      <c r="E5575" s="3">
        <v>9.081448</v>
      </c>
      <c r="F5575">
        <f t="shared" si="89"/>
        <v>9.081448</v>
      </c>
    </row>
    <row r="5576" spans="1:6" x14ac:dyDescent="0.2">
      <c r="A5576">
        <v>851</v>
      </c>
      <c r="B5576" s="3" t="s">
        <v>334</v>
      </c>
      <c r="C5576" s="3" t="s">
        <v>329</v>
      </c>
      <c r="D5576" s="3">
        <v>1</v>
      </c>
      <c r="E5576" s="3">
        <v>149.0308</v>
      </c>
      <c r="F5576">
        <f t="shared" si="89"/>
        <v>149.0308</v>
      </c>
    </row>
    <row r="5577" spans="1:6" x14ac:dyDescent="0.2">
      <c r="A5577">
        <v>851</v>
      </c>
      <c r="B5577" s="3" t="s">
        <v>335</v>
      </c>
      <c r="C5577" s="3" t="s">
        <v>331</v>
      </c>
      <c r="D5577" s="3">
        <v>1</v>
      </c>
      <c r="E5577" s="3">
        <v>703.1</v>
      </c>
      <c r="F5577">
        <f t="shared" si="89"/>
        <v>703.1</v>
      </c>
    </row>
    <row r="5578" spans="1:6" x14ac:dyDescent="0.2">
      <c r="A5578">
        <v>851</v>
      </c>
      <c r="B5578" s="3" t="s">
        <v>336</v>
      </c>
      <c r="C5578" s="3" t="s">
        <v>333</v>
      </c>
      <c r="D5578" s="3">
        <v>1</v>
      </c>
      <c r="E5578" s="3">
        <v>288.42309999999998</v>
      </c>
      <c r="F5578">
        <f t="shared" si="89"/>
        <v>288.42309999999998</v>
      </c>
    </row>
    <row r="5579" spans="1:6" x14ac:dyDescent="0.2">
      <c r="A5579">
        <v>851</v>
      </c>
      <c r="B5579" s="3" t="s">
        <v>337</v>
      </c>
      <c r="C5579" s="3" t="s">
        <v>297</v>
      </c>
      <c r="D5579" s="3">
        <v>1</v>
      </c>
      <c r="E5579" s="3">
        <v>11.761100000000001</v>
      </c>
      <c r="F5579">
        <f t="shared" si="89"/>
        <v>11.761100000000001</v>
      </c>
    </row>
    <row r="5580" spans="1:6" x14ac:dyDescent="0.2">
      <c r="A5580">
        <v>851</v>
      </c>
      <c r="B5580" s="3" t="s">
        <v>338</v>
      </c>
      <c r="C5580" s="3" t="s">
        <v>297</v>
      </c>
      <c r="D5580" s="3">
        <v>1</v>
      </c>
      <c r="E5580" s="3">
        <v>11.712960000000001</v>
      </c>
      <c r="F5580">
        <f t="shared" si="89"/>
        <v>11.712960000000001</v>
      </c>
    </row>
    <row r="5581" spans="1:6" x14ac:dyDescent="0.2">
      <c r="A5581">
        <v>851</v>
      </c>
      <c r="B5581" s="3" t="s">
        <v>339</v>
      </c>
      <c r="C5581" s="3" t="s">
        <v>297</v>
      </c>
      <c r="D5581" s="3">
        <v>1</v>
      </c>
      <c r="E5581" s="3">
        <v>20.279039999999998</v>
      </c>
      <c r="F5581">
        <f t="shared" si="89"/>
        <v>20.279039999999998</v>
      </c>
    </row>
    <row r="5582" spans="1:6" x14ac:dyDescent="0.2">
      <c r="A5582">
        <v>851</v>
      </c>
      <c r="B5582" s="3" t="s">
        <v>340</v>
      </c>
      <c r="C5582" s="3" t="s">
        <v>309</v>
      </c>
      <c r="D5582" s="3">
        <v>1</v>
      </c>
      <c r="E5582" s="3">
        <v>1536.3340000000001</v>
      </c>
      <c r="F5582">
        <f t="shared" si="89"/>
        <v>1536.3340000000001</v>
      </c>
    </row>
    <row r="5583" spans="1:6" x14ac:dyDescent="0.2">
      <c r="A5583">
        <v>851</v>
      </c>
      <c r="B5583" s="3" t="s">
        <v>341</v>
      </c>
      <c r="C5583" s="3" t="s">
        <v>342</v>
      </c>
      <c r="D5583" s="3">
        <v>1</v>
      </c>
      <c r="E5583" s="3">
        <v>307.22449999999998</v>
      </c>
      <c r="F5583">
        <f t="shared" si="89"/>
        <v>307.22449999999998</v>
      </c>
    </row>
    <row r="5584" spans="1:6" x14ac:dyDescent="0.2">
      <c r="A5584">
        <v>851</v>
      </c>
      <c r="B5584" s="3" t="s">
        <v>284</v>
      </c>
      <c r="C5584" s="3" t="s">
        <v>273</v>
      </c>
      <c r="D5584" s="3">
        <v>1</v>
      </c>
      <c r="E5584" s="3">
        <v>15.547000000000001</v>
      </c>
      <c r="F5584">
        <f t="shared" si="89"/>
        <v>15.547000000000001</v>
      </c>
    </row>
    <row r="5585" spans="1:6" x14ac:dyDescent="0.2">
      <c r="A5585">
        <v>851</v>
      </c>
      <c r="B5585" s="3" t="s">
        <v>283</v>
      </c>
      <c r="C5585" s="3" t="s">
        <v>278</v>
      </c>
      <c r="D5585" s="3">
        <v>1</v>
      </c>
      <c r="E5585" s="3">
        <v>101.76220000000001</v>
      </c>
      <c r="F5585">
        <f t="shared" si="89"/>
        <v>101.76220000000001</v>
      </c>
    </row>
    <row r="5586" spans="1:6" x14ac:dyDescent="0.2">
      <c r="A5586">
        <v>851</v>
      </c>
      <c r="B5586" s="3" t="s">
        <v>281</v>
      </c>
      <c r="C5586" s="3" t="s">
        <v>282</v>
      </c>
      <c r="D5586" s="3">
        <v>1</v>
      </c>
      <c r="E5586" s="3">
        <v>43.369190000000003</v>
      </c>
      <c r="F5586">
        <f t="shared" si="89"/>
        <v>43.369190000000003</v>
      </c>
    </row>
    <row r="5587" spans="1:6" x14ac:dyDescent="0.2">
      <c r="A5587">
        <v>851</v>
      </c>
      <c r="B5587" s="3" t="s">
        <v>279</v>
      </c>
      <c r="C5587" s="3" t="s">
        <v>280</v>
      </c>
      <c r="D5587" s="3">
        <v>1</v>
      </c>
      <c r="E5587" s="3">
        <v>36.786499999999997</v>
      </c>
      <c r="F5587">
        <f t="shared" si="89"/>
        <v>36.786499999999997</v>
      </c>
    </row>
    <row r="5588" spans="1:6" x14ac:dyDescent="0.2">
      <c r="A5588">
        <v>851</v>
      </c>
      <c r="B5588" s="3" t="s">
        <v>343</v>
      </c>
      <c r="C5588" s="3" t="s">
        <v>282</v>
      </c>
      <c r="D5588" s="3">
        <v>1</v>
      </c>
      <c r="E5588" s="3">
        <v>16.807500000000001</v>
      </c>
      <c r="F5588">
        <f t="shared" si="89"/>
        <v>16.807500000000001</v>
      </c>
    </row>
    <row r="5589" spans="1:6" x14ac:dyDescent="0.2">
      <c r="A5589">
        <v>851</v>
      </c>
      <c r="B5589" s="3" t="s">
        <v>344</v>
      </c>
      <c r="C5589" s="3" t="s">
        <v>282</v>
      </c>
      <c r="D5589" s="3">
        <v>1</v>
      </c>
      <c r="E5589" s="3">
        <v>12.76713</v>
      </c>
      <c r="F5589">
        <f t="shared" si="89"/>
        <v>12.76713</v>
      </c>
    </row>
    <row r="5590" spans="1:6" x14ac:dyDescent="0.2">
      <c r="A5590">
        <v>851</v>
      </c>
      <c r="B5590" s="3" t="s">
        <v>270</v>
      </c>
      <c r="C5590" s="3" t="s">
        <v>271</v>
      </c>
      <c r="D5590" s="3">
        <v>1</v>
      </c>
      <c r="E5590" s="3">
        <v>3027.0970000000002</v>
      </c>
      <c r="F5590">
        <f t="shared" si="89"/>
        <v>3027.0970000000002</v>
      </c>
    </row>
    <row r="5591" spans="1:6" x14ac:dyDescent="0.2">
      <c r="A5591">
        <v>851</v>
      </c>
      <c r="B5591" s="3" t="s">
        <v>272</v>
      </c>
      <c r="C5591" s="3" t="s">
        <v>273</v>
      </c>
      <c r="D5591" s="3">
        <v>1</v>
      </c>
      <c r="E5591" s="3">
        <v>170.1112</v>
      </c>
      <c r="F5591">
        <f t="shared" si="89"/>
        <v>170.1112</v>
      </c>
    </row>
    <row r="5592" spans="1:6" x14ac:dyDescent="0.2">
      <c r="A5592">
        <v>851</v>
      </c>
      <c r="B5592" s="3" t="s">
        <v>274</v>
      </c>
      <c r="C5592" s="3" t="s">
        <v>273</v>
      </c>
      <c r="D5592" s="3">
        <v>1</v>
      </c>
      <c r="E5592" s="3">
        <v>149.23089999999999</v>
      </c>
      <c r="F5592">
        <f t="shared" si="89"/>
        <v>149.23089999999999</v>
      </c>
    </row>
    <row r="5593" spans="1:6" x14ac:dyDescent="0.2">
      <c r="A5593">
        <v>851</v>
      </c>
      <c r="B5593" s="3" t="s">
        <v>275</v>
      </c>
      <c r="C5593" s="3" t="s">
        <v>276</v>
      </c>
      <c r="D5593" s="3">
        <v>2</v>
      </c>
      <c r="E5593" s="3">
        <v>9.081448</v>
      </c>
      <c r="F5593">
        <f t="shared" si="89"/>
        <v>18.162896</v>
      </c>
    </row>
    <row r="5594" spans="1:6" x14ac:dyDescent="0.2">
      <c r="A5594">
        <v>851</v>
      </c>
      <c r="B5594" s="3" t="s">
        <v>277</v>
      </c>
      <c r="C5594" s="3" t="s">
        <v>278</v>
      </c>
      <c r="D5594" s="3">
        <v>5</v>
      </c>
      <c r="E5594" s="3">
        <v>41.026589999999999</v>
      </c>
      <c r="F5594">
        <f t="shared" si="89"/>
        <v>205.13294999999999</v>
      </c>
    </row>
    <row r="5595" spans="1:6" x14ac:dyDescent="0.2">
      <c r="A5595">
        <v>851</v>
      </c>
      <c r="B5595" s="3" t="s">
        <v>279</v>
      </c>
      <c r="C5595" s="3" t="s">
        <v>280</v>
      </c>
      <c r="D5595" s="3">
        <v>1</v>
      </c>
      <c r="E5595" s="3">
        <v>36.786499999999997</v>
      </c>
      <c r="F5595">
        <f t="shared" si="89"/>
        <v>36.786499999999997</v>
      </c>
    </row>
    <row r="5596" spans="1:6" x14ac:dyDescent="0.2">
      <c r="A5596">
        <v>851</v>
      </c>
      <c r="B5596" s="3" t="s">
        <v>281</v>
      </c>
      <c r="C5596" s="3" t="s">
        <v>282</v>
      </c>
      <c r="D5596" s="3">
        <v>1</v>
      </c>
      <c r="E5596" s="3">
        <v>43.369190000000003</v>
      </c>
      <c r="F5596">
        <f t="shared" si="89"/>
        <v>43.369190000000003</v>
      </c>
    </row>
    <row r="5597" spans="1:6" x14ac:dyDescent="0.2">
      <c r="A5597">
        <v>851</v>
      </c>
      <c r="B5597" s="3" t="s">
        <v>283</v>
      </c>
      <c r="C5597" s="3" t="s">
        <v>278</v>
      </c>
      <c r="D5597" s="3">
        <v>3</v>
      </c>
      <c r="E5597" s="3">
        <v>101.76220000000001</v>
      </c>
      <c r="F5597">
        <f t="shared" si="89"/>
        <v>305.28660000000002</v>
      </c>
    </row>
    <row r="5598" spans="1:6" x14ac:dyDescent="0.2">
      <c r="A5598">
        <v>851</v>
      </c>
      <c r="B5598" s="3" t="s">
        <v>284</v>
      </c>
      <c r="C5598" s="3" t="s">
        <v>273</v>
      </c>
      <c r="D5598" s="3">
        <v>1</v>
      </c>
      <c r="E5598" s="3">
        <v>15.547000000000001</v>
      </c>
      <c r="F5598">
        <f t="shared" si="89"/>
        <v>15.547000000000001</v>
      </c>
    </row>
    <row r="5599" spans="1:6" x14ac:dyDescent="0.2">
      <c r="A5599">
        <v>851</v>
      </c>
      <c r="B5599" s="3" t="s">
        <v>285</v>
      </c>
      <c r="C5599" s="3" t="s">
        <v>286</v>
      </c>
      <c r="D5599" s="3">
        <v>2</v>
      </c>
      <c r="E5599" s="3">
        <v>58.189990000000002</v>
      </c>
      <c r="F5599">
        <f t="shared" si="89"/>
        <v>116.37998</v>
      </c>
    </row>
    <row r="5600" spans="1:6" x14ac:dyDescent="0.2">
      <c r="A5600">
        <v>851</v>
      </c>
      <c r="B5600" s="3" t="s">
        <v>287</v>
      </c>
      <c r="C5600" s="3" t="s">
        <v>273</v>
      </c>
      <c r="D5600" s="3">
        <v>2</v>
      </c>
      <c r="E5600" s="3">
        <v>100.669</v>
      </c>
      <c r="F5600">
        <f t="shared" si="89"/>
        <v>201.33799999999999</v>
      </c>
    </row>
    <row r="5601" spans="1:6" x14ac:dyDescent="0.2">
      <c r="A5601">
        <v>851</v>
      </c>
      <c r="B5601" s="3" t="s">
        <v>288</v>
      </c>
      <c r="C5601" s="3" t="s">
        <v>289</v>
      </c>
      <c r="D5601" s="3">
        <v>2</v>
      </c>
      <c r="E5601" s="3">
        <v>7.340122</v>
      </c>
      <c r="F5601">
        <f t="shared" si="89"/>
        <v>14.680244</v>
      </c>
    </row>
    <row r="5602" spans="1:6" x14ac:dyDescent="0.2">
      <c r="A5602">
        <v>851</v>
      </c>
      <c r="B5602" s="3" t="s">
        <v>290</v>
      </c>
      <c r="C5602" s="3" t="s">
        <v>278</v>
      </c>
      <c r="D5602" s="3">
        <v>4</v>
      </c>
      <c r="E5602" s="3">
        <v>43.751809999999999</v>
      </c>
      <c r="F5602">
        <f t="shared" si="89"/>
        <v>175.00724</v>
      </c>
    </row>
    <row r="5603" spans="1:6" x14ac:dyDescent="0.2">
      <c r="A5603">
        <v>851</v>
      </c>
      <c r="B5603" s="3" t="s">
        <v>277</v>
      </c>
      <c r="C5603" s="3" t="s">
        <v>278</v>
      </c>
      <c r="D5603" s="3">
        <v>5</v>
      </c>
      <c r="E5603" s="3">
        <v>41.026589999999999</v>
      </c>
      <c r="F5603">
        <f t="shared" si="89"/>
        <v>205.13294999999999</v>
      </c>
    </row>
    <row r="5604" spans="1:6" x14ac:dyDescent="0.2">
      <c r="A5604">
        <v>851</v>
      </c>
      <c r="B5604" s="3" t="s">
        <v>291</v>
      </c>
      <c r="C5604" s="3" t="s">
        <v>278</v>
      </c>
      <c r="D5604" s="3">
        <v>5</v>
      </c>
      <c r="E5604" s="3">
        <v>24.136399999999998</v>
      </c>
      <c r="F5604">
        <f t="shared" si="89"/>
        <v>120.68199999999999</v>
      </c>
    </row>
    <row r="5605" spans="1:6" x14ac:dyDescent="0.2">
      <c r="A5605">
        <v>851</v>
      </c>
      <c r="B5605" s="3" t="s">
        <v>292</v>
      </c>
      <c r="C5605" s="3" t="s">
        <v>293</v>
      </c>
      <c r="D5605" s="3">
        <v>2</v>
      </c>
      <c r="E5605" s="3">
        <v>96.852699999999999</v>
      </c>
      <c r="F5605">
        <f t="shared" si="89"/>
        <v>193.7054</v>
      </c>
    </row>
    <row r="5606" spans="1:6" x14ac:dyDescent="0.2">
      <c r="A5606">
        <v>851</v>
      </c>
      <c r="B5606" s="3" t="s">
        <v>294</v>
      </c>
      <c r="C5606" s="3" t="s">
        <v>278</v>
      </c>
      <c r="D5606" s="3">
        <v>108</v>
      </c>
      <c r="E5606" s="3">
        <v>26.221409999999999</v>
      </c>
      <c r="F5606">
        <f t="shared" si="89"/>
        <v>2831.91228</v>
      </c>
    </row>
    <row r="5607" spans="1:6" x14ac:dyDescent="0.2">
      <c r="A5607">
        <v>851</v>
      </c>
      <c r="B5607" s="3" t="s">
        <v>295</v>
      </c>
      <c r="C5607" s="3" t="s">
        <v>273</v>
      </c>
      <c r="D5607" s="3">
        <v>108</v>
      </c>
      <c r="E5607" s="3">
        <v>54.88693</v>
      </c>
      <c r="F5607">
        <f t="shared" si="89"/>
        <v>5927.7884400000003</v>
      </c>
    </row>
    <row r="5608" spans="1:6" x14ac:dyDescent="0.2">
      <c r="A5608">
        <v>851</v>
      </c>
      <c r="B5608" s="3" t="s">
        <v>296</v>
      </c>
      <c r="C5608" s="3" t="s">
        <v>297</v>
      </c>
      <c r="D5608" s="3">
        <v>13</v>
      </c>
      <c r="E5608" s="3">
        <v>5.5029000000000003</v>
      </c>
      <c r="F5608">
        <f t="shared" si="89"/>
        <v>71.537700000000001</v>
      </c>
    </row>
    <row r="5609" spans="1:6" x14ac:dyDescent="0.2">
      <c r="A5609">
        <v>851</v>
      </c>
      <c r="B5609" s="3" t="s">
        <v>298</v>
      </c>
      <c r="C5609" s="3" t="s">
        <v>297</v>
      </c>
      <c r="D5609" s="3">
        <v>26</v>
      </c>
      <c r="E5609" s="3">
        <v>5.9344999999999999</v>
      </c>
      <c r="F5609">
        <f t="shared" si="89"/>
        <v>154.297</v>
      </c>
    </row>
    <row r="5610" spans="1:6" x14ac:dyDescent="0.2">
      <c r="A5610">
        <v>851</v>
      </c>
      <c r="B5610" s="3" t="s">
        <v>299</v>
      </c>
      <c r="C5610" s="3" t="s">
        <v>297</v>
      </c>
      <c r="D5610" s="3">
        <v>13</v>
      </c>
      <c r="E5610" s="3">
        <v>4.3574999999999999</v>
      </c>
      <c r="F5610">
        <f t="shared" si="89"/>
        <v>56.647500000000001</v>
      </c>
    </row>
    <row r="5611" spans="1:6" x14ac:dyDescent="0.2">
      <c r="A5611">
        <v>851</v>
      </c>
      <c r="B5611" s="3" t="s">
        <v>122</v>
      </c>
      <c r="C5611" s="3" t="s">
        <v>276</v>
      </c>
      <c r="D5611" s="3">
        <v>12</v>
      </c>
      <c r="E5611" s="3">
        <v>14.915100000000001</v>
      </c>
      <c r="F5611">
        <f t="shared" si="89"/>
        <v>178.9812</v>
      </c>
    </row>
    <row r="5612" spans="1:6" x14ac:dyDescent="0.2">
      <c r="A5612">
        <v>851</v>
      </c>
      <c r="B5612" s="3" t="s">
        <v>120</v>
      </c>
      <c r="C5612" s="3" t="s">
        <v>278</v>
      </c>
      <c r="D5612" s="3">
        <v>25</v>
      </c>
      <c r="E5612" s="3">
        <v>1.5604</v>
      </c>
      <c r="F5612">
        <f t="shared" si="89"/>
        <v>39.01</v>
      </c>
    </row>
    <row r="5613" spans="1:6" x14ac:dyDescent="0.2">
      <c r="A5613">
        <v>851</v>
      </c>
      <c r="B5613" s="3" t="s">
        <v>300</v>
      </c>
      <c r="C5613" s="3" t="s">
        <v>273</v>
      </c>
      <c r="D5613" s="3">
        <v>12</v>
      </c>
      <c r="E5613" s="3">
        <v>60.59</v>
      </c>
      <c r="F5613">
        <f t="shared" si="89"/>
        <v>727.08</v>
      </c>
    </row>
    <row r="5614" spans="1:6" x14ac:dyDescent="0.2">
      <c r="A5614">
        <v>851</v>
      </c>
      <c r="B5614" s="3" t="s">
        <v>301</v>
      </c>
      <c r="C5614" s="3" t="s">
        <v>302</v>
      </c>
      <c r="D5614" s="3">
        <v>2</v>
      </c>
      <c r="E5614" s="3">
        <v>104.8857</v>
      </c>
      <c r="F5614">
        <f t="shared" ref="F5614:F5677" si="90">D5614*E5614</f>
        <v>209.7714</v>
      </c>
    </row>
    <row r="5615" spans="1:6" x14ac:dyDescent="0.2">
      <c r="A5615">
        <v>851</v>
      </c>
      <c r="B5615" s="3" t="s">
        <v>303</v>
      </c>
      <c r="C5615" s="3" t="s">
        <v>304</v>
      </c>
      <c r="D5615" s="3">
        <v>2</v>
      </c>
      <c r="E5615" s="3">
        <v>683.94489999999996</v>
      </c>
      <c r="F5615">
        <f t="shared" si="90"/>
        <v>1367.8897999999999</v>
      </c>
    </row>
    <row r="5616" spans="1:6" x14ac:dyDescent="0.2">
      <c r="A5616">
        <v>851</v>
      </c>
      <c r="B5616" s="3" t="s">
        <v>305</v>
      </c>
      <c r="C5616" s="3" t="s">
        <v>273</v>
      </c>
      <c r="D5616" s="3">
        <v>2</v>
      </c>
      <c r="E5616" s="3">
        <v>71.189099999999996</v>
      </c>
      <c r="F5616">
        <f t="shared" si="90"/>
        <v>142.37819999999999</v>
      </c>
    </row>
    <row r="5617" spans="1:6" x14ac:dyDescent="0.2">
      <c r="A5617">
        <v>851</v>
      </c>
      <c r="B5617" s="3" t="s">
        <v>294</v>
      </c>
      <c r="C5617" s="3" t="s">
        <v>278</v>
      </c>
      <c r="D5617" s="3">
        <v>8</v>
      </c>
      <c r="E5617" s="3">
        <v>26.221409999999999</v>
      </c>
      <c r="F5617">
        <f t="shared" si="90"/>
        <v>209.77127999999999</v>
      </c>
    </row>
    <row r="5618" spans="1:6" x14ac:dyDescent="0.2">
      <c r="A5618">
        <v>851</v>
      </c>
      <c r="B5618" s="3" t="s">
        <v>306</v>
      </c>
      <c r="C5618" s="3" t="s">
        <v>273</v>
      </c>
      <c r="D5618" s="3">
        <v>8</v>
      </c>
      <c r="E5618" s="3">
        <v>99.575779999999995</v>
      </c>
      <c r="F5618">
        <f t="shared" si="90"/>
        <v>796.60623999999996</v>
      </c>
    </row>
    <row r="5619" spans="1:6" x14ac:dyDescent="0.2">
      <c r="A5619">
        <v>851</v>
      </c>
      <c r="B5619" s="3" t="s">
        <v>294</v>
      </c>
      <c r="C5619" s="3" t="s">
        <v>278</v>
      </c>
      <c r="D5619" s="3">
        <v>8</v>
      </c>
      <c r="E5619" s="3">
        <v>26.221409999999999</v>
      </c>
      <c r="F5619">
        <f t="shared" si="90"/>
        <v>209.77127999999999</v>
      </c>
    </row>
    <row r="5620" spans="1:6" x14ac:dyDescent="0.2">
      <c r="A5620">
        <v>851</v>
      </c>
      <c r="B5620" s="3" t="s">
        <v>306</v>
      </c>
      <c r="C5620" s="3" t="s">
        <v>273</v>
      </c>
      <c r="D5620" s="3">
        <v>8</v>
      </c>
      <c r="E5620" s="3">
        <v>99.575779999999995</v>
      </c>
      <c r="F5620">
        <f t="shared" si="90"/>
        <v>796.60623999999996</v>
      </c>
    </row>
    <row r="5621" spans="1:6" x14ac:dyDescent="0.2">
      <c r="A5621">
        <v>851</v>
      </c>
      <c r="B5621" s="3" t="s">
        <v>308</v>
      </c>
      <c r="C5621" s="3" t="s">
        <v>309</v>
      </c>
      <c r="D5621" s="3">
        <v>1</v>
      </c>
      <c r="E5621" s="3">
        <v>167.62309999999999</v>
      </c>
      <c r="F5621">
        <f t="shared" si="90"/>
        <v>167.62309999999999</v>
      </c>
    </row>
    <row r="5622" spans="1:6" x14ac:dyDescent="0.2">
      <c r="A5622">
        <v>851</v>
      </c>
      <c r="B5622" s="3" t="s">
        <v>310</v>
      </c>
      <c r="C5622" s="3" t="s">
        <v>273</v>
      </c>
      <c r="D5622" s="3">
        <v>1</v>
      </c>
      <c r="E5622" s="3">
        <v>0.33200000000000002</v>
      </c>
      <c r="F5622">
        <f t="shared" si="90"/>
        <v>0.33200000000000002</v>
      </c>
    </row>
    <row r="5623" spans="1:6" x14ac:dyDescent="0.2">
      <c r="A5623">
        <v>851</v>
      </c>
      <c r="B5623" s="3" t="s">
        <v>197</v>
      </c>
      <c r="C5623" s="3" t="s">
        <v>278</v>
      </c>
      <c r="D5623" s="3">
        <v>8</v>
      </c>
      <c r="E5623" s="3">
        <v>7.4700000000000003E-2</v>
      </c>
      <c r="F5623">
        <f t="shared" si="90"/>
        <v>0.59760000000000002</v>
      </c>
    </row>
    <row r="5624" spans="1:6" x14ac:dyDescent="0.2">
      <c r="A5624">
        <v>851</v>
      </c>
      <c r="B5624" s="3" t="s">
        <v>311</v>
      </c>
      <c r="C5624" s="3" t="s">
        <v>273</v>
      </c>
      <c r="D5624" s="3">
        <v>52</v>
      </c>
      <c r="E5624" s="3">
        <v>1.5935999999999999</v>
      </c>
      <c r="F5624">
        <f t="shared" si="90"/>
        <v>82.867199999999997</v>
      </c>
    </row>
    <row r="5625" spans="1:6" x14ac:dyDescent="0.2">
      <c r="A5625">
        <v>851</v>
      </c>
      <c r="B5625" s="3" t="s">
        <v>312</v>
      </c>
      <c r="C5625" s="3" t="s">
        <v>278</v>
      </c>
      <c r="D5625" s="3">
        <v>3</v>
      </c>
      <c r="E5625" s="3">
        <v>21.040500000000002</v>
      </c>
      <c r="F5625">
        <f t="shared" si="90"/>
        <v>63.121500000000005</v>
      </c>
    </row>
    <row r="5626" spans="1:6" x14ac:dyDescent="0.2">
      <c r="A5626">
        <v>851</v>
      </c>
      <c r="B5626" s="3" t="s">
        <v>75</v>
      </c>
      <c r="C5626" s="3" t="s">
        <v>313</v>
      </c>
      <c r="D5626" s="3">
        <v>3</v>
      </c>
      <c r="E5626" s="3">
        <v>0.115385</v>
      </c>
      <c r="F5626">
        <f t="shared" si="90"/>
        <v>0.34615499999999999</v>
      </c>
    </row>
    <row r="5627" spans="1:6" x14ac:dyDescent="0.2">
      <c r="A5627">
        <v>851</v>
      </c>
      <c r="B5627" s="3" t="s">
        <v>314</v>
      </c>
      <c r="C5627" s="3" t="s">
        <v>273</v>
      </c>
      <c r="D5627" s="3">
        <v>36</v>
      </c>
      <c r="E5627" s="3">
        <v>0.45650000000000002</v>
      </c>
      <c r="F5627">
        <f t="shared" si="90"/>
        <v>16.434000000000001</v>
      </c>
    </row>
    <row r="5628" spans="1:6" x14ac:dyDescent="0.2">
      <c r="A5628">
        <v>851</v>
      </c>
      <c r="B5628" s="3" t="s">
        <v>314</v>
      </c>
      <c r="C5628" s="3" t="s">
        <v>315</v>
      </c>
      <c r="D5628" s="3">
        <v>12</v>
      </c>
      <c r="E5628" s="3">
        <v>0.45650000000000002</v>
      </c>
      <c r="F5628">
        <f t="shared" si="90"/>
        <v>5.4779999999999998</v>
      </c>
    </row>
    <row r="5629" spans="1:6" x14ac:dyDescent="0.2">
      <c r="A5629">
        <v>851</v>
      </c>
      <c r="B5629" s="3" t="s">
        <v>316</v>
      </c>
      <c r="C5629" s="3" t="s">
        <v>317</v>
      </c>
      <c r="D5629" s="3">
        <v>1</v>
      </c>
      <c r="E5629" s="3">
        <v>92.206620000000001</v>
      </c>
      <c r="F5629">
        <f t="shared" si="90"/>
        <v>92.206620000000001</v>
      </c>
    </row>
    <row r="5630" spans="1:6" x14ac:dyDescent="0.2">
      <c r="A5630">
        <v>851</v>
      </c>
      <c r="B5630" s="3" t="s">
        <v>318</v>
      </c>
      <c r="C5630" s="3" t="s">
        <v>319</v>
      </c>
      <c r="D5630" s="3">
        <v>2</v>
      </c>
      <c r="E5630" s="3">
        <v>85.453850000000003</v>
      </c>
      <c r="F5630">
        <f t="shared" si="90"/>
        <v>170.90770000000001</v>
      </c>
    </row>
    <row r="5631" spans="1:6" x14ac:dyDescent="0.2">
      <c r="A5631">
        <v>851</v>
      </c>
      <c r="B5631" s="3" t="s">
        <v>320</v>
      </c>
      <c r="C5631" s="3" t="s">
        <v>321</v>
      </c>
      <c r="D5631" s="3">
        <v>1</v>
      </c>
      <c r="E5631" s="3">
        <v>92.206620000000001</v>
      </c>
      <c r="F5631">
        <f t="shared" si="90"/>
        <v>92.206620000000001</v>
      </c>
    </row>
    <row r="5632" spans="1:6" x14ac:dyDescent="0.2">
      <c r="A5632">
        <v>851</v>
      </c>
      <c r="B5632" s="3" t="s">
        <v>267</v>
      </c>
      <c r="C5632" s="3" t="s">
        <v>268</v>
      </c>
      <c r="D5632" s="3">
        <v>1</v>
      </c>
      <c r="E5632" s="3">
        <v>84863.13</v>
      </c>
      <c r="F5632">
        <f t="shared" si="90"/>
        <v>84863.13</v>
      </c>
    </row>
    <row r="5633" spans="1:6" x14ac:dyDescent="0.2">
      <c r="A5633">
        <v>851</v>
      </c>
      <c r="B5633" s="3" t="s">
        <v>260</v>
      </c>
      <c r="C5633" s="3" t="s">
        <v>261</v>
      </c>
      <c r="D5633" s="3">
        <v>1</v>
      </c>
      <c r="E5633" s="3">
        <v>2908.2939999999999</v>
      </c>
      <c r="F5633">
        <f t="shared" si="90"/>
        <v>2908.2939999999999</v>
      </c>
    </row>
    <row r="5634" spans="1:6" x14ac:dyDescent="0.2">
      <c r="A5634">
        <v>851</v>
      </c>
      <c r="B5634" s="3" t="s">
        <v>262</v>
      </c>
      <c r="C5634" s="3" t="s">
        <v>263</v>
      </c>
      <c r="D5634" s="3">
        <v>1</v>
      </c>
      <c r="E5634" s="3">
        <v>3207.1970000000001</v>
      </c>
      <c r="F5634">
        <f t="shared" si="90"/>
        <v>3207.1970000000001</v>
      </c>
    </row>
    <row r="5635" spans="1:6" x14ac:dyDescent="0.2">
      <c r="A5635">
        <v>851</v>
      </c>
      <c r="B5635" s="3" t="s">
        <v>264</v>
      </c>
      <c r="C5635" s="3" t="s">
        <v>265</v>
      </c>
      <c r="D5635" s="3">
        <v>1</v>
      </c>
      <c r="E5635" s="3">
        <v>3466.7310000000002</v>
      </c>
      <c r="F5635">
        <f t="shared" si="90"/>
        <v>3466.7310000000002</v>
      </c>
    </row>
    <row r="5636" spans="1:6" x14ac:dyDescent="0.2">
      <c r="A5636">
        <v>851</v>
      </c>
      <c r="B5636" s="3" t="s">
        <v>259</v>
      </c>
      <c r="C5636" s="3" t="s">
        <v>258</v>
      </c>
      <c r="D5636" s="3">
        <v>1</v>
      </c>
      <c r="E5636" s="3">
        <v>3325.9760000000001</v>
      </c>
      <c r="F5636">
        <f t="shared" si="90"/>
        <v>3325.9760000000001</v>
      </c>
    </row>
    <row r="5637" spans="1:6" x14ac:dyDescent="0.2">
      <c r="A5637">
        <v>851</v>
      </c>
      <c r="B5637" s="3" t="s">
        <v>257</v>
      </c>
      <c r="C5637" s="3" t="s">
        <v>258</v>
      </c>
      <c r="D5637" s="3">
        <v>1</v>
      </c>
      <c r="E5637" s="3">
        <v>3325.9760000000001</v>
      </c>
      <c r="F5637">
        <f t="shared" si="90"/>
        <v>3325.9760000000001</v>
      </c>
    </row>
    <row r="5638" spans="1:6" x14ac:dyDescent="0.2">
      <c r="A5638">
        <v>851</v>
      </c>
      <c r="B5638" s="3" t="s">
        <v>359</v>
      </c>
      <c r="C5638" s="3" t="s">
        <v>360</v>
      </c>
      <c r="D5638" s="3">
        <v>1</v>
      </c>
      <c r="E5638" s="3">
        <v>1844.9380000000001</v>
      </c>
      <c r="F5638">
        <f t="shared" si="90"/>
        <v>1844.9380000000001</v>
      </c>
    </row>
    <row r="5639" spans="1:6" x14ac:dyDescent="0.2">
      <c r="A5639">
        <v>851</v>
      </c>
      <c r="B5639" s="3" t="s">
        <v>389</v>
      </c>
      <c r="C5639" s="3" t="s">
        <v>390</v>
      </c>
      <c r="D5639">
        <v>1</v>
      </c>
      <c r="E5639" s="3">
        <v>4906</v>
      </c>
      <c r="F5639">
        <f t="shared" si="90"/>
        <v>4906</v>
      </c>
    </row>
    <row r="5640" spans="1:6" x14ac:dyDescent="0.2">
      <c r="A5640">
        <v>852</v>
      </c>
      <c r="B5640" s="3" t="s">
        <v>62</v>
      </c>
      <c r="C5640" s="3" t="s">
        <v>63</v>
      </c>
      <c r="D5640" s="3">
        <v>1</v>
      </c>
      <c r="E5640" s="3">
        <v>0.34860000000000002</v>
      </c>
      <c r="F5640">
        <f t="shared" si="90"/>
        <v>0.34860000000000002</v>
      </c>
    </row>
    <row r="5641" spans="1:6" x14ac:dyDescent="0.2">
      <c r="A5641">
        <v>852</v>
      </c>
      <c r="B5641" s="3" t="s">
        <v>64</v>
      </c>
      <c r="C5641" s="3" t="s">
        <v>65</v>
      </c>
      <c r="D5641" s="3">
        <v>1</v>
      </c>
      <c r="E5641" s="3">
        <v>803.07690000000002</v>
      </c>
      <c r="F5641">
        <f t="shared" si="90"/>
        <v>803.07690000000002</v>
      </c>
    </row>
    <row r="5642" spans="1:6" x14ac:dyDescent="0.2">
      <c r="A5642">
        <v>852</v>
      </c>
      <c r="B5642" s="3" t="s">
        <v>67</v>
      </c>
      <c r="C5642" s="3" t="s">
        <v>68</v>
      </c>
      <c r="D5642" s="3">
        <v>1</v>
      </c>
      <c r="E5642" s="3">
        <v>49.678570000000001</v>
      </c>
      <c r="F5642">
        <f t="shared" si="90"/>
        <v>49.678570000000001</v>
      </c>
    </row>
    <row r="5643" spans="1:6" x14ac:dyDescent="0.2">
      <c r="A5643">
        <v>852</v>
      </c>
      <c r="B5643" s="3" t="s">
        <v>70</v>
      </c>
      <c r="C5643" s="3" t="s">
        <v>71</v>
      </c>
      <c r="D5643" s="3">
        <v>2</v>
      </c>
      <c r="E5643" s="3">
        <v>407.98649999999998</v>
      </c>
      <c r="F5643">
        <f t="shared" si="90"/>
        <v>815.97299999999996</v>
      </c>
    </row>
    <row r="5644" spans="1:6" x14ac:dyDescent="0.2">
      <c r="A5644">
        <v>852</v>
      </c>
      <c r="B5644" s="3" t="s">
        <v>73</v>
      </c>
      <c r="C5644" s="3" t="s">
        <v>74</v>
      </c>
      <c r="D5644" s="3">
        <v>5</v>
      </c>
      <c r="E5644" s="3">
        <v>0.57783899999999999</v>
      </c>
      <c r="F5644">
        <f t="shared" si="90"/>
        <v>2.889195</v>
      </c>
    </row>
    <row r="5645" spans="1:6" x14ac:dyDescent="0.2">
      <c r="A5645">
        <v>852</v>
      </c>
      <c r="B5645" s="3" t="s">
        <v>75</v>
      </c>
      <c r="C5645" s="3" t="s">
        <v>76</v>
      </c>
      <c r="D5645" s="3">
        <v>75</v>
      </c>
      <c r="E5645" s="3">
        <v>0.115385</v>
      </c>
      <c r="F5645">
        <f t="shared" si="90"/>
        <v>8.6538749999999993</v>
      </c>
    </row>
    <row r="5646" spans="1:6" x14ac:dyDescent="0.2">
      <c r="A5646">
        <v>852</v>
      </c>
      <c r="B5646" s="3" t="s">
        <v>77</v>
      </c>
      <c r="C5646" s="3" t="s">
        <v>74</v>
      </c>
      <c r="D5646" s="3">
        <v>10</v>
      </c>
      <c r="E5646" s="3">
        <v>1.3944000000000001</v>
      </c>
      <c r="F5646">
        <f t="shared" si="90"/>
        <v>13.944000000000001</v>
      </c>
    </row>
    <row r="5647" spans="1:6" x14ac:dyDescent="0.2">
      <c r="A5647">
        <v>852</v>
      </c>
      <c r="B5647" s="3" t="s">
        <v>78</v>
      </c>
      <c r="C5647" s="3" t="s">
        <v>76</v>
      </c>
      <c r="D5647" s="3">
        <v>20</v>
      </c>
      <c r="E5647" s="3">
        <v>0.71839500000000001</v>
      </c>
      <c r="F5647">
        <f t="shared" si="90"/>
        <v>14.367900000000001</v>
      </c>
    </row>
    <row r="5648" spans="1:6" x14ac:dyDescent="0.2">
      <c r="A5648">
        <v>852</v>
      </c>
      <c r="B5648" s="3" t="s">
        <v>79</v>
      </c>
      <c r="C5648" s="3" t="s">
        <v>74</v>
      </c>
      <c r="D5648" s="3">
        <v>15</v>
      </c>
      <c r="E5648" s="3">
        <v>1.930769</v>
      </c>
      <c r="F5648">
        <f t="shared" si="90"/>
        <v>28.961534999999998</v>
      </c>
    </row>
    <row r="5649" spans="1:6" x14ac:dyDescent="0.2">
      <c r="A5649">
        <v>852</v>
      </c>
      <c r="B5649" s="3" t="s">
        <v>80</v>
      </c>
      <c r="C5649" s="3" t="s">
        <v>74</v>
      </c>
      <c r="D5649" s="3">
        <v>40</v>
      </c>
      <c r="E5649" s="3">
        <v>0.95450000000000002</v>
      </c>
      <c r="F5649">
        <f t="shared" si="90"/>
        <v>38.18</v>
      </c>
    </row>
    <row r="5650" spans="1:6" x14ac:dyDescent="0.2">
      <c r="A5650">
        <v>852</v>
      </c>
      <c r="B5650" s="3" t="s">
        <v>81</v>
      </c>
      <c r="C5650" s="3" t="s">
        <v>74</v>
      </c>
      <c r="D5650" s="3">
        <v>65</v>
      </c>
      <c r="E5650" s="3">
        <v>0.76359999999999995</v>
      </c>
      <c r="F5650">
        <f t="shared" si="90"/>
        <v>49.633999999999993</v>
      </c>
    </row>
    <row r="5651" spans="1:6" x14ac:dyDescent="0.2">
      <c r="A5651">
        <v>852</v>
      </c>
      <c r="B5651" s="3" t="s">
        <v>82</v>
      </c>
      <c r="C5651" s="3" t="s">
        <v>83</v>
      </c>
      <c r="D5651" s="3">
        <v>5</v>
      </c>
      <c r="E5651" s="3">
        <v>20.351600000000001</v>
      </c>
      <c r="F5651">
        <f t="shared" si="90"/>
        <v>101.75800000000001</v>
      </c>
    </row>
    <row r="5652" spans="1:6" x14ac:dyDescent="0.2">
      <c r="A5652">
        <v>852</v>
      </c>
      <c r="B5652" s="3" t="s">
        <v>84</v>
      </c>
      <c r="C5652" s="3" t="s">
        <v>85</v>
      </c>
      <c r="D5652" s="3">
        <v>5</v>
      </c>
      <c r="E5652" s="3">
        <v>102.3322</v>
      </c>
      <c r="F5652">
        <f t="shared" si="90"/>
        <v>511.661</v>
      </c>
    </row>
    <row r="5653" spans="1:6" x14ac:dyDescent="0.2">
      <c r="A5653">
        <v>852</v>
      </c>
      <c r="B5653" s="3" t="s">
        <v>86</v>
      </c>
      <c r="C5653" s="3" t="s">
        <v>85</v>
      </c>
      <c r="D5653" s="3">
        <v>5</v>
      </c>
      <c r="E5653" s="3">
        <v>144.2646</v>
      </c>
      <c r="F5653">
        <f t="shared" si="90"/>
        <v>721.32299999999998</v>
      </c>
    </row>
    <row r="5654" spans="1:6" x14ac:dyDescent="0.2">
      <c r="A5654">
        <v>852</v>
      </c>
      <c r="B5654" s="3" t="s">
        <v>87</v>
      </c>
      <c r="C5654" s="3" t="s">
        <v>88</v>
      </c>
      <c r="D5654" s="3">
        <v>5</v>
      </c>
      <c r="E5654" s="3">
        <v>162.0215</v>
      </c>
      <c r="F5654">
        <f t="shared" si="90"/>
        <v>810.10750000000007</v>
      </c>
    </row>
    <row r="5655" spans="1:6" x14ac:dyDescent="0.2">
      <c r="A5655">
        <v>852</v>
      </c>
      <c r="B5655" s="3" t="s">
        <v>89</v>
      </c>
      <c r="C5655" s="3" t="s">
        <v>85</v>
      </c>
      <c r="D5655" s="3">
        <v>5</v>
      </c>
      <c r="E5655" s="3">
        <v>211.0129</v>
      </c>
      <c r="F5655">
        <f t="shared" si="90"/>
        <v>1055.0645</v>
      </c>
    </row>
    <row r="5656" spans="1:6" x14ac:dyDescent="0.2">
      <c r="A5656">
        <v>852</v>
      </c>
      <c r="B5656" s="3" t="s">
        <v>90</v>
      </c>
      <c r="C5656" s="3" t="s">
        <v>88</v>
      </c>
      <c r="D5656" s="3">
        <v>5</v>
      </c>
      <c r="E5656" s="3">
        <v>238.1635</v>
      </c>
      <c r="F5656">
        <f t="shared" si="90"/>
        <v>1190.8175000000001</v>
      </c>
    </row>
    <row r="5657" spans="1:6" x14ac:dyDescent="0.2">
      <c r="A5657">
        <v>852</v>
      </c>
      <c r="B5657" s="3" t="s">
        <v>92</v>
      </c>
      <c r="C5657" s="3" t="s">
        <v>93</v>
      </c>
      <c r="D5657" s="3">
        <v>5</v>
      </c>
      <c r="E5657" s="3">
        <v>19.297499999999999</v>
      </c>
      <c r="F5657">
        <f t="shared" si="90"/>
        <v>96.487499999999997</v>
      </c>
    </row>
    <row r="5658" spans="1:6" x14ac:dyDescent="0.2">
      <c r="A5658">
        <v>852</v>
      </c>
      <c r="B5658" s="3" t="s">
        <v>94</v>
      </c>
      <c r="C5658" s="3" t="s">
        <v>95</v>
      </c>
      <c r="D5658" s="3">
        <v>1</v>
      </c>
      <c r="E5658" s="3">
        <v>644.46270000000004</v>
      </c>
      <c r="F5658">
        <f t="shared" si="90"/>
        <v>644.46270000000004</v>
      </c>
    </row>
    <row r="5659" spans="1:6" x14ac:dyDescent="0.2">
      <c r="A5659">
        <v>852</v>
      </c>
      <c r="B5659" s="3" t="s">
        <v>236</v>
      </c>
      <c r="C5659" s="3" t="s">
        <v>237</v>
      </c>
      <c r="D5659" s="3">
        <v>6</v>
      </c>
      <c r="E5659" s="3">
        <v>132.80000000000001</v>
      </c>
      <c r="F5659">
        <f t="shared" si="90"/>
        <v>796.80000000000007</v>
      </c>
    </row>
    <row r="5660" spans="1:6" x14ac:dyDescent="0.2">
      <c r="A5660">
        <v>852</v>
      </c>
      <c r="B5660" s="3" t="s">
        <v>238</v>
      </c>
      <c r="C5660" s="3" t="s">
        <v>239</v>
      </c>
      <c r="D5660" s="3">
        <v>4</v>
      </c>
      <c r="E5660" s="3">
        <v>340.93849999999998</v>
      </c>
      <c r="F5660">
        <f t="shared" si="90"/>
        <v>1363.7539999999999</v>
      </c>
    </row>
    <row r="5661" spans="1:6" x14ac:dyDescent="0.2">
      <c r="A5661">
        <v>852</v>
      </c>
      <c r="B5661" s="3" t="s">
        <v>240</v>
      </c>
      <c r="C5661" s="3" t="s">
        <v>241</v>
      </c>
      <c r="D5661" s="3">
        <v>4</v>
      </c>
      <c r="E5661" s="3">
        <v>309.0154</v>
      </c>
      <c r="F5661">
        <f t="shared" si="90"/>
        <v>1236.0616</v>
      </c>
    </row>
    <row r="5662" spans="1:6" x14ac:dyDescent="0.2">
      <c r="A5662">
        <v>852</v>
      </c>
      <c r="B5662" s="3" t="s">
        <v>242</v>
      </c>
      <c r="C5662" s="3" t="s">
        <v>243</v>
      </c>
      <c r="D5662" s="3">
        <v>2</v>
      </c>
      <c r="E5662" s="3">
        <v>427.76920000000001</v>
      </c>
      <c r="F5662">
        <f t="shared" si="90"/>
        <v>855.53840000000002</v>
      </c>
    </row>
    <row r="5663" spans="1:6" x14ac:dyDescent="0.2">
      <c r="A5663">
        <v>852</v>
      </c>
      <c r="B5663" s="3" t="s">
        <v>244</v>
      </c>
      <c r="C5663" s="3" t="s">
        <v>184</v>
      </c>
      <c r="D5663" s="3">
        <v>4</v>
      </c>
      <c r="E5663" s="3">
        <v>18.643080000000001</v>
      </c>
      <c r="F5663">
        <f t="shared" si="90"/>
        <v>74.572320000000005</v>
      </c>
    </row>
    <row r="5664" spans="1:6" x14ac:dyDescent="0.2">
      <c r="A5664">
        <v>852</v>
      </c>
      <c r="B5664" s="3" t="s">
        <v>245</v>
      </c>
      <c r="C5664" s="3" t="s">
        <v>246</v>
      </c>
      <c r="D5664" s="3">
        <v>8</v>
      </c>
      <c r="E5664" s="3">
        <v>0.44819999999999999</v>
      </c>
      <c r="F5664">
        <f t="shared" si="90"/>
        <v>3.5855999999999999</v>
      </c>
    </row>
    <row r="5665" spans="1:6" x14ac:dyDescent="0.2">
      <c r="A5665">
        <v>852</v>
      </c>
      <c r="B5665" s="3" t="s">
        <v>75</v>
      </c>
      <c r="C5665" s="3" t="s">
        <v>247</v>
      </c>
      <c r="D5665" s="3">
        <v>8</v>
      </c>
      <c r="E5665" s="3">
        <v>0.115385</v>
      </c>
      <c r="F5665">
        <f t="shared" si="90"/>
        <v>0.92308000000000001</v>
      </c>
    </row>
    <row r="5666" spans="1:6" x14ac:dyDescent="0.2">
      <c r="A5666">
        <v>852</v>
      </c>
      <c r="B5666" s="3" t="s">
        <v>197</v>
      </c>
      <c r="C5666" s="3" t="s">
        <v>117</v>
      </c>
      <c r="D5666" s="3">
        <v>8</v>
      </c>
      <c r="E5666" s="3">
        <v>7.4700000000000003E-2</v>
      </c>
      <c r="F5666">
        <f t="shared" si="90"/>
        <v>0.59760000000000002</v>
      </c>
    </row>
    <row r="5667" spans="1:6" x14ac:dyDescent="0.2">
      <c r="A5667">
        <v>852</v>
      </c>
      <c r="B5667" s="3" t="s">
        <v>248</v>
      </c>
      <c r="C5667" s="3" t="s">
        <v>249</v>
      </c>
      <c r="D5667" s="3">
        <v>1</v>
      </c>
      <c r="E5667" s="3">
        <v>31064.98</v>
      </c>
      <c r="F5667">
        <f t="shared" si="90"/>
        <v>31064.98</v>
      </c>
    </row>
    <row r="5668" spans="1:6" x14ac:dyDescent="0.2">
      <c r="A5668">
        <v>852</v>
      </c>
      <c r="B5668" s="3" t="s">
        <v>250</v>
      </c>
      <c r="C5668" s="3" t="s">
        <v>251</v>
      </c>
      <c r="D5668" s="3">
        <v>2</v>
      </c>
      <c r="E5668" s="3">
        <v>564.5412</v>
      </c>
      <c r="F5668">
        <f t="shared" si="90"/>
        <v>1129.0824</v>
      </c>
    </row>
    <row r="5669" spans="1:6" x14ac:dyDescent="0.2">
      <c r="A5669">
        <v>852</v>
      </c>
      <c r="B5669" s="3" t="s">
        <v>146</v>
      </c>
      <c r="C5669" s="3" t="s">
        <v>147</v>
      </c>
      <c r="D5669" s="3">
        <v>2</v>
      </c>
      <c r="E5669" s="3">
        <v>8021.5770000000002</v>
      </c>
      <c r="F5669">
        <f t="shared" si="90"/>
        <v>16043.154</v>
      </c>
    </row>
    <row r="5670" spans="1:6" x14ac:dyDescent="0.2">
      <c r="A5670">
        <v>852</v>
      </c>
      <c r="B5670" s="3" t="s">
        <v>215</v>
      </c>
      <c r="C5670" s="3" t="s">
        <v>208</v>
      </c>
      <c r="D5670" s="3">
        <v>1</v>
      </c>
      <c r="E5670" s="3">
        <v>1.4289810000000001</v>
      </c>
      <c r="F5670">
        <f t="shared" si="90"/>
        <v>1.4289810000000001</v>
      </c>
    </row>
    <row r="5671" spans="1:6" x14ac:dyDescent="0.2">
      <c r="A5671">
        <v>852</v>
      </c>
      <c r="B5671" s="3" t="s">
        <v>200</v>
      </c>
      <c r="C5671" s="3" t="s">
        <v>199</v>
      </c>
      <c r="D5671" s="3">
        <v>3</v>
      </c>
      <c r="E5671" s="3">
        <v>0.66373400000000005</v>
      </c>
      <c r="F5671">
        <f t="shared" si="90"/>
        <v>1.9912020000000001</v>
      </c>
    </row>
    <row r="5672" spans="1:6" x14ac:dyDescent="0.2">
      <c r="A5672">
        <v>852</v>
      </c>
      <c r="B5672" s="3" t="s">
        <v>216</v>
      </c>
      <c r="C5672" s="3" t="s">
        <v>199</v>
      </c>
      <c r="D5672" s="3">
        <v>3</v>
      </c>
      <c r="E5672" s="3">
        <v>0.66400000000000003</v>
      </c>
      <c r="F5672">
        <f t="shared" si="90"/>
        <v>1.992</v>
      </c>
    </row>
    <row r="5673" spans="1:6" x14ac:dyDescent="0.2">
      <c r="A5673">
        <v>852</v>
      </c>
      <c r="B5673" s="3" t="s">
        <v>217</v>
      </c>
      <c r="C5673" s="3" t="s">
        <v>199</v>
      </c>
      <c r="D5673" s="3">
        <v>1</v>
      </c>
      <c r="E5673" s="3">
        <v>4.2164000000000001</v>
      </c>
      <c r="F5673">
        <f t="shared" si="90"/>
        <v>4.2164000000000001</v>
      </c>
    </row>
    <row r="5674" spans="1:6" x14ac:dyDescent="0.2">
      <c r="A5674">
        <v>852</v>
      </c>
      <c r="B5674" s="3" t="s">
        <v>218</v>
      </c>
      <c r="C5674" s="3" t="s">
        <v>208</v>
      </c>
      <c r="D5674" s="3">
        <v>1</v>
      </c>
      <c r="E5674" s="3">
        <v>7.3455000000000004</v>
      </c>
      <c r="F5674">
        <f t="shared" si="90"/>
        <v>7.3455000000000004</v>
      </c>
    </row>
    <row r="5675" spans="1:6" x14ac:dyDescent="0.2">
      <c r="A5675">
        <v>852</v>
      </c>
      <c r="B5675" s="3" t="s">
        <v>219</v>
      </c>
      <c r="C5675" s="3" t="s">
        <v>199</v>
      </c>
      <c r="D5675" s="3">
        <v>3</v>
      </c>
      <c r="E5675" s="3">
        <v>1.4774</v>
      </c>
      <c r="F5675">
        <f t="shared" si="90"/>
        <v>4.4321999999999999</v>
      </c>
    </row>
    <row r="5676" spans="1:6" x14ac:dyDescent="0.2">
      <c r="A5676">
        <v>852</v>
      </c>
      <c r="B5676" s="3" t="s">
        <v>220</v>
      </c>
      <c r="C5676" s="3" t="s">
        <v>208</v>
      </c>
      <c r="D5676" s="3">
        <v>1</v>
      </c>
      <c r="E5676" s="3">
        <v>3.7267000000000001</v>
      </c>
      <c r="F5676">
        <f t="shared" si="90"/>
        <v>3.7267000000000001</v>
      </c>
    </row>
    <row r="5677" spans="1:6" x14ac:dyDescent="0.2">
      <c r="A5677">
        <v>852</v>
      </c>
      <c r="B5677" s="3" t="s">
        <v>221</v>
      </c>
      <c r="C5677" s="3" t="s">
        <v>199</v>
      </c>
      <c r="D5677" s="3">
        <v>6</v>
      </c>
      <c r="E5677" s="3">
        <v>0.97940000000000005</v>
      </c>
      <c r="F5677">
        <f t="shared" si="90"/>
        <v>5.8764000000000003</v>
      </c>
    </row>
    <row r="5678" spans="1:6" x14ac:dyDescent="0.2">
      <c r="A5678">
        <v>852</v>
      </c>
      <c r="B5678" s="3" t="s">
        <v>222</v>
      </c>
      <c r="C5678" s="3" t="s">
        <v>208</v>
      </c>
      <c r="D5678" s="3">
        <v>2</v>
      </c>
      <c r="E5678" s="3">
        <v>6.0673000000000004</v>
      </c>
      <c r="F5678">
        <f t="shared" ref="F5678:F5741" si="91">D5678*E5678</f>
        <v>12.134600000000001</v>
      </c>
    </row>
    <row r="5679" spans="1:6" x14ac:dyDescent="0.2">
      <c r="A5679">
        <v>852</v>
      </c>
      <c r="B5679" s="3" t="s">
        <v>223</v>
      </c>
      <c r="C5679" s="3" t="s">
        <v>224</v>
      </c>
      <c r="D5679" s="3">
        <v>1</v>
      </c>
      <c r="E5679" s="3">
        <v>19.4635</v>
      </c>
      <c r="F5679">
        <f t="shared" si="91"/>
        <v>19.4635</v>
      </c>
    </row>
    <row r="5680" spans="1:6" x14ac:dyDescent="0.2">
      <c r="A5680">
        <v>852</v>
      </c>
      <c r="B5680" s="3" t="s">
        <v>225</v>
      </c>
      <c r="C5680" s="3" t="s">
        <v>226</v>
      </c>
      <c r="D5680" s="3">
        <v>1</v>
      </c>
      <c r="E5680" s="3">
        <v>10.22151</v>
      </c>
      <c r="F5680">
        <f t="shared" si="91"/>
        <v>10.22151</v>
      </c>
    </row>
    <row r="5681" spans="1:6" x14ac:dyDescent="0.2">
      <c r="A5681">
        <v>852</v>
      </c>
      <c r="B5681" s="3" t="s">
        <v>227</v>
      </c>
      <c r="C5681" s="3" t="s">
        <v>208</v>
      </c>
      <c r="D5681" s="3">
        <v>5</v>
      </c>
      <c r="E5681" s="3">
        <v>3.6307689999999999</v>
      </c>
      <c r="F5681">
        <f t="shared" si="91"/>
        <v>18.153845</v>
      </c>
    </row>
    <row r="5682" spans="1:6" x14ac:dyDescent="0.2">
      <c r="A5682">
        <v>852</v>
      </c>
      <c r="B5682" s="3" t="s">
        <v>228</v>
      </c>
      <c r="C5682" s="3" t="s">
        <v>229</v>
      </c>
      <c r="D5682" s="3">
        <v>1</v>
      </c>
      <c r="E5682" s="3">
        <v>306.94979999999998</v>
      </c>
      <c r="F5682">
        <f t="shared" si="91"/>
        <v>306.94979999999998</v>
      </c>
    </row>
    <row r="5683" spans="1:6" x14ac:dyDescent="0.2">
      <c r="A5683">
        <v>852</v>
      </c>
      <c r="B5683" s="3" t="s">
        <v>116</v>
      </c>
      <c r="C5683" s="3" t="s">
        <v>117</v>
      </c>
      <c r="D5683" s="3">
        <v>7</v>
      </c>
      <c r="E5683" s="3">
        <v>0.25729999999999997</v>
      </c>
      <c r="F5683">
        <f t="shared" si="91"/>
        <v>1.8010999999999999</v>
      </c>
    </row>
    <row r="5684" spans="1:6" x14ac:dyDescent="0.2">
      <c r="A5684">
        <v>852</v>
      </c>
      <c r="B5684" s="3" t="s">
        <v>78</v>
      </c>
      <c r="C5684" s="3" t="s">
        <v>76</v>
      </c>
      <c r="D5684" s="3">
        <v>7</v>
      </c>
      <c r="E5684" s="3">
        <v>0.71839500000000001</v>
      </c>
      <c r="F5684">
        <f t="shared" si="91"/>
        <v>5.0287649999999999</v>
      </c>
    </row>
    <row r="5685" spans="1:6" x14ac:dyDescent="0.2">
      <c r="A5685">
        <v>852</v>
      </c>
      <c r="B5685" s="3" t="s">
        <v>231</v>
      </c>
      <c r="C5685" s="3" t="s">
        <v>208</v>
      </c>
      <c r="D5685" s="3">
        <v>4</v>
      </c>
      <c r="E5685" s="3">
        <v>2.0832999999999999</v>
      </c>
      <c r="F5685">
        <f t="shared" si="91"/>
        <v>8.3331999999999997</v>
      </c>
    </row>
    <row r="5686" spans="1:6" x14ac:dyDescent="0.2">
      <c r="A5686">
        <v>852</v>
      </c>
      <c r="B5686" s="3" t="s">
        <v>232</v>
      </c>
      <c r="C5686" s="3" t="s">
        <v>119</v>
      </c>
      <c r="D5686" s="3">
        <v>7</v>
      </c>
      <c r="E5686" s="3">
        <v>1.5935999999999999</v>
      </c>
      <c r="F5686">
        <f t="shared" si="91"/>
        <v>11.155199999999999</v>
      </c>
    </row>
    <row r="5687" spans="1:6" x14ac:dyDescent="0.2">
      <c r="A5687">
        <v>852</v>
      </c>
      <c r="B5687" s="3" t="s">
        <v>233</v>
      </c>
      <c r="C5687" s="3" t="s">
        <v>234</v>
      </c>
      <c r="D5687" s="3">
        <v>1</v>
      </c>
      <c r="E5687" s="3">
        <v>3989.2950000000001</v>
      </c>
      <c r="F5687">
        <f t="shared" si="91"/>
        <v>3989.2950000000001</v>
      </c>
    </row>
    <row r="5688" spans="1:6" x14ac:dyDescent="0.2">
      <c r="A5688">
        <v>852</v>
      </c>
      <c r="B5688" s="3" t="s">
        <v>142</v>
      </c>
      <c r="C5688" s="3" t="s">
        <v>143</v>
      </c>
      <c r="D5688" s="3">
        <v>2</v>
      </c>
      <c r="E5688" s="3">
        <v>18141.64</v>
      </c>
      <c r="F5688">
        <f t="shared" si="91"/>
        <v>36283.279999999999</v>
      </c>
    </row>
    <row r="5689" spans="1:6" x14ac:dyDescent="0.2">
      <c r="A5689">
        <v>852</v>
      </c>
      <c r="B5689" s="3" t="s">
        <v>144</v>
      </c>
      <c r="C5689" s="3" t="s">
        <v>145</v>
      </c>
      <c r="D5689" s="3">
        <v>2</v>
      </c>
      <c r="E5689" s="3">
        <v>7346.6769999999997</v>
      </c>
      <c r="F5689">
        <f t="shared" si="91"/>
        <v>14693.353999999999</v>
      </c>
    </row>
    <row r="5690" spans="1:6" x14ac:dyDescent="0.2">
      <c r="A5690">
        <v>852</v>
      </c>
      <c r="B5690" s="3" t="s">
        <v>197</v>
      </c>
      <c r="C5690" s="3" t="s">
        <v>117</v>
      </c>
      <c r="D5690" s="3">
        <v>16</v>
      </c>
      <c r="E5690" s="3">
        <v>7.4700000000000003E-2</v>
      </c>
      <c r="F5690">
        <f t="shared" si="91"/>
        <v>1.1952</v>
      </c>
    </row>
    <row r="5691" spans="1:6" x14ac:dyDescent="0.2">
      <c r="A5691">
        <v>852</v>
      </c>
      <c r="B5691" s="3" t="s">
        <v>198</v>
      </c>
      <c r="C5691" s="3" t="s">
        <v>199</v>
      </c>
      <c r="D5691" s="3">
        <v>4</v>
      </c>
      <c r="E5691" s="3">
        <v>0.66373400000000005</v>
      </c>
      <c r="F5691">
        <f t="shared" si="91"/>
        <v>2.6549360000000002</v>
      </c>
    </row>
    <row r="5692" spans="1:6" x14ac:dyDescent="0.2">
      <c r="A5692">
        <v>852</v>
      </c>
      <c r="B5692" s="3" t="s">
        <v>200</v>
      </c>
      <c r="C5692" s="3" t="s">
        <v>199</v>
      </c>
      <c r="D5692" s="3">
        <v>4</v>
      </c>
      <c r="E5692" s="3">
        <v>0.66373400000000005</v>
      </c>
      <c r="F5692">
        <f t="shared" si="91"/>
        <v>2.6549360000000002</v>
      </c>
    </row>
    <row r="5693" spans="1:6" x14ac:dyDescent="0.2">
      <c r="A5693">
        <v>852</v>
      </c>
      <c r="B5693" s="3" t="s">
        <v>201</v>
      </c>
      <c r="C5693" s="3" t="s">
        <v>76</v>
      </c>
      <c r="D5693" s="3">
        <v>16</v>
      </c>
      <c r="E5693" s="3">
        <v>0.22645100000000001</v>
      </c>
      <c r="F5693">
        <f t="shared" si="91"/>
        <v>3.6232160000000002</v>
      </c>
    </row>
    <row r="5694" spans="1:6" x14ac:dyDescent="0.2">
      <c r="A5694">
        <v>852</v>
      </c>
      <c r="B5694" s="3" t="s">
        <v>202</v>
      </c>
      <c r="C5694" s="3" t="s">
        <v>203</v>
      </c>
      <c r="D5694" s="3">
        <v>8</v>
      </c>
      <c r="E5694" s="3">
        <v>12.45</v>
      </c>
      <c r="F5694">
        <f t="shared" si="91"/>
        <v>99.6</v>
      </c>
    </row>
    <row r="5695" spans="1:6" x14ac:dyDescent="0.2">
      <c r="A5695">
        <v>852</v>
      </c>
      <c r="B5695" s="3" t="s">
        <v>204</v>
      </c>
      <c r="C5695" s="3" t="s">
        <v>205</v>
      </c>
      <c r="D5695" s="3">
        <v>2</v>
      </c>
      <c r="E5695" s="3">
        <v>103.7222</v>
      </c>
      <c r="F5695">
        <f t="shared" si="91"/>
        <v>207.4444</v>
      </c>
    </row>
    <row r="5696" spans="1:6" x14ac:dyDescent="0.2">
      <c r="A5696">
        <v>852</v>
      </c>
      <c r="B5696" s="3" t="s">
        <v>116</v>
      </c>
      <c r="C5696" s="3" t="s">
        <v>117</v>
      </c>
      <c r="D5696" s="3">
        <v>8</v>
      </c>
      <c r="E5696" s="3">
        <v>0.25729999999999997</v>
      </c>
      <c r="F5696">
        <f t="shared" si="91"/>
        <v>2.0583999999999998</v>
      </c>
    </row>
    <row r="5697" spans="1:6" x14ac:dyDescent="0.2">
      <c r="A5697">
        <v>852</v>
      </c>
      <c r="B5697" s="3" t="s">
        <v>78</v>
      </c>
      <c r="C5697" s="3" t="s">
        <v>76</v>
      </c>
      <c r="D5697" s="3">
        <v>8</v>
      </c>
      <c r="E5697" s="3">
        <v>0.71839500000000001</v>
      </c>
      <c r="F5697">
        <f t="shared" si="91"/>
        <v>5.74716</v>
      </c>
    </row>
    <row r="5698" spans="1:6" x14ac:dyDescent="0.2">
      <c r="A5698">
        <v>852</v>
      </c>
      <c r="B5698" s="3" t="s">
        <v>207</v>
      </c>
      <c r="C5698" s="3" t="s">
        <v>208</v>
      </c>
      <c r="D5698" s="3">
        <v>2</v>
      </c>
      <c r="E5698" s="3">
        <v>4.6314000000000002</v>
      </c>
      <c r="F5698">
        <f t="shared" si="91"/>
        <v>9.2628000000000004</v>
      </c>
    </row>
    <row r="5699" spans="1:6" x14ac:dyDescent="0.2">
      <c r="A5699">
        <v>852</v>
      </c>
      <c r="B5699" s="3" t="s">
        <v>209</v>
      </c>
      <c r="C5699" s="3" t="s">
        <v>210</v>
      </c>
      <c r="D5699" s="3">
        <v>2</v>
      </c>
      <c r="E5699" s="3">
        <v>39.550759999999997</v>
      </c>
      <c r="F5699">
        <f t="shared" si="91"/>
        <v>79.101519999999994</v>
      </c>
    </row>
    <row r="5700" spans="1:6" x14ac:dyDescent="0.2">
      <c r="A5700">
        <v>852</v>
      </c>
      <c r="B5700" s="3" t="s">
        <v>211</v>
      </c>
      <c r="C5700" s="3" t="s">
        <v>203</v>
      </c>
      <c r="D5700" s="3">
        <v>4</v>
      </c>
      <c r="E5700" s="3">
        <v>25.754899999999999</v>
      </c>
      <c r="F5700">
        <f t="shared" si="91"/>
        <v>103.0196</v>
      </c>
    </row>
    <row r="5701" spans="1:6" x14ac:dyDescent="0.2">
      <c r="A5701">
        <v>852</v>
      </c>
      <c r="B5701" s="3" t="s">
        <v>212</v>
      </c>
      <c r="C5701" s="3" t="s">
        <v>213</v>
      </c>
      <c r="D5701" s="3">
        <v>2</v>
      </c>
      <c r="E5701" s="3">
        <v>272.92059999999998</v>
      </c>
      <c r="F5701">
        <f t="shared" si="91"/>
        <v>545.84119999999996</v>
      </c>
    </row>
    <row r="5702" spans="1:6" x14ac:dyDescent="0.2">
      <c r="A5702">
        <v>852</v>
      </c>
      <c r="B5702" s="3" t="s">
        <v>149</v>
      </c>
      <c r="C5702" s="3" t="s">
        <v>150</v>
      </c>
      <c r="D5702" s="3">
        <v>1</v>
      </c>
      <c r="E5702" s="3">
        <v>0.70550000000000002</v>
      </c>
      <c r="F5702">
        <f t="shared" si="91"/>
        <v>0.70550000000000002</v>
      </c>
    </row>
    <row r="5703" spans="1:6" x14ac:dyDescent="0.2">
      <c r="A5703">
        <v>852</v>
      </c>
      <c r="B5703" s="3" t="s">
        <v>151</v>
      </c>
      <c r="C5703" s="3" t="s">
        <v>152</v>
      </c>
      <c r="D5703" s="3">
        <v>1</v>
      </c>
      <c r="E5703" s="3">
        <v>5.6191000000000004</v>
      </c>
      <c r="F5703">
        <f t="shared" si="91"/>
        <v>5.6191000000000004</v>
      </c>
    </row>
    <row r="5704" spans="1:6" x14ac:dyDescent="0.2">
      <c r="A5704">
        <v>852</v>
      </c>
      <c r="B5704" s="3" t="s">
        <v>153</v>
      </c>
      <c r="C5704" s="3" t="s">
        <v>119</v>
      </c>
      <c r="D5704" s="3">
        <v>5</v>
      </c>
      <c r="E5704" s="3">
        <v>1.116636</v>
      </c>
      <c r="F5704">
        <f t="shared" si="91"/>
        <v>5.5831799999999996</v>
      </c>
    </row>
    <row r="5705" spans="1:6" x14ac:dyDescent="0.2">
      <c r="A5705">
        <v>852</v>
      </c>
      <c r="B5705" s="3" t="s">
        <v>154</v>
      </c>
      <c r="C5705" s="3" t="s">
        <v>117</v>
      </c>
      <c r="D5705" s="3">
        <v>5</v>
      </c>
      <c r="E5705" s="3">
        <v>4.3658000000000001</v>
      </c>
      <c r="F5705">
        <f t="shared" si="91"/>
        <v>21.829000000000001</v>
      </c>
    </row>
    <row r="5706" spans="1:6" x14ac:dyDescent="0.2">
      <c r="A5706">
        <v>852</v>
      </c>
      <c r="B5706" s="3" t="s">
        <v>155</v>
      </c>
      <c r="C5706" s="3" t="s">
        <v>156</v>
      </c>
      <c r="D5706" s="3">
        <v>1</v>
      </c>
      <c r="E5706" s="3">
        <v>28.552</v>
      </c>
      <c r="F5706">
        <f t="shared" si="91"/>
        <v>28.552</v>
      </c>
    </row>
    <row r="5707" spans="1:6" x14ac:dyDescent="0.2">
      <c r="A5707">
        <v>852</v>
      </c>
      <c r="B5707" s="3" t="s">
        <v>157</v>
      </c>
      <c r="C5707" s="3" t="s">
        <v>158</v>
      </c>
      <c r="D5707" s="3">
        <v>1</v>
      </c>
      <c r="E5707" s="3">
        <v>29.456700000000001</v>
      </c>
      <c r="F5707">
        <f t="shared" si="91"/>
        <v>29.456700000000001</v>
      </c>
    </row>
    <row r="5708" spans="1:6" x14ac:dyDescent="0.2">
      <c r="A5708">
        <v>852</v>
      </c>
      <c r="B5708" s="3" t="s">
        <v>159</v>
      </c>
      <c r="C5708" s="3" t="s">
        <v>117</v>
      </c>
      <c r="D5708" s="3">
        <v>3</v>
      </c>
      <c r="E5708" s="3">
        <v>11.976900000000001</v>
      </c>
      <c r="F5708">
        <f t="shared" si="91"/>
        <v>35.930700000000002</v>
      </c>
    </row>
    <row r="5709" spans="1:6" x14ac:dyDescent="0.2">
      <c r="A5709">
        <v>852</v>
      </c>
      <c r="B5709" s="3" t="s">
        <v>116</v>
      </c>
      <c r="C5709" s="3" t="s">
        <v>117</v>
      </c>
      <c r="D5709" s="3">
        <v>168</v>
      </c>
      <c r="E5709" s="3">
        <v>0.25729999999999997</v>
      </c>
      <c r="F5709">
        <f t="shared" si="91"/>
        <v>43.226399999999998</v>
      </c>
    </row>
    <row r="5710" spans="1:6" x14ac:dyDescent="0.2">
      <c r="A5710">
        <v>852</v>
      </c>
      <c r="B5710" s="3" t="s">
        <v>160</v>
      </c>
      <c r="C5710" s="3" t="s">
        <v>161</v>
      </c>
      <c r="D5710" s="3">
        <v>3</v>
      </c>
      <c r="E5710" s="3">
        <v>15.9194</v>
      </c>
      <c r="F5710">
        <f t="shared" si="91"/>
        <v>47.758200000000002</v>
      </c>
    </row>
    <row r="5711" spans="1:6" x14ac:dyDescent="0.2">
      <c r="A5711">
        <v>852</v>
      </c>
      <c r="B5711" s="3" t="s">
        <v>162</v>
      </c>
      <c r="C5711" s="3" t="s">
        <v>163</v>
      </c>
      <c r="D5711" s="3">
        <v>1</v>
      </c>
      <c r="E5711" s="3">
        <v>62.822699999999998</v>
      </c>
      <c r="F5711">
        <f t="shared" si="91"/>
        <v>62.822699999999998</v>
      </c>
    </row>
    <row r="5712" spans="1:6" x14ac:dyDescent="0.2">
      <c r="A5712">
        <v>852</v>
      </c>
      <c r="B5712" s="3" t="s">
        <v>164</v>
      </c>
      <c r="C5712" s="3" t="s">
        <v>165</v>
      </c>
      <c r="D5712" s="3">
        <v>2</v>
      </c>
      <c r="E5712" s="3">
        <v>29.382000000000001</v>
      </c>
      <c r="F5712">
        <f t="shared" si="91"/>
        <v>58.764000000000003</v>
      </c>
    </row>
    <row r="5713" spans="1:6" x14ac:dyDescent="0.2">
      <c r="A5713">
        <v>852</v>
      </c>
      <c r="B5713" s="3" t="s">
        <v>166</v>
      </c>
      <c r="C5713" s="3" t="s">
        <v>76</v>
      </c>
      <c r="D5713" s="3">
        <v>84</v>
      </c>
      <c r="E5713" s="3">
        <v>0.97109999999999996</v>
      </c>
      <c r="F5713">
        <f t="shared" si="91"/>
        <v>81.572400000000002</v>
      </c>
    </row>
    <row r="5714" spans="1:6" x14ac:dyDescent="0.2">
      <c r="A5714">
        <v>852</v>
      </c>
      <c r="B5714" s="3" t="s">
        <v>167</v>
      </c>
      <c r="C5714" s="3" t="s">
        <v>168</v>
      </c>
      <c r="D5714" s="3">
        <v>1</v>
      </c>
      <c r="E5714" s="3">
        <v>68.201099999999997</v>
      </c>
      <c r="F5714">
        <f t="shared" si="91"/>
        <v>68.201099999999997</v>
      </c>
    </row>
    <row r="5715" spans="1:6" x14ac:dyDescent="0.2">
      <c r="A5715">
        <v>852</v>
      </c>
      <c r="B5715" s="3" t="s">
        <v>169</v>
      </c>
      <c r="C5715" s="3" t="s">
        <v>119</v>
      </c>
      <c r="D5715" s="3">
        <v>3</v>
      </c>
      <c r="E5715" s="3">
        <v>26.078600000000002</v>
      </c>
      <c r="F5715">
        <f t="shared" si="91"/>
        <v>78.235800000000012</v>
      </c>
    </row>
    <row r="5716" spans="1:6" x14ac:dyDescent="0.2">
      <c r="A5716">
        <v>852</v>
      </c>
      <c r="B5716" s="3" t="s">
        <v>170</v>
      </c>
      <c r="C5716" s="3" t="s">
        <v>171</v>
      </c>
      <c r="D5716" s="3">
        <v>8</v>
      </c>
      <c r="E5716" s="3">
        <v>15.438000000000001</v>
      </c>
      <c r="F5716">
        <f t="shared" si="91"/>
        <v>123.504</v>
      </c>
    </row>
    <row r="5717" spans="1:6" x14ac:dyDescent="0.2">
      <c r="A5717">
        <v>852</v>
      </c>
      <c r="B5717" s="3" t="s">
        <v>172</v>
      </c>
      <c r="C5717" s="3" t="s">
        <v>173</v>
      </c>
      <c r="D5717" s="3">
        <v>1</v>
      </c>
      <c r="E5717" s="3">
        <v>158.41380000000001</v>
      </c>
      <c r="F5717">
        <f t="shared" si="91"/>
        <v>158.41380000000001</v>
      </c>
    </row>
    <row r="5718" spans="1:6" x14ac:dyDescent="0.2">
      <c r="A5718">
        <v>852</v>
      </c>
      <c r="B5718" s="3" t="s">
        <v>174</v>
      </c>
      <c r="C5718" s="3" t="s">
        <v>119</v>
      </c>
      <c r="D5718" s="3">
        <v>118</v>
      </c>
      <c r="E5718" s="3">
        <v>1.2616000000000001</v>
      </c>
      <c r="F5718">
        <f t="shared" si="91"/>
        <v>148.86879999999999</v>
      </c>
    </row>
    <row r="5719" spans="1:6" x14ac:dyDescent="0.2">
      <c r="A5719">
        <v>852</v>
      </c>
      <c r="B5719" s="3" t="s">
        <v>175</v>
      </c>
      <c r="C5719" s="3" t="s">
        <v>176</v>
      </c>
      <c r="D5719" s="3">
        <v>1</v>
      </c>
      <c r="E5719" s="3">
        <v>194.7595</v>
      </c>
      <c r="F5719">
        <f t="shared" si="91"/>
        <v>194.7595</v>
      </c>
    </row>
    <row r="5720" spans="1:6" x14ac:dyDescent="0.2">
      <c r="A5720">
        <v>852</v>
      </c>
      <c r="B5720" s="3" t="s">
        <v>177</v>
      </c>
      <c r="C5720" s="3" t="s">
        <v>178</v>
      </c>
      <c r="D5720" s="3">
        <v>1</v>
      </c>
      <c r="E5720" s="3">
        <v>1660.624</v>
      </c>
      <c r="F5720">
        <f t="shared" si="91"/>
        <v>1660.624</v>
      </c>
    </row>
    <row r="5721" spans="1:6" x14ac:dyDescent="0.2">
      <c r="A5721">
        <v>852</v>
      </c>
      <c r="B5721" s="3" t="s">
        <v>179</v>
      </c>
      <c r="C5721" s="3" t="s">
        <v>119</v>
      </c>
      <c r="D5721" s="3">
        <v>12</v>
      </c>
      <c r="E5721" s="3">
        <v>32.444699999999997</v>
      </c>
      <c r="F5721">
        <f t="shared" si="91"/>
        <v>389.33639999999997</v>
      </c>
    </row>
    <row r="5722" spans="1:6" x14ac:dyDescent="0.2">
      <c r="A5722">
        <v>852</v>
      </c>
      <c r="B5722" s="3" t="s">
        <v>180</v>
      </c>
      <c r="C5722" s="3" t="s">
        <v>181</v>
      </c>
      <c r="D5722" s="3">
        <v>8</v>
      </c>
      <c r="E5722" s="3">
        <v>64.117500000000007</v>
      </c>
      <c r="F5722">
        <f t="shared" si="91"/>
        <v>512.94000000000005</v>
      </c>
    </row>
    <row r="5723" spans="1:6" x14ac:dyDescent="0.2">
      <c r="A5723">
        <v>852</v>
      </c>
      <c r="B5723" s="3" t="s">
        <v>182</v>
      </c>
      <c r="C5723" s="3" t="s">
        <v>158</v>
      </c>
      <c r="D5723" s="3">
        <v>6</v>
      </c>
      <c r="E5723" s="3">
        <v>80.78819</v>
      </c>
      <c r="F5723">
        <f t="shared" si="91"/>
        <v>484.72914000000003</v>
      </c>
    </row>
    <row r="5724" spans="1:6" x14ac:dyDescent="0.2">
      <c r="A5724">
        <v>852</v>
      </c>
      <c r="B5724" s="3" t="s">
        <v>183</v>
      </c>
      <c r="C5724" s="3" t="s">
        <v>184</v>
      </c>
      <c r="D5724" s="3">
        <v>1</v>
      </c>
      <c r="E5724" s="3">
        <v>548.61540000000002</v>
      </c>
      <c r="F5724">
        <f t="shared" si="91"/>
        <v>548.61540000000002</v>
      </c>
    </row>
    <row r="5725" spans="1:6" x14ac:dyDescent="0.2">
      <c r="A5725">
        <v>852</v>
      </c>
      <c r="B5725" s="3" t="s">
        <v>185</v>
      </c>
      <c r="C5725" s="3" t="s">
        <v>186</v>
      </c>
      <c r="D5725" s="3">
        <v>2</v>
      </c>
      <c r="E5725" s="3">
        <v>278.05</v>
      </c>
      <c r="F5725">
        <f t="shared" si="91"/>
        <v>556.1</v>
      </c>
    </row>
    <row r="5726" spans="1:6" x14ac:dyDescent="0.2">
      <c r="A5726">
        <v>852</v>
      </c>
      <c r="B5726" s="3" t="s">
        <v>187</v>
      </c>
      <c r="C5726" s="3" t="s">
        <v>188</v>
      </c>
      <c r="D5726" s="3">
        <v>8</v>
      </c>
      <c r="E5726" s="3">
        <v>105.0365</v>
      </c>
      <c r="F5726">
        <f t="shared" si="91"/>
        <v>840.29200000000003</v>
      </c>
    </row>
    <row r="5727" spans="1:6" x14ac:dyDescent="0.2">
      <c r="A5727">
        <v>852</v>
      </c>
      <c r="B5727" s="3" t="s">
        <v>189</v>
      </c>
      <c r="C5727" s="3" t="s">
        <v>163</v>
      </c>
      <c r="D5727" s="3">
        <v>6</v>
      </c>
      <c r="E5727" s="3">
        <v>154.25970000000001</v>
      </c>
      <c r="F5727">
        <f t="shared" si="91"/>
        <v>925.55820000000006</v>
      </c>
    </row>
    <row r="5728" spans="1:6" x14ac:dyDescent="0.2">
      <c r="A5728">
        <v>852</v>
      </c>
      <c r="B5728" s="3" t="s">
        <v>190</v>
      </c>
      <c r="C5728" s="3" t="s">
        <v>191</v>
      </c>
      <c r="D5728" s="3">
        <v>1</v>
      </c>
      <c r="E5728" s="3">
        <v>1397.886</v>
      </c>
      <c r="F5728">
        <f t="shared" si="91"/>
        <v>1397.886</v>
      </c>
    </row>
    <row r="5729" spans="1:6" x14ac:dyDescent="0.2">
      <c r="A5729">
        <v>852</v>
      </c>
      <c r="B5729" s="3" t="s">
        <v>192</v>
      </c>
      <c r="C5729" s="3" t="s">
        <v>193</v>
      </c>
      <c r="D5729" s="3">
        <v>2</v>
      </c>
      <c r="E5729" s="3">
        <v>843.03639999999996</v>
      </c>
      <c r="F5729">
        <f t="shared" si="91"/>
        <v>1686.0727999999999</v>
      </c>
    </row>
    <row r="5730" spans="1:6" x14ac:dyDescent="0.2">
      <c r="A5730">
        <v>852</v>
      </c>
      <c r="B5730" s="3" t="s">
        <v>194</v>
      </c>
      <c r="C5730" s="3" t="s">
        <v>193</v>
      </c>
      <c r="D5730" s="3">
        <v>8</v>
      </c>
      <c r="E5730" s="3">
        <v>868.20489999999995</v>
      </c>
      <c r="F5730">
        <f t="shared" si="91"/>
        <v>6945.6391999999996</v>
      </c>
    </row>
    <row r="5731" spans="1:6" x14ac:dyDescent="0.2">
      <c r="A5731">
        <v>852</v>
      </c>
      <c r="B5731" s="3" t="s">
        <v>195</v>
      </c>
      <c r="C5731" s="3" t="s">
        <v>117</v>
      </c>
      <c r="D5731" s="3">
        <v>2</v>
      </c>
      <c r="E5731" s="3">
        <v>1.0375000000000001</v>
      </c>
      <c r="F5731">
        <f t="shared" si="91"/>
        <v>2.0750000000000002</v>
      </c>
    </row>
    <row r="5732" spans="1:6" x14ac:dyDescent="0.2">
      <c r="A5732">
        <v>852</v>
      </c>
      <c r="B5732" s="3" t="s">
        <v>135</v>
      </c>
      <c r="C5732" s="3" t="s">
        <v>136</v>
      </c>
      <c r="D5732" s="3">
        <v>1</v>
      </c>
      <c r="E5732" s="3">
        <v>395.04689999999999</v>
      </c>
      <c r="F5732">
        <f t="shared" si="91"/>
        <v>395.04689999999999</v>
      </c>
    </row>
    <row r="5733" spans="1:6" x14ac:dyDescent="0.2">
      <c r="A5733">
        <v>852</v>
      </c>
      <c r="B5733" s="3" t="s">
        <v>137</v>
      </c>
      <c r="C5733" s="3" t="s">
        <v>138</v>
      </c>
      <c r="D5733" s="3">
        <v>1</v>
      </c>
      <c r="E5733" s="3">
        <v>252.98429999999999</v>
      </c>
      <c r="F5733">
        <f t="shared" si="91"/>
        <v>252.98429999999999</v>
      </c>
    </row>
    <row r="5734" spans="1:6" x14ac:dyDescent="0.2">
      <c r="A5734">
        <v>852</v>
      </c>
      <c r="B5734" s="3" t="s">
        <v>139</v>
      </c>
      <c r="C5734" s="3" t="s">
        <v>140</v>
      </c>
      <c r="D5734" s="3">
        <v>2</v>
      </c>
      <c r="E5734" s="3">
        <v>2054.4580000000001</v>
      </c>
      <c r="F5734">
        <f t="shared" si="91"/>
        <v>4108.9160000000002</v>
      </c>
    </row>
    <row r="5735" spans="1:6" x14ac:dyDescent="0.2">
      <c r="A5735">
        <v>852</v>
      </c>
      <c r="B5735" s="3" t="s">
        <v>116</v>
      </c>
      <c r="C5735" s="3" t="s">
        <v>117</v>
      </c>
      <c r="D5735" s="3">
        <v>1</v>
      </c>
      <c r="E5735" s="3">
        <v>0.25729999999999997</v>
      </c>
      <c r="F5735">
        <f t="shared" si="91"/>
        <v>0.25729999999999997</v>
      </c>
    </row>
    <row r="5736" spans="1:6" x14ac:dyDescent="0.2">
      <c r="A5736">
        <v>852</v>
      </c>
      <c r="B5736" s="3" t="s">
        <v>118</v>
      </c>
      <c r="C5736" s="3" t="s">
        <v>119</v>
      </c>
      <c r="D5736" s="3">
        <v>1</v>
      </c>
      <c r="E5736" s="3">
        <v>0.83</v>
      </c>
      <c r="F5736">
        <f t="shared" si="91"/>
        <v>0.83</v>
      </c>
    </row>
    <row r="5737" spans="1:6" x14ac:dyDescent="0.2">
      <c r="A5737">
        <v>852</v>
      </c>
      <c r="B5737" s="3" t="s">
        <v>120</v>
      </c>
      <c r="C5737" s="3" t="s">
        <v>117</v>
      </c>
      <c r="D5737" s="3">
        <v>6</v>
      </c>
      <c r="E5737" s="3">
        <v>1.5604</v>
      </c>
      <c r="F5737">
        <f t="shared" si="91"/>
        <v>9.3624000000000009</v>
      </c>
    </row>
    <row r="5738" spans="1:6" x14ac:dyDescent="0.2">
      <c r="A5738">
        <v>852</v>
      </c>
      <c r="B5738" s="3" t="s">
        <v>121</v>
      </c>
      <c r="C5738" s="3" t="s">
        <v>117</v>
      </c>
      <c r="D5738" s="3">
        <v>1</v>
      </c>
      <c r="E5738" s="3">
        <v>270.83730000000003</v>
      </c>
      <c r="F5738">
        <f t="shared" si="91"/>
        <v>270.83730000000003</v>
      </c>
    </row>
    <row r="5739" spans="1:6" x14ac:dyDescent="0.2">
      <c r="A5739">
        <v>852</v>
      </c>
      <c r="B5739" s="3" t="s">
        <v>122</v>
      </c>
      <c r="C5739" s="3" t="s">
        <v>76</v>
      </c>
      <c r="D5739" s="3">
        <v>6</v>
      </c>
      <c r="E5739" s="3">
        <v>14.915100000000001</v>
      </c>
      <c r="F5739">
        <f t="shared" si="91"/>
        <v>89.490600000000001</v>
      </c>
    </row>
    <row r="5740" spans="1:6" x14ac:dyDescent="0.2">
      <c r="A5740">
        <v>852</v>
      </c>
      <c r="B5740" s="3" t="s">
        <v>123</v>
      </c>
      <c r="C5740" s="3" t="s">
        <v>119</v>
      </c>
      <c r="D5740" s="3">
        <v>2</v>
      </c>
      <c r="E5740" s="3">
        <v>122.52460000000001</v>
      </c>
      <c r="F5740">
        <f t="shared" si="91"/>
        <v>245.04920000000001</v>
      </c>
    </row>
    <row r="5741" spans="1:6" x14ac:dyDescent="0.2">
      <c r="A5741">
        <v>852</v>
      </c>
      <c r="B5741" s="3" t="s">
        <v>124</v>
      </c>
      <c r="C5741" s="3" t="s">
        <v>119</v>
      </c>
      <c r="D5741" s="3">
        <v>4</v>
      </c>
      <c r="E5741" s="3">
        <v>65.877099999999999</v>
      </c>
      <c r="F5741">
        <f t="shared" si="91"/>
        <v>263.50839999999999</v>
      </c>
    </row>
    <row r="5742" spans="1:6" x14ac:dyDescent="0.2">
      <c r="A5742">
        <v>852</v>
      </c>
      <c r="B5742" s="3" t="s">
        <v>125</v>
      </c>
      <c r="C5742" s="3" t="s">
        <v>117</v>
      </c>
      <c r="D5742" s="3">
        <v>6</v>
      </c>
      <c r="E5742" s="3">
        <v>45.957099999999997</v>
      </c>
      <c r="F5742">
        <f t="shared" ref="F5742:F5805" si="92">D5742*E5742</f>
        <v>275.74259999999998</v>
      </c>
    </row>
    <row r="5743" spans="1:6" x14ac:dyDescent="0.2">
      <c r="A5743">
        <v>852</v>
      </c>
      <c r="B5743" s="3" t="s">
        <v>126</v>
      </c>
      <c r="C5743" s="3" t="s">
        <v>127</v>
      </c>
      <c r="D5743" s="3">
        <v>6</v>
      </c>
      <c r="E5743" s="3">
        <v>411.49740000000003</v>
      </c>
      <c r="F5743">
        <f t="shared" si="92"/>
        <v>2468.9844000000003</v>
      </c>
    </row>
    <row r="5744" spans="1:6" x14ac:dyDescent="0.2">
      <c r="A5744">
        <v>852</v>
      </c>
      <c r="B5744" s="3" t="s">
        <v>129</v>
      </c>
      <c r="C5744" s="3" t="s">
        <v>130</v>
      </c>
      <c r="D5744" s="3">
        <v>1</v>
      </c>
      <c r="E5744" s="3">
        <v>6724.2780000000002</v>
      </c>
      <c r="F5744">
        <f t="shared" si="92"/>
        <v>6724.2780000000002</v>
      </c>
    </row>
    <row r="5745" spans="1:6" x14ac:dyDescent="0.2">
      <c r="A5745">
        <v>852</v>
      </c>
      <c r="B5745" s="3">
        <v>4656354</v>
      </c>
      <c r="C5745" s="3" t="s">
        <v>133</v>
      </c>
      <c r="D5745" s="3">
        <v>1</v>
      </c>
      <c r="E5745" s="3">
        <v>1168.0260000000001</v>
      </c>
      <c r="F5745">
        <f t="shared" si="92"/>
        <v>1168.0260000000001</v>
      </c>
    </row>
    <row r="5746" spans="1:6" x14ac:dyDescent="0.2">
      <c r="A5746">
        <v>852</v>
      </c>
      <c r="B5746" s="3" t="s">
        <v>110</v>
      </c>
      <c r="C5746" s="3" t="s">
        <v>111</v>
      </c>
      <c r="D5746" s="3">
        <v>3</v>
      </c>
      <c r="E5746" s="3">
        <v>119.83540000000001</v>
      </c>
      <c r="F5746">
        <f t="shared" si="92"/>
        <v>359.50620000000004</v>
      </c>
    </row>
    <row r="5747" spans="1:6" x14ac:dyDescent="0.2">
      <c r="A5747">
        <v>852</v>
      </c>
      <c r="B5747" s="3" t="s">
        <v>112</v>
      </c>
      <c r="C5747" s="3" t="s">
        <v>113</v>
      </c>
      <c r="D5747" s="3">
        <v>5</v>
      </c>
      <c r="E5747" s="3">
        <v>97.646150000000006</v>
      </c>
      <c r="F5747">
        <f t="shared" si="92"/>
        <v>488.23075000000006</v>
      </c>
    </row>
    <row r="5748" spans="1:6" x14ac:dyDescent="0.2">
      <c r="A5748">
        <v>852</v>
      </c>
      <c r="B5748" s="3" t="s">
        <v>110</v>
      </c>
      <c r="C5748" s="3" t="s">
        <v>111</v>
      </c>
      <c r="D5748" s="3">
        <v>6</v>
      </c>
      <c r="E5748" s="3">
        <v>119.83540000000001</v>
      </c>
      <c r="F5748">
        <f t="shared" si="92"/>
        <v>719.01240000000007</v>
      </c>
    </row>
    <row r="5749" spans="1:6" x14ac:dyDescent="0.2">
      <c r="A5749">
        <v>852</v>
      </c>
      <c r="B5749" s="3" t="s">
        <v>112</v>
      </c>
      <c r="C5749" s="3" t="s">
        <v>113</v>
      </c>
      <c r="D5749" s="3">
        <v>6</v>
      </c>
      <c r="E5749" s="3">
        <v>97.646150000000006</v>
      </c>
      <c r="F5749">
        <f t="shared" si="92"/>
        <v>585.87689999999998</v>
      </c>
    </row>
    <row r="5750" spans="1:6" x14ac:dyDescent="0.2">
      <c r="A5750">
        <v>852</v>
      </c>
      <c r="B5750" s="3" t="s">
        <v>97</v>
      </c>
      <c r="C5750" s="3" t="s">
        <v>98</v>
      </c>
      <c r="D5750" s="3">
        <v>5</v>
      </c>
      <c r="E5750" s="3">
        <v>189.87909999999999</v>
      </c>
      <c r="F5750">
        <f t="shared" si="92"/>
        <v>949.39549999999997</v>
      </c>
    </row>
    <row r="5751" spans="1:6" x14ac:dyDescent="0.2">
      <c r="A5751">
        <v>852</v>
      </c>
      <c r="B5751" s="3" t="s">
        <v>99</v>
      </c>
      <c r="C5751" s="3" t="s">
        <v>100</v>
      </c>
      <c r="D5751" s="3">
        <v>5</v>
      </c>
      <c r="E5751" s="3">
        <v>1287.1379999999999</v>
      </c>
      <c r="F5751">
        <f t="shared" si="92"/>
        <v>6435.69</v>
      </c>
    </row>
    <row r="5752" spans="1:6" x14ac:dyDescent="0.2">
      <c r="A5752">
        <v>852</v>
      </c>
      <c r="B5752" s="3" t="s">
        <v>101</v>
      </c>
      <c r="C5752" s="3" t="s">
        <v>102</v>
      </c>
      <c r="D5752" s="3">
        <v>1</v>
      </c>
      <c r="E5752" s="3">
        <v>1363.037</v>
      </c>
      <c r="F5752">
        <f t="shared" si="92"/>
        <v>1363.037</v>
      </c>
    </row>
    <row r="5753" spans="1:6" x14ac:dyDescent="0.2">
      <c r="A5753">
        <v>852</v>
      </c>
      <c r="B5753" s="3" t="s">
        <v>103</v>
      </c>
      <c r="C5753" s="3" t="s">
        <v>104</v>
      </c>
      <c r="D5753" s="3">
        <v>1</v>
      </c>
      <c r="E5753" s="3">
        <v>423.5822</v>
      </c>
      <c r="F5753">
        <f t="shared" si="92"/>
        <v>423.5822</v>
      </c>
    </row>
    <row r="5754" spans="1:6" x14ac:dyDescent="0.2">
      <c r="A5754">
        <v>852</v>
      </c>
      <c r="B5754" s="3" t="s">
        <v>105</v>
      </c>
      <c r="C5754" s="3" t="s">
        <v>106</v>
      </c>
      <c r="D5754" s="3">
        <v>1</v>
      </c>
      <c r="E5754" s="3">
        <v>36.470199999999998</v>
      </c>
      <c r="F5754">
        <f t="shared" si="92"/>
        <v>36.470199999999998</v>
      </c>
    </row>
    <row r="5755" spans="1:6" x14ac:dyDescent="0.2">
      <c r="A5755">
        <v>852</v>
      </c>
      <c r="B5755" s="3" t="s">
        <v>107</v>
      </c>
      <c r="C5755" s="3" t="s">
        <v>108</v>
      </c>
      <c r="D5755" s="3">
        <v>1</v>
      </c>
      <c r="E5755" s="3">
        <v>61.492310000000003</v>
      </c>
      <c r="F5755">
        <f t="shared" si="92"/>
        <v>61.492310000000003</v>
      </c>
    </row>
    <row r="5756" spans="1:6" x14ac:dyDescent="0.2">
      <c r="A5756">
        <v>852</v>
      </c>
      <c r="B5756" s="3" t="s">
        <v>62</v>
      </c>
      <c r="C5756" s="3" t="s">
        <v>323</v>
      </c>
      <c r="D5756" s="3">
        <v>1</v>
      </c>
      <c r="E5756" s="3">
        <v>0.34860000000000002</v>
      </c>
      <c r="F5756">
        <f t="shared" si="92"/>
        <v>0.34860000000000002</v>
      </c>
    </row>
    <row r="5757" spans="1:6" x14ac:dyDescent="0.2">
      <c r="A5757">
        <v>852</v>
      </c>
      <c r="B5757" s="3" t="s">
        <v>324</v>
      </c>
      <c r="C5757" s="3" t="s">
        <v>273</v>
      </c>
      <c r="D5757" s="3">
        <v>1</v>
      </c>
      <c r="E5757" s="3">
        <v>0.95450000000000002</v>
      </c>
      <c r="F5757">
        <f t="shared" si="92"/>
        <v>0.95450000000000002</v>
      </c>
    </row>
    <row r="5758" spans="1:6" x14ac:dyDescent="0.2">
      <c r="A5758">
        <v>852</v>
      </c>
      <c r="B5758" s="3" t="s">
        <v>325</v>
      </c>
      <c r="C5758" s="3" t="s">
        <v>273</v>
      </c>
      <c r="D5758" s="3">
        <v>1</v>
      </c>
      <c r="E5758" s="3">
        <v>3.3692310000000001</v>
      </c>
      <c r="F5758">
        <f t="shared" si="92"/>
        <v>3.3692310000000001</v>
      </c>
    </row>
    <row r="5759" spans="1:6" x14ac:dyDescent="0.2">
      <c r="A5759">
        <v>852</v>
      </c>
      <c r="B5759" s="3" t="s">
        <v>154</v>
      </c>
      <c r="C5759" s="3" t="s">
        <v>278</v>
      </c>
      <c r="D5759" s="3">
        <v>1</v>
      </c>
      <c r="E5759" s="3">
        <v>4.3658000000000001</v>
      </c>
      <c r="F5759">
        <f t="shared" si="92"/>
        <v>4.3658000000000001</v>
      </c>
    </row>
    <row r="5760" spans="1:6" x14ac:dyDescent="0.2">
      <c r="A5760">
        <v>852</v>
      </c>
      <c r="B5760" s="3" t="s">
        <v>290</v>
      </c>
      <c r="C5760" s="3" t="s">
        <v>278</v>
      </c>
      <c r="D5760" s="3">
        <v>1</v>
      </c>
      <c r="E5760" s="3">
        <v>43.751809999999999</v>
      </c>
      <c r="F5760">
        <f t="shared" si="92"/>
        <v>43.751809999999999</v>
      </c>
    </row>
    <row r="5761" spans="1:6" x14ac:dyDescent="0.2">
      <c r="A5761">
        <v>852</v>
      </c>
      <c r="B5761" s="3" t="s">
        <v>288</v>
      </c>
      <c r="C5761" s="3" t="s">
        <v>289</v>
      </c>
      <c r="D5761" s="3">
        <v>1</v>
      </c>
      <c r="E5761" s="3">
        <v>7.340122</v>
      </c>
      <c r="F5761">
        <f t="shared" si="92"/>
        <v>7.340122</v>
      </c>
    </row>
    <row r="5762" spans="1:6" x14ac:dyDescent="0.2">
      <c r="A5762">
        <v>852</v>
      </c>
      <c r="B5762" s="3" t="s">
        <v>287</v>
      </c>
      <c r="C5762" s="3" t="s">
        <v>273</v>
      </c>
      <c r="D5762" s="3">
        <v>1</v>
      </c>
      <c r="E5762" s="3">
        <v>100.669</v>
      </c>
      <c r="F5762">
        <f t="shared" si="92"/>
        <v>100.669</v>
      </c>
    </row>
    <row r="5763" spans="1:6" x14ac:dyDescent="0.2">
      <c r="A5763">
        <v>852</v>
      </c>
      <c r="B5763" s="3" t="s">
        <v>285</v>
      </c>
      <c r="C5763" s="3" t="s">
        <v>286</v>
      </c>
      <c r="D5763" s="3">
        <v>1</v>
      </c>
      <c r="E5763" s="3">
        <v>58.189990000000002</v>
      </c>
      <c r="F5763">
        <f t="shared" si="92"/>
        <v>58.189990000000002</v>
      </c>
    </row>
    <row r="5764" spans="1:6" x14ac:dyDescent="0.2">
      <c r="A5764">
        <v>852</v>
      </c>
      <c r="B5764" s="3" t="s">
        <v>291</v>
      </c>
      <c r="C5764" s="3" t="s">
        <v>278</v>
      </c>
      <c r="D5764" s="3">
        <v>1</v>
      </c>
      <c r="E5764" s="3">
        <v>24.136399999999998</v>
      </c>
      <c r="F5764">
        <f t="shared" si="92"/>
        <v>24.136399999999998</v>
      </c>
    </row>
    <row r="5765" spans="1:6" x14ac:dyDescent="0.2">
      <c r="A5765">
        <v>852</v>
      </c>
      <c r="B5765" s="3" t="s">
        <v>277</v>
      </c>
      <c r="C5765" s="3" t="s">
        <v>278</v>
      </c>
      <c r="D5765" s="3">
        <v>1</v>
      </c>
      <c r="E5765" s="3">
        <v>41.026589999999999</v>
      </c>
      <c r="F5765">
        <f t="shared" si="92"/>
        <v>41.026589999999999</v>
      </c>
    </row>
    <row r="5766" spans="1:6" x14ac:dyDescent="0.2">
      <c r="A5766">
        <v>852</v>
      </c>
      <c r="B5766" s="3" t="s">
        <v>326</v>
      </c>
      <c r="C5766" s="3" t="s">
        <v>278</v>
      </c>
      <c r="D5766" s="3">
        <v>1</v>
      </c>
      <c r="E5766" s="3">
        <v>3.9745979999999999</v>
      </c>
      <c r="F5766">
        <f t="shared" si="92"/>
        <v>3.9745979999999999</v>
      </c>
    </row>
    <row r="5767" spans="1:6" x14ac:dyDescent="0.2">
      <c r="A5767">
        <v>852</v>
      </c>
      <c r="B5767" s="3" t="s">
        <v>274</v>
      </c>
      <c r="C5767" s="3" t="s">
        <v>273</v>
      </c>
      <c r="D5767" s="3">
        <v>1</v>
      </c>
      <c r="E5767" s="3">
        <v>149.23089999999999</v>
      </c>
      <c r="F5767">
        <f t="shared" si="92"/>
        <v>149.23089999999999</v>
      </c>
    </row>
    <row r="5768" spans="1:6" x14ac:dyDescent="0.2">
      <c r="A5768">
        <v>852</v>
      </c>
      <c r="B5768" s="3" t="s">
        <v>327</v>
      </c>
      <c r="C5768" s="3" t="s">
        <v>309</v>
      </c>
      <c r="D5768" s="3">
        <v>1</v>
      </c>
      <c r="E5768" s="3">
        <v>1532.5239999999999</v>
      </c>
      <c r="F5768">
        <f t="shared" si="92"/>
        <v>1532.5239999999999</v>
      </c>
    </row>
    <row r="5769" spans="1:6" x14ac:dyDescent="0.2">
      <c r="A5769">
        <v>852</v>
      </c>
      <c r="B5769" s="3" t="s">
        <v>328</v>
      </c>
      <c r="C5769" s="3" t="s">
        <v>329</v>
      </c>
      <c r="D5769" s="3">
        <v>1</v>
      </c>
      <c r="E5769" s="3">
        <v>155.62309999999999</v>
      </c>
      <c r="F5769">
        <f t="shared" si="92"/>
        <v>155.62309999999999</v>
      </c>
    </row>
    <row r="5770" spans="1:6" x14ac:dyDescent="0.2">
      <c r="A5770">
        <v>852</v>
      </c>
      <c r="B5770" s="3" t="s">
        <v>330</v>
      </c>
      <c r="C5770" s="3" t="s">
        <v>331</v>
      </c>
      <c r="D5770" s="3">
        <v>1</v>
      </c>
      <c r="E5770" s="3">
        <v>710.44619999999998</v>
      </c>
      <c r="F5770">
        <f t="shared" si="92"/>
        <v>710.44619999999998</v>
      </c>
    </row>
    <row r="5771" spans="1:6" x14ac:dyDescent="0.2">
      <c r="A5771">
        <v>852</v>
      </c>
      <c r="B5771" s="3" t="s">
        <v>332</v>
      </c>
      <c r="C5771" s="3" t="s">
        <v>333</v>
      </c>
      <c r="D5771" s="3">
        <v>1</v>
      </c>
      <c r="E5771" s="3">
        <v>167.5538</v>
      </c>
      <c r="F5771">
        <f t="shared" si="92"/>
        <v>167.5538</v>
      </c>
    </row>
    <row r="5772" spans="1:6" x14ac:dyDescent="0.2">
      <c r="A5772">
        <v>852</v>
      </c>
      <c r="B5772" s="3" t="s">
        <v>272</v>
      </c>
      <c r="C5772" s="3" t="s">
        <v>273</v>
      </c>
      <c r="D5772" s="3">
        <v>1</v>
      </c>
      <c r="E5772" s="3">
        <v>170.1112</v>
      </c>
      <c r="F5772">
        <f t="shared" si="92"/>
        <v>170.1112</v>
      </c>
    </row>
    <row r="5773" spans="1:6" x14ac:dyDescent="0.2">
      <c r="A5773">
        <v>852</v>
      </c>
      <c r="B5773" s="3" t="s">
        <v>275</v>
      </c>
      <c r="C5773" s="3" t="s">
        <v>276</v>
      </c>
      <c r="D5773" s="3">
        <v>1</v>
      </c>
      <c r="E5773" s="3">
        <v>9.081448</v>
      </c>
      <c r="F5773">
        <f t="shared" si="92"/>
        <v>9.081448</v>
      </c>
    </row>
    <row r="5774" spans="1:6" x14ac:dyDescent="0.2">
      <c r="A5774">
        <v>852</v>
      </c>
      <c r="B5774" s="3" t="s">
        <v>334</v>
      </c>
      <c r="C5774" s="3" t="s">
        <v>329</v>
      </c>
      <c r="D5774" s="3">
        <v>1</v>
      </c>
      <c r="E5774" s="3">
        <v>149.0308</v>
      </c>
      <c r="F5774">
        <f t="shared" si="92"/>
        <v>149.0308</v>
      </c>
    </row>
    <row r="5775" spans="1:6" x14ac:dyDescent="0.2">
      <c r="A5775">
        <v>852</v>
      </c>
      <c r="B5775" s="3" t="s">
        <v>335</v>
      </c>
      <c r="C5775" s="3" t="s">
        <v>331</v>
      </c>
      <c r="D5775" s="3">
        <v>1</v>
      </c>
      <c r="E5775" s="3">
        <v>703.1</v>
      </c>
      <c r="F5775">
        <f t="shared" si="92"/>
        <v>703.1</v>
      </c>
    </row>
    <row r="5776" spans="1:6" x14ac:dyDescent="0.2">
      <c r="A5776">
        <v>852</v>
      </c>
      <c r="B5776" s="3" t="s">
        <v>336</v>
      </c>
      <c r="C5776" s="3" t="s">
        <v>333</v>
      </c>
      <c r="D5776" s="3">
        <v>1</v>
      </c>
      <c r="E5776" s="3">
        <v>288.42309999999998</v>
      </c>
      <c r="F5776">
        <f t="shared" si="92"/>
        <v>288.42309999999998</v>
      </c>
    </row>
    <row r="5777" spans="1:6" x14ac:dyDescent="0.2">
      <c r="A5777">
        <v>852</v>
      </c>
      <c r="B5777" s="3" t="s">
        <v>337</v>
      </c>
      <c r="C5777" s="3" t="s">
        <v>297</v>
      </c>
      <c r="D5777" s="3">
        <v>1</v>
      </c>
      <c r="E5777" s="3">
        <v>11.761100000000001</v>
      </c>
      <c r="F5777">
        <f t="shared" si="92"/>
        <v>11.761100000000001</v>
      </c>
    </row>
    <row r="5778" spans="1:6" x14ac:dyDescent="0.2">
      <c r="A5778">
        <v>852</v>
      </c>
      <c r="B5778" s="3" t="s">
        <v>338</v>
      </c>
      <c r="C5778" s="3" t="s">
        <v>297</v>
      </c>
      <c r="D5778" s="3">
        <v>1</v>
      </c>
      <c r="E5778" s="3">
        <v>11.712960000000001</v>
      </c>
      <c r="F5778">
        <f t="shared" si="92"/>
        <v>11.712960000000001</v>
      </c>
    </row>
    <row r="5779" spans="1:6" x14ac:dyDescent="0.2">
      <c r="A5779">
        <v>852</v>
      </c>
      <c r="B5779" s="3" t="s">
        <v>339</v>
      </c>
      <c r="C5779" s="3" t="s">
        <v>297</v>
      </c>
      <c r="D5779" s="3">
        <v>1</v>
      </c>
      <c r="E5779" s="3">
        <v>20.279039999999998</v>
      </c>
      <c r="F5779">
        <f t="shared" si="92"/>
        <v>20.279039999999998</v>
      </c>
    </row>
    <row r="5780" spans="1:6" x14ac:dyDescent="0.2">
      <c r="A5780">
        <v>852</v>
      </c>
      <c r="B5780" s="3" t="s">
        <v>340</v>
      </c>
      <c r="C5780" s="3" t="s">
        <v>309</v>
      </c>
      <c r="D5780" s="3">
        <v>1</v>
      </c>
      <c r="E5780" s="3">
        <v>1536.3340000000001</v>
      </c>
      <c r="F5780">
        <f t="shared" si="92"/>
        <v>1536.3340000000001</v>
      </c>
    </row>
    <row r="5781" spans="1:6" x14ac:dyDescent="0.2">
      <c r="A5781">
        <v>852</v>
      </c>
      <c r="B5781" s="3" t="s">
        <v>341</v>
      </c>
      <c r="C5781" s="3" t="s">
        <v>342</v>
      </c>
      <c r="D5781" s="3">
        <v>1</v>
      </c>
      <c r="E5781" s="3">
        <v>307.22449999999998</v>
      </c>
      <c r="F5781">
        <f t="shared" si="92"/>
        <v>307.22449999999998</v>
      </c>
    </row>
    <row r="5782" spans="1:6" x14ac:dyDescent="0.2">
      <c r="A5782">
        <v>852</v>
      </c>
      <c r="B5782" s="3" t="s">
        <v>284</v>
      </c>
      <c r="C5782" s="3" t="s">
        <v>273</v>
      </c>
      <c r="D5782" s="3">
        <v>1</v>
      </c>
      <c r="E5782" s="3">
        <v>15.547000000000001</v>
      </c>
      <c r="F5782">
        <f t="shared" si="92"/>
        <v>15.547000000000001</v>
      </c>
    </row>
    <row r="5783" spans="1:6" x14ac:dyDescent="0.2">
      <c r="A5783">
        <v>852</v>
      </c>
      <c r="B5783" s="3" t="s">
        <v>283</v>
      </c>
      <c r="C5783" s="3" t="s">
        <v>278</v>
      </c>
      <c r="D5783" s="3">
        <v>1</v>
      </c>
      <c r="E5783" s="3">
        <v>101.76220000000001</v>
      </c>
      <c r="F5783">
        <f t="shared" si="92"/>
        <v>101.76220000000001</v>
      </c>
    </row>
    <row r="5784" spans="1:6" x14ac:dyDescent="0.2">
      <c r="A5784">
        <v>852</v>
      </c>
      <c r="B5784" s="3" t="s">
        <v>281</v>
      </c>
      <c r="C5784" s="3" t="s">
        <v>282</v>
      </c>
      <c r="D5784" s="3">
        <v>1</v>
      </c>
      <c r="E5784" s="3">
        <v>43.369190000000003</v>
      </c>
      <c r="F5784">
        <f t="shared" si="92"/>
        <v>43.369190000000003</v>
      </c>
    </row>
    <row r="5785" spans="1:6" x14ac:dyDescent="0.2">
      <c r="A5785">
        <v>852</v>
      </c>
      <c r="B5785" s="3" t="s">
        <v>279</v>
      </c>
      <c r="C5785" s="3" t="s">
        <v>280</v>
      </c>
      <c r="D5785" s="3">
        <v>1</v>
      </c>
      <c r="E5785" s="3">
        <v>36.786499999999997</v>
      </c>
      <c r="F5785">
        <f t="shared" si="92"/>
        <v>36.786499999999997</v>
      </c>
    </row>
    <row r="5786" spans="1:6" x14ac:dyDescent="0.2">
      <c r="A5786">
        <v>852</v>
      </c>
      <c r="B5786" s="3" t="s">
        <v>343</v>
      </c>
      <c r="C5786" s="3" t="s">
        <v>282</v>
      </c>
      <c r="D5786" s="3">
        <v>1</v>
      </c>
      <c r="E5786" s="3">
        <v>16.807500000000001</v>
      </c>
      <c r="F5786">
        <f t="shared" si="92"/>
        <v>16.807500000000001</v>
      </c>
    </row>
    <row r="5787" spans="1:6" x14ac:dyDescent="0.2">
      <c r="A5787">
        <v>852</v>
      </c>
      <c r="B5787" s="3" t="s">
        <v>344</v>
      </c>
      <c r="C5787" s="3" t="s">
        <v>282</v>
      </c>
      <c r="D5787" s="3">
        <v>1</v>
      </c>
      <c r="E5787" s="3">
        <v>12.76713</v>
      </c>
      <c r="F5787">
        <f t="shared" si="92"/>
        <v>12.76713</v>
      </c>
    </row>
    <row r="5788" spans="1:6" x14ac:dyDescent="0.2">
      <c r="A5788">
        <v>852</v>
      </c>
      <c r="B5788" s="3" t="s">
        <v>270</v>
      </c>
      <c r="C5788" s="3" t="s">
        <v>271</v>
      </c>
      <c r="D5788" s="3">
        <v>1</v>
      </c>
      <c r="E5788" s="3">
        <v>3027.0970000000002</v>
      </c>
      <c r="F5788">
        <f t="shared" si="92"/>
        <v>3027.0970000000002</v>
      </c>
    </row>
    <row r="5789" spans="1:6" x14ac:dyDescent="0.2">
      <c r="A5789">
        <v>852</v>
      </c>
      <c r="B5789" s="3" t="s">
        <v>272</v>
      </c>
      <c r="C5789" s="3" t="s">
        <v>273</v>
      </c>
      <c r="D5789" s="3">
        <v>1</v>
      </c>
      <c r="E5789" s="3">
        <v>170.1112</v>
      </c>
      <c r="F5789">
        <f t="shared" si="92"/>
        <v>170.1112</v>
      </c>
    </row>
    <row r="5790" spans="1:6" x14ac:dyDescent="0.2">
      <c r="A5790">
        <v>852</v>
      </c>
      <c r="B5790" s="3" t="s">
        <v>274</v>
      </c>
      <c r="C5790" s="3" t="s">
        <v>273</v>
      </c>
      <c r="D5790" s="3">
        <v>1</v>
      </c>
      <c r="E5790" s="3">
        <v>149.23089999999999</v>
      </c>
      <c r="F5790">
        <f t="shared" si="92"/>
        <v>149.23089999999999</v>
      </c>
    </row>
    <row r="5791" spans="1:6" x14ac:dyDescent="0.2">
      <c r="A5791">
        <v>852</v>
      </c>
      <c r="B5791" s="3" t="s">
        <v>275</v>
      </c>
      <c r="C5791" s="3" t="s">
        <v>276</v>
      </c>
      <c r="D5791" s="3">
        <v>2</v>
      </c>
      <c r="E5791" s="3">
        <v>9.081448</v>
      </c>
      <c r="F5791">
        <f t="shared" si="92"/>
        <v>18.162896</v>
      </c>
    </row>
    <row r="5792" spans="1:6" x14ac:dyDescent="0.2">
      <c r="A5792">
        <v>852</v>
      </c>
      <c r="B5792" s="3" t="s">
        <v>277</v>
      </c>
      <c r="C5792" s="3" t="s">
        <v>278</v>
      </c>
      <c r="D5792" s="3">
        <v>5</v>
      </c>
      <c r="E5792" s="3">
        <v>41.026589999999999</v>
      </c>
      <c r="F5792">
        <f t="shared" si="92"/>
        <v>205.13294999999999</v>
      </c>
    </row>
    <row r="5793" spans="1:6" x14ac:dyDescent="0.2">
      <c r="A5793">
        <v>852</v>
      </c>
      <c r="B5793" s="3" t="s">
        <v>279</v>
      </c>
      <c r="C5793" s="3" t="s">
        <v>280</v>
      </c>
      <c r="D5793" s="3">
        <v>1</v>
      </c>
      <c r="E5793" s="3">
        <v>36.786499999999997</v>
      </c>
      <c r="F5793">
        <f t="shared" si="92"/>
        <v>36.786499999999997</v>
      </c>
    </row>
    <row r="5794" spans="1:6" x14ac:dyDescent="0.2">
      <c r="A5794">
        <v>852</v>
      </c>
      <c r="B5794" s="3" t="s">
        <v>281</v>
      </c>
      <c r="C5794" s="3" t="s">
        <v>282</v>
      </c>
      <c r="D5794" s="3">
        <v>1</v>
      </c>
      <c r="E5794" s="3">
        <v>43.369190000000003</v>
      </c>
      <c r="F5794">
        <f t="shared" si="92"/>
        <v>43.369190000000003</v>
      </c>
    </row>
    <row r="5795" spans="1:6" x14ac:dyDescent="0.2">
      <c r="A5795">
        <v>852</v>
      </c>
      <c r="B5795" s="3" t="s">
        <v>283</v>
      </c>
      <c r="C5795" s="3" t="s">
        <v>278</v>
      </c>
      <c r="D5795" s="3">
        <v>3</v>
      </c>
      <c r="E5795" s="3">
        <v>101.76220000000001</v>
      </c>
      <c r="F5795">
        <f t="shared" si="92"/>
        <v>305.28660000000002</v>
      </c>
    </row>
    <row r="5796" spans="1:6" x14ac:dyDescent="0.2">
      <c r="A5796">
        <v>852</v>
      </c>
      <c r="B5796" s="3" t="s">
        <v>284</v>
      </c>
      <c r="C5796" s="3" t="s">
        <v>273</v>
      </c>
      <c r="D5796" s="3">
        <v>1</v>
      </c>
      <c r="E5796" s="3">
        <v>15.547000000000001</v>
      </c>
      <c r="F5796">
        <f t="shared" si="92"/>
        <v>15.547000000000001</v>
      </c>
    </row>
    <row r="5797" spans="1:6" x14ac:dyDescent="0.2">
      <c r="A5797">
        <v>852</v>
      </c>
      <c r="B5797" s="3" t="s">
        <v>285</v>
      </c>
      <c r="C5797" s="3" t="s">
        <v>286</v>
      </c>
      <c r="D5797" s="3">
        <v>2</v>
      </c>
      <c r="E5797" s="3">
        <v>58.189990000000002</v>
      </c>
      <c r="F5797">
        <f t="shared" si="92"/>
        <v>116.37998</v>
      </c>
    </row>
    <row r="5798" spans="1:6" x14ac:dyDescent="0.2">
      <c r="A5798">
        <v>852</v>
      </c>
      <c r="B5798" s="3" t="s">
        <v>287</v>
      </c>
      <c r="C5798" s="3" t="s">
        <v>273</v>
      </c>
      <c r="D5798" s="3">
        <v>2</v>
      </c>
      <c r="E5798" s="3">
        <v>100.669</v>
      </c>
      <c r="F5798">
        <f t="shared" si="92"/>
        <v>201.33799999999999</v>
      </c>
    </row>
    <row r="5799" spans="1:6" x14ac:dyDescent="0.2">
      <c r="A5799">
        <v>852</v>
      </c>
      <c r="B5799" s="3" t="s">
        <v>288</v>
      </c>
      <c r="C5799" s="3" t="s">
        <v>289</v>
      </c>
      <c r="D5799" s="3">
        <v>2</v>
      </c>
      <c r="E5799" s="3">
        <v>7.340122</v>
      </c>
      <c r="F5799">
        <f t="shared" si="92"/>
        <v>14.680244</v>
      </c>
    </row>
    <row r="5800" spans="1:6" x14ac:dyDescent="0.2">
      <c r="A5800">
        <v>852</v>
      </c>
      <c r="B5800" s="3" t="s">
        <v>290</v>
      </c>
      <c r="C5800" s="3" t="s">
        <v>278</v>
      </c>
      <c r="D5800" s="3">
        <v>4</v>
      </c>
      <c r="E5800" s="3">
        <v>43.751809999999999</v>
      </c>
      <c r="F5800">
        <f t="shared" si="92"/>
        <v>175.00724</v>
      </c>
    </row>
    <row r="5801" spans="1:6" x14ac:dyDescent="0.2">
      <c r="A5801">
        <v>852</v>
      </c>
      <c r="B5801" s="3" t="s">
        <v>277</v>
      </c>
      <c r="C5801" s="3" t="s">
        <v>278</v>
      </c>
      <c r="D5801" s="3">
        <v>5</v>
      </c>
      <c r="E5801" s="3">
        <v>41.026589999999999</v>
      </c>
      <c r="F5801">
        <f t="shared" si="92"/>
        <v>205.13294999999999</v>
      </c>
    </row>
    <row r="5802" spans="1:6" x14ac:dyDescent="0.2">
      <c r="A5802">
        <v>852</v>
      </c>
      <c r="B5802" s="3" t="s">
        <v>291</v>
      </c>
      <c r="C5802" s="3" t="s">
        <v>278</v>
      </c>
      <c r="D5802" s="3">
        <v>5</v>
      </c>
      <c r="E5802" s="3">
        <v>24.136399999999998</v>
      </c>
      <c r="F5802">
        <f t="shared" si="92"/>
        <v>120.68199999999999</v>
      </c>
    </row>
    <row r="5803" spans="1:6" x14ac:dyDescent="0.2">
      <c r="A5803">
        <v>852</v>
      </c>
      <c r="B5803" s="3" t="s">
        <v>292</v>
      </c>
      <c r="C5803" s="3" t="s">
        <v>293</v>
      </c>
      <c r="D5803" s="3">
        <v>2</v>
      </c>
      <c r="E5803" s="3">
        <v>96.852699999999999</v>
      </c>
      <c r="F5803">
        <f t="shared" si="92"/>
        <v>193.7054</v>
      </c>
    </row>
    <row r="5804" spans="1:6" x14ac:dyDescent="0.2">
      <c r="A5804">
        <v>852</v>
      </c>
      <c r="B5804" s="3" t="s">
        <v>294</v>
      </c>
      <c r="C5804" s="3" t="s">
        <v>278</v>
      </c>
      <c r="D5804" s="3">
        <v>108</v>
      </c>
      <c r="E5804" s="3">
        <v>26.221409999999999</v>
      </c>
      <c r="F5804">
        <f t="shared" si="92"/>
        <v>2831.91228</v>
      </c>
    </row>
    <row r="5805" spans="1:6" x14ac:dyDescent="0.2">
      <c r="A5805">
        <v>852</v>
      </c>
      <c r="B5805" s="3" t="s">
        <v>295</v>
      </c>
      <c r="C5805" s="3" t="s">
        <v>273</v>
      </c>
      <c r="D5805" s="3">
        <v>108</v>
      </c>
      <c r="E5805" s="3">
        <v>54.88693</v>
      </c>
      <c r="F5805">
        <f t="shared" si="92"/>
        <v>5927.7884400000003</v>
      </c>
    </row>
    <row r="5806" spans="1:6" x14ac:dyDescent="0.2">
      <c r="A5806">
        <v>852</v>
      </c>
      <c r="B5806" s="3" t="s">
        <v>296</v>
      </c>
      <c r="C5806" s="3" t="s">
        <v>297</v>
      </c>
      <c r="D5806" s="3">
        <v>13</v>
      </c>
      <c r="E5806" s="3">
        <v>5.5029000000000003</v>
      </c>
      <c r="F5806">
        <f t="shared" ref="F5806:F5839" si="93">D5806*E5806</f>
        <v>71.537700000000001</v>
      </c>
    </row>
    <row r="5807" spans="1:6" x14ac:dyDescent="0.2">
      <c r="A5807">
        <v>852</v>
      </c>
      <c r="B5807" s="3" t="s">
        <v>298</v>
      </c>
      <c r="C5807" s="3" t="s">
        <v>297</v>
      </c>
      <c r="D5807" s="3">
        <v>26</v>
      </c>
      <c r="E5807" s="3">
        <v>5.9344999999999999</v>
      </c>
      <c r="F5807">
        <f t="shared" si="93"/>
        <v>154.297</v>
      </c>
    </row>
    <row r="5808" spans="1:6" x14ac:dyDescent="0.2">
      <c r="A5808">
        <v>852</v>
      </c>
      <c r="B5808" s="3" t="s">
        <v>299</v>
      </c>
      <c r="C5808" s="3" t="s">
        <v>297</v>
      </c>
      <c r="D5808" s="3">
        <v>13</v>
      </c>
      <c r="E5808" s="3">
        <v>4.3574999999999999</v>
      </c>
      <c r="F5808">
        <f t="shared" si="93"/>
        <v>56.647500000000001</v>
      </c>
    </row>
    <row r="5809" spans="1:6" x14ac:dyDescent="0.2">
      <c r="A5809">
        <v>852</v>
      </c>
      <c r="B5809" s="3" t="s">
        <v>122</v>
      </c>
      <c r="C5809" s="3" t="s">
        <v>276</v>
      </c>
      <c r="D5809" s="3">
        <v>12</v>
      </c>
      <c r="E5809" s="3">
        <v>14.915100000000001</v>
      </c>
      <c r="F5809">
        <f t="shared" si="93"/>
        <v>178.9812</v>
      </c>
    </row>
    <row r="5810" spans="1:6" x14ac:dyDescent="0.2">
      <c r="A5810">
        <v>852</v>
      </c>
      <c r="B5810" s="3" t="s">
        <v>120</v>
      </c>
      <c r="C5810" s="3" t="s">
        <v>278</v>
      </c>
      <c r="D5810" s="3">
        <v>25</v>
      </c>
      <c r="E5810" s="3">
        <v>1.5604</v>
      </c>
      <c r="F5810">
        <f t="shared" si="93"/>
        <v>39.01</v>
      </c>
    </row>
    <row r="5811" spans="1:6" x14ac:dyDescent="0.2">
      <c r="A5811">
        <v>852</v>
      </c>
      <c r="B5811" s="3" t="s">
        <v>300</v>
      </c>
      <c r="C5811" s="3" t="s">
        <v>273</v>
      </c>
      <c r="D5811" s="3">
        <v>12</v>
      </c>
      <c r="E5811" s="3">
        <v>60.59</v>
      </c>
      <c r="F5811">
        <f t="shared" si="93"/>
        <v>727.08</v>
      </c>
    </row>
    <row r="5812" spans="1:6" x14ac:dyDescent="0.2">
      <c r="A5812">
        <v>852</v>
      </c>
      <c r="B5812" s="3" t="s">
        <v>301</v>
      </c>
      <c r="C5812" s="3" t="s">
        <v>302</v>
      </c>
      <c r="D5812" s="3">
        <v>2</v>
      </c>
      <c r="E5812" s="3">
        <v>104.8857</v>
      </c>
      <c r="F5812">
        <f t="shared" si="93"/>
        <v>209.7714</v>
      </c>
    </row>
    <row r="5813" spans="1:6" x14ac:dyDescent="0.2">
      <c r="A5813">
        <v>852</v>
      </c>
      <c r="B5813" s="3" t="s">
        <v>303</v>
      </c>
      <c r="C5813" s="3" t="s">
        <v>304</v>
      </c>
      <c r="D5813" s="3">
        <v>2</v>
      </c>
      <c r="E5813" s="3">
        <v>683.94489999999996</v>
      </c>
      <c r="F5813">
        <f t="shared" si="93"/>
        <v>1367.8897999999999</v>
      </c>
    </row>
    <row r="5814" spans="1:6" x14ac:dyDescent="0.2">
      <c r="A5814">
        <v>852</v>
      </c>
      <c r="B5814" s="3" t="s">
        <v>305</v>
      </c>
      <c r="C5814" s="3" t="s">
        <v>273</v>
      </c>
      <c r="D5814" s="3">
        <v>2</v>
      </c>
      <c r="E5814" s="3">
        <v>71.189099999999996</v>
      </c>
      <c r="F5814">
        <f t="shared" si="93"/>
        <v>142.37819999999999</v>
      </c>
    </row>
    <row r="5815" spans="1:6" x14ac:dyDescent="0.2">
      <c r="A5815">
        <v>852</v>
      </c>
      <c r="B5815" s="3" t="s">
        <v>294</v>
      </c>
      <c r="C5815" s="3" t="s">
        <v>278</v>
      </c>
      <c r="D5815" s="3">
        <v>8</v>
      </c>
      <c r="E5815" s="3">
        <v>26.221409999999999</v>
      </c>
      <c r="F5815">
        <f t="shared" si="93"/>
        <v>209.77127999999999</v>
      </c>
    </row>
    <row r="5816" spans="1:6" x14ac:dyDescent="0.2">
      <c r="A5816">
        <v>852</v>
      </c>
      <c r="B5816" s="3" t="s">
        <v>306</v>
      </c>
      <c r="C5816" s="3" t="s">
        <v>273</v>
      </c>
      <c r="D5816" s="3">
        <v>8</v>
      </c>
      <c r="E5816" s="3">
        <v>99.575779999999995</v>
      </c>
      <c r="F5816">
        <f t="shared" si="93"/>
        <v>796.60623999999996</v>
      </c>
    </row>
    <row r="5817" spans="1:6" x14ac:dyDescent="0.2">
      <c r="A5817">
        <v>852</v>
      </c>
      <c r="B5817" s="3" t="s">
        <v>294</v>
      </c>
      <c r="C5817" s="3" t="s">
        <v>278</v>
      </c>
      <c r="D5817" s="3">
        <v>8</v>
      </c>
      <c r="E5817" s="3">
        <v>26.221409999999999</v>
      </c>
      <c r="F5817">
        <f t="shared" si="93"/>
        <v>209.77127999999999</v>
      </c>
    </row>
    <row r="5818" spans="1:6" x14ac:dyDescent="0.2">
      <c r="A5818">
        <v>852</v>
      </c>
      <c r="B5818" s="3" t="s">
        <v>306</v>
      </c>
      <c r="C5818" s="3" t="s">
        <v>273</v>
      </c>
      <c r="D5818" s="3">
        <v>8</v>
      </c>
      <c r="E5818" s="3">
        <v>99.575779999999995</v>
      </c>
      <c r="F5818">
        <f t="shared" si="93"/>
        <v>796.60623999999996</v>
      </c>
    </row>
    <row r="5819" spans="1:6" x14ac:dyDescent="0.2">
      <c r="A5819">
        <v>852</v>
      </c>
      <c r="B5819" s="3" t="s">
        <v>308</v>
      </c>
      <c r="C5819" s="3" t="s">
        <v>309</v>
      </c>
      <c r="D5819" s="3">
        <v>1</v>
      </c>
      <c r="E5819" s="3">
        <v>167.62309999999999</v>
      </c>
      <c r="F5819">
        <f t="shared" si="93"/>
        <v>167.62309999999999</v>
      </c>
    </row>
    <row r="5820" spans="1:6" x14ac:dyDescent="0.2">
      <c r="A5820">
        <v>852</v>
      </c>
      <c r="B5820" s="3" t="s">
        <v>310</v>
      </c>
      <c r="C5820" s="3" t="s">
        <v>273</v>
      </c>
      <c r="D5820" s="3">
        <v>1</v>
      </c>
      <c r="E5820" s="3">
        <v>0.33200000000000002</v>
      </c>
      <c r="F5820">
        <f t="shared" si="93"/>
        <v>0.33200000000000002</v>
      </c>
    </row>
    <row r="5821" spans="1:6" x14ac:dyDescent="0.2">
      <c r="A5821">
        <v>852</v>
      </c>
      <c r="B5821" s="3" t="s">
        <v>197</v>
      </c>
      <c r="C5821" s="3" t="s">
        <v>278</v>
      </c>
      <c r="D5821" s="3">
        <v>8</v>
      </c>
      <c r="E5821" s="3">
        <v>7.4700000000000003E-2</v>
      </c>
      <c r="F5821">
        <f t="shared" si="93"/>
        <v>0.59760000000000002</v>
      </c>
    </row>
    <row r="5822" spans="1:6" x14ac:dyDescent="0.2">
      <c r="A5822">
        <v>852</v>
      </c>
      <c r="B5822" s="3" t="s">
        <v>311</v>
      </c>
      <c r="C5822" s="3" t="s">
        <v>273</v>
      </c>
      <c r="D5822" s="3">
        <v>52</v>
      </c>
      <c r="E5822" s="3">
        <v>1.5935999999999999</v>
      </c>
      <c r="F5822">
        <f t="shared" si="93"/>
        <v>82.867199999999997</v>
      </c>
    </row>
    <row r="5823" spans="1:6" x14ac:dyDescent="0.2">
      <c r="A5823">
        <v>852</v>
      </c>
      <c r="B5823" s="3" t="s">
        <v>312</v>
      </c>
      <c r="C5823" s="3" t="s">
        <v>278</v>
      </c>
      <c r="D5823" s="3">
        <v>3</v>
      </c>
      <c r="E5823" s="3">
        <v>21.040500000000002</v>
      </c>
      <c r="F5823">
        <f t="shared" si="93"/>
        <v>63.121500000000005</v>
      </c>
    </row>
    <row r="5824" spans="1:6" x14ac:dyDescent="0.2">
      <c r="A5824">
        <v>852</v>
      </c>
      <c r="B5824" s="3" t="s">
        <v>75</v>
      </c>
      <c r="C5824" s="3" t="s">
        <v>313</v>
      </c>
      <c r="D5824" s="3">
        <v>3</v>
      </c>
      <c r="E5824" s="3">
        <v>0.115385</v>
      </c>
      <c r="F5824">
        <f t="shared" si="93"/>
        <v>0.34615499999999999</v>
      </c>
    </row>
    <row r="5825" spans="1:6" x14ac:dyDescent="0.2">
      <c r="A5825">
        <v>852</v>
      </c>
      <c r="B5825" s="3" t="s">
        <v>314</v>
      </c>
      <c r="C5825" s="3" t="s">
        <v>273</v>
      </c>
      <c r="D5825" s="3">
        <v>36</v>
      </c>
      <c r="E5825" s="3">
        <v>0.45650000000000002</v>
      </c>
      <c r="F5825">
        <f t="shared" si="93"/>
        <v>16.434000000000001</v>
      </c>
    </row>
    <row r="5826" spans="1:6" x14ac:dyDescent="0.2">
      <c r="A5826">
        <v>852</v>
      </c>
      <c r="B5826" s="3" t="s">
        <v>314</v>
      </c>
      <c r="C5826" s="3" t="s">
        <v>315</v>
      </c>
      <c r="D5826" s="3">
        <v>12</v>
      </c>
      <c r="E5826" s="3">
        <v>0.45650000000000002</v>
      </c>
      <c r="F5826">
        <f t="shared" si="93"/>
        <v>5.4779999999999998</v>
      </c>
    </row>
    <row r="5827" spans="1:6" x14ac:dyDescent="0.2">
      <c r="A5827">
        <v>852</v>
      </c>
      <c r="B5827" s="3" t="s">
        <v>316</v>
      </c>
      <c r="C5827" s="3" t="s">
        <v>317</v>
      </c>
      <c r="D5827" s="3">
        <v>1</v>
      </c>
      <c r="E5827" s="3">
        <v>92.206620000000001</v>
      </c>
      <c r="F5827">
        <f t="shared" si="93"/>
        <v>92.206620000000001</v>
      </c>
    </row>
    <row r="5828" spans="1:6" x14ac:dyDescent="0.2">
      <c r="A5828">
        <v>852</v>
      </c>
      <c r="B5828" s="3" t="s">
        <v>318</v>
      </c>
      <c r="C5828" s="3" t="s">
        <v>319</v>
      </c>
      <c r="D5828" s="3">
        <v>2</v>
      </c>
      <c r="E5828" s="3">
        <v>85.453850000000003</v>
      </c>
      <c r="F5828">
        <f t="shared" si="93"/>
        <v>170.90770000000001</v>
      </c>
    </row>
    <row r="5829" spans="1:6" x14ac:dyDescent="0.2">
      <c r="A5829">
        <v>852</v>
      </c>
      <c r="B5829" s="3" t="s">
        <v>320</v>
      </c>
      <c r="C5829" s="3" t="s">
        <v>321</v>
      </c>
      <c r="D5829" s="3">
        <v>1</v>
      </c>
      <c r="E5829" s="3">
        <v>92.206620000000001</v>
      </c>
      <c r="F5829">
        <f t="shared" si="93"/>
        <v>92.206620000000001</v>
      </c>
    </row>
    <row r="5830" spans="1:6" x14ac:dyDescent="0.2">
      <c r="A5830">
        <v>852</v>
      </c>
      <c r="B5830" s="3" t="s">
        <v>267</v>
      </c>
      <c r="C5830" s="3" t="s">
        <v>268</v>
      </c>
      <c r="D5830" s="3">
        <v>1</v>
      </c>
      <c r="E5830" s="3">
        <v>84863.13</v>
      </c>
      <c r="F5830">
        <f t="shared" si="93"/>
        <v>84863.13</v>
      </c>
    </row>
    <row r="5831" spans="1:6" x14ac:dyDescent="0.2">
      <c r="A5831">
        <v>852</v>
      </c>
      <c r="B5831" s="3" t="s">
        <v>260</v>
      </c>
      <c r="C5831" s="3" t="s">
        <v>261</v>
      </c>
      <c r="D5831" s="3">
        <v>1</v>
      </c>
      <c r="E5831" s="3">
        <v>2908.2939999999999</v>
      </c>
      <c r="F5831">
        <f t="shared" si="93"/>
        <v>2908.2939999999999</v>
      </c>
    </row>
    <row r="5832" spans="1:6" x14ac:dyDescent="0.2">
      <c r="A5832">
        <v>852</v>
      </c>
      <c r="B5832" s="3" t="s">
        <v>262</v>
      </c>
      <c r="C5832" s="3" t="s">
        <v>263</v>
      </c>
      <c r="D5832" s="3">
        <v>1</v>
      </c>
      <c r="E5832" s="3">
        <v>3207.1970000000001</v>
      </c>
      <c r="F5832">
        <f t="shared" si="93"/>
        <v>3207.1970000000001</v>
      </c>
    </row>
    <row r="5833" spans="1:6" x14ac:dyDescent="0.2">
      <c r="A5833">
        <v>852</v>
      </c>
      <c r="B5833" s="3" t="s">
        <v>264</v>
      </c>
      <c r="C5833" s="3" t="s">
        <v>265</v>
      </c>
      <c r="D5833" s="3">
        <v>1</v>
      </c>
      <c r="E5833" s="3">
        <v>3466.7310000000002</v>
      </c>
      <c r="F5833">
        <f t="shared" si="93"/>
        <v>3466.7310000000002</v>
      </c>
    </row>
    <row r="5834" spans="1:6" x14ac:dyDescent="0.2">
      <c r="A5834">
        <v>852</v>
      </c>
      <c r="B5834" s="3" t="s">
        <v>259</v>
      </c>
      <c r="C5834" s="3" t="s">
        <v>258</v>
      </c>
      <c r="D5834" s="3">
        <v>1</v>
      </c>
      <c r="E5834" s="3">
        <v>3325.9760000000001</v>
      </c>
      <c r="F5834">
        <f t="shared" si="93"/>
        <v>3325.9760000000001</v>
      </c>
    </row>
    <row r="5835" spans="1:6" x14ac:dyDescent="0.2">
      <c r="A5835">
        <v>852</v>
      </c>
      <c r="B5835" s="3" t="s">
        <v>257</v>
      </c>
      <c r="C5835" s="3" t="s">
        <v>258</v>
      </c>
      <c r="D5835" s="3">
        <v>1</v>
      </c>
      <c r="E5835" s="3">
        <v>3325.9760000000001</v>
      </c>
      <c r="F5835">
        <f t="shared" si="93"/>
        <v>3325.9760000000001</v>
      </c>
    </row>
    <row r="5836" spans="1:6" x14ac:dyDescent="0.2">
      <c r="A5836">
        <v>852</v>
      </c>
      <c r="B5836" s="3" t="s">
        <v>255</v>
      </c>
      <c r="C5836" s="3" t="s">
        <v>256</v>
      </c>
      <c r="D5836" s="3">
        <v>1</v>
      </c>
      <c r="E5836" s="3">
        <v>18546.09</v>
      </c>
      <c r="F5836">
        <f t="shared" si="93"/>
        <v>18546.09</v>
      </c>
    </row>
    <row r="5837" spans="1:6" x14ac:dyDescent="0.2">
      <c r="A5837">
        <v>852</v>
      </c>
      <c r="B5837" s="3" t="s">
        <v>253</v>
      </c>
      <c r="C5837" s="3" t="s">
        <v>254</v>
      </c>
      <c r="D5837" s="3">
        <v>1</v>
      </c>
      <c r="E5837" s="3">
        <v>21043.68</v>
      </c>
      <c r="F5837">
        <f t="shared" si="93"/>
        <v>21043.68</v>
      </c>
    </row>
    <row r="5838" spans="1:6" x14ac:dyDescent="0.2">
      <c r="A5838">
        <v>852</v>
      </c>
      <c r="B5838" s="3" t="s">
        <v>359</v>
      </c>
      <c r="C5838" s="3" t="s">
        <v>360</v>
      </c>
      <c r="D5838" s="3">
        <v>1</v>
      </c>
      <c r="E5838" s="3">
        <v>1844.9380000000001</v>
      </c>
      <c r="F5838">
        <f t="shared" si="93"/>
        <v>1844.9380000000001</v>
      </c>
    </row>
    <row r="5839" spans="1:6" x14ac:dyDescent="0.2">
      <c r="A5839">
        <v>852</v>
      </c>
      <c r="B5839" s="3" t="s">
        <v>389</v>
      </c>
      <c r="C5839" s="3" t="s">
        <v>390</v>
      </c>
      <c r="D5839">
        <v>1</v>
      </c>
      <c r="E5839" s="3">
        <v>4906</v>
      </c>
      <c r="F5839">
        <f t="shared" si="93"/>
        <v>4906</v>
      </c>
    </row>
  </sheetData>
  <autoFilter ref="A1:F5839" xr:uid="{D9BB7226-9C89-6649-9B21-C84D214A97B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24E0-4209-3147-B338-3F10F31F9C30}">
  <dimension ref="A1:F202"/>
  <sheetViews>
    <sheetView tabSelected="1" topLeftCell="A176" zoomScale="144" workbookViewId="0">
      <selection activeCell="F201" sqref="F201"/>
    </sheetView>
  </sheetViews>
  <sheetFormatPr baseColWidth="10" defaultRowHeight="15" x14ac:dyDescent="0.2"/>
  <cols>
    <col min="1" max="1" width="36.6640625" bestFit="1" customWidth="1"/>
    <col min="2" max="2" width="12.6640625" bestFit="1" customWidth="1"/>
    <col min="3" max="3" width="24.33203125" bestFit="1" customWidth="1"/>
    <col min="6" max="6" width="17.1640625" bestFit="1" customWidth="1"/>
  </cols>
  <sheetData>
    <row r="1" spans="1:6" x14ac:dyDescent="0.2">
      <c r="A1" s="10" t="s">
        <v>564</v>
      </c>
      <c r="B1" s="10" t="s">
        <v>55</v>
      </c>
      <c r="C1" s="10" t="s">
        <v>56</v>
      </c>
      <c r="D1" s="10" t="s">
        <v>565</v>
      </c>
      <c r="E1" s="10" t="s">
        <v>566</v>
      </c>
      <c r="F1" s="10" t="s">
        <v>567</v>
      </c>
    </row>
    <row r="2" spans="1:6" x14ac:dyDescent="0.2">
      <c r="A2" s="10" t="s">
        <v>42</v>
      </c>
      <c r="B2" s="10" t="s">
        <v>225</v>
      </c>
      <c r="C2" s="10" t="s">
        <v>226</v>
      </c>
      <c r="D2" s="10">
        <v>1</v>
      </c>
      <c r="E2" s="10">
        <v>19</v>
      </c>
      <c r="F2" s="10">
        <f>D2*E2</f>
        <v>19</v>
      </c>
    </row>
    <row r="3" spans="1:6" x14ac:dyDescent="0.2">
      <c r="A3" s="10" t="s">
        <v>42</v>
      </c>
      <c r="B3" s="10" t="s">
        <v>233</v>
      </c>
      <c r="C3" s="10" t="s">
        <v>234</v>
      </c>
      <c r="D3" s="10">
        <v>1</v>
      </c>
      <c r="E3" s="10">
        <v>19</v>
      </c>
      <c r="F3" s="10">
        <f t="shared" ref="F3:F66" si="0">D3*E3</f>
        <v>19</v>
      </c>
    </row>
    <row r="4" spans="1:6" x14ac:dyDescent="0.2">
      <c r="A4" s="10" t="s">
        <v>42</v>
      </c>
      <c r="B4" s="10" t="s">
        <v>228</v>
      </c>
      <c r="C4" s="10" t="s">
        <v>229</v>
      </c>
      <c r="D4" s="10">
        <v>1</v>
      </c>
      <c r="E4" s="10">
        <v>19</v>
      </c>
      <c r="F4" s="10">
        <f t="shared" si="0"/>
        <v>19</v>
      </c>
    </row>
    <row r="5" spans="1:6" x14ac:dyDescent="0.2">
      <c r="A5" s="10" t="s">
        <v>42</v>
      </c>
      <c r="B5" s="10" t="s">
        <v>216</v>
      </c>
      <c r="C5" s="10" t="s">
        <v>199</v>
      </c>
      <c r="D5" s="10">
        <v>5</v>
      </c>
      <c r="E5" s="10">
        <v>19</v>
      </c>
      <c r="F5" s="10">
        <f t="shared" si="0"/>
        <v>95</v>
      </c>
    </row>
    <row r="6" spans="1:6" x14ac:dyDescent="0.2">
      <c r="A6" s="10" t="s">
        <v>42</v>
      </c>
      <c r="B6" s="10" t="s">
        <v>215</v>
      </c>
      <c r="C6" s="10" t="s">
        <v>208</v>
      </c>
      <c r="D6" s="10">
        <v>5</v>
      </c>
      <c r="E6" s="10">
        <v>19</v>
      </c>
      <c r="F6" s="10">
        <f t="shared" si="0"/>
        <v>95</v>
      </c>
    </row>
    <row r="7" spans="1:6" x14ac:dyDescent="0.2">
      <c r="A7" s="10" t="s">
        <v>42</v>
      </c>
      <c r="B7" s="10" t="s">
        <v>219</v>
      </c>
      <c r="C7" s="10" t="s">
        <v>199</v>
      </c>
      <c r="D7" s="10">
        <v>5</v>
      </c>
      <c r="E7" s="10">
        <v>19</v>
      </c>
      <c r="F7" s="10">
        <f t="shared" si="0"/>
        <v>95</v>
      </c>
    </row>
    <row r="8" spans="1:6" x14ac:dyDescent="0.2">
      <c r="A8" s="10" t="s">
        <v>42</v>
      </c>
      <c r="B8" s="10" t="s">
        <v>217</v>
      </c>
      <c r="C8" s="10" t="s">
        <v>199</v>
      </c>
      <c r="D8" s="10">
        <v>4</v>
      </c>
      <c r="E8" s="10">
        <v>19</v>
      </c>
      <c r="F8" s="10">
        <f t="shared" si="0"/>
        <v>76</v>
      </c>
    </row>
    <row r="9" spans="1:6" x14ac:dyDescent="0.2">
      <c r="A9" s="10" t="s">
        <v>42</v>
      </c>
      <c r="B9" s="10" t="s">
        <v>231</v>
      </c>
      <c r="C9" s="10" t="s">
        <v>208</v>
      </c>
      <c r="D9" s="10">
        <v>4</v>
      </c>
      <c r="E9" s="10">
        <v>19</v>
      </c>
      <c r="F9" s="10">
        <f t="shared" si="0"/>
        <v>76</v>
      </c>
    </row>
    <row r="10" spans="1:6" x14ac:dyDescent="0.2">
      <c r="A10" s="10" t="s">
        <v>42</v>
      </c>
      <c r="B10" s="10" t="s">
        <v>220</v>
      </c>
      <c r="C10" s="10" t="s">
        <v>208</v>
      </c>
      <c r="D10" s="10">
        <v>1</v>
      </c>
      <c r="E10" s="10">
        <v>19</v>
      </c>
      <c r="F10" s="10">
        <f t="shared" si="0"/>
        <v>19</v>
      </c>
    </row>
    <row r="11" spans="1:6" x14ac:dyDescent="0.2">
      <c r="A11" s="10" t="s">
        <v>42</v>
      </c>
      <c r="B11" s="10" t="s">
        <v>200</v>
      </c>
      <c r="C11" s="10" t="s">
        <v>199</v>
      </c>
      <c r="D11" s="10">
        <v>5</v>
      </c>
      <c r="E11" s="10">
        <v>19</v>
      </c>
      <c r="F11" s="10">
        <f t="shared" si="0"/>
        <v>95</v>
      </c>
    </row>
    <row r="12" spans="1:6" x14ac:dyDescent="0.2">
      <c r="A12" s="10" t="s">
        <v>42</v>
      </c>
      <c r="B12" s="10" t="s">
        <v>221</v>
      </c>
      <c r="C12" s="10" t="s">
        <v>199</v>
      </c>
      <c r="D12" s="10">
        <v>5</v>
      </c>
      <c r="E12" s="10">
        <v>19</v>
      </c>
      <c r="F12" s="10">
        <f t="shared" si="0"/>
        <v>95</v>
      </c>
    </row>
    <row r="13" spans="1:6" x14ac:dyDescent="0.2">
      <c r="A13" s="10" t="s">
        <v>42</v>
      </c>
      <c r="B13" s="10" t="s">
        <v>232</v>
      </c>
      <c r="C13" s="10" t="s">
        <v>119</v>
      </c>
      <c r="D13" s="10">
        <v>3</v>
      </c>
      <c r="E13" s="10">
        <v>19</v>
      </c>
      <c r="F13" s="10">
        <f t="shared" si="0"/>
        <v>57</v>
      </c>
    </row>
    <row r="14" spans="1:6" x14ac:dyDescent="0.2">
      <c r="A14" s="10" t="s">
        <v>42</v>
      </c>
      <c r="B14" s="10" t="s">
        <v>116</v>
      </c>
      <c r="C14" s="10" t="s">
        <v>117</v>
      </c>
      <c r="D14" s="10">
        <v>10</v>
      </c>
      <c r="E14" s="10">
        <v>19</v>
      </c>
      <c r="F14" s="10">
        <f t="shared" si="0"/>
        <v>190</v>
      </c>
    </row>
    <row r="15" spans="1:6" x14ac:dyDescent="0.2">
      <c r="A15" s="10" t="s">
        <v>42</v>
      </c>
      <c r="B15" s="10" t="s">
        <v>78</v>
      </c>
      <c r="C15" s="10" t="s">
        <v>76</v>
      </c>
      <c r="D15" s="10">
        <v>7</v>
      </c>
      <c r="E15" s="10">
        <v>19</v>
      </c>
      <c r="F15" s="10">
        <f t="shared" si="0"/>
        <v>133</v>
      </c>
    </row>
    <row r="16" spans="1:6" x14ac:dyDescent="0.2">
      <c r="A16" s="10" t="s">
        <v>42</v>
      </c>
      <c r="B16" s="10" t="s">
        <v>222</v>
      </c>
      <c r="C16" s="10" t="s">
        <v>208</v>
      </c>
      <c r="D16" s="10">
        <v>2</v>
      </c>
      <c r="E16" s="10">
        <v>19</v>
      </c>
      <c r="F16" s="10">
        <f t="shared" si="0"/>
        <v>38</v>
      </c>
    </row>
    <row r="17" spans="1:6" x14ac:dyDescent="0.2">
      <c r="A17" s="10" t="s">
        <v>42</v>
      </c>
      <c r="B17" s="10" t="s">
        <v>218</v>
      </c>
      <c r="C17" s="10" t="s">
        <v>208</v>
      </c>
      <c r="D17" s="10">
        <v>2</v>
      </c>
      <c r="E17" s="10">
        <v>19</v>
      </c>
      <c r="F17" s="10">
        <f t="shared" si="0"/>
        <v>38</v>
      </c>
    </row>
    <row r="18" spans="1:6" x14ac:dyDescent="0.2">
      <c r="A18" s="10" t="s">
        <v>42</v>
      </c>
      <c r="B18" s="10" t="s">
        <v>227</v>
      </c>
      <c r="C18" s="10" t="s">
        <v>208</v>
      </c>
      <c r="D18" s="10">
        <v>2</v>
      </c>
      <c r="E18" s="10">
        <v>19</v>
      </c>
      <c r="F18" s="10">
        <f t="shared" si="0"/>
        <v>38</v>
      </c>
    </row>
    <row r="19" spans="1:6" x14ac:dyDescent="0.2">
      <c r="A19" s="10" t="s">
        <v>42</v>
      </c>
      <c r="B19" s="10" t="s">
        <v>223</v>
      </c>
      <c r="C19" s="10" t="s">
        <v>224</v>
      </c>
      <c r="D19" s="10">
        <v>1</v>
      </c>
      <c r="E19" s="10">
        <v>19</v>
      </c>
      <c r="F19" s="10">
        <f t="shared" si="0"/>
        <v>19</v>
      </c>
    </row>
    <row r="20" spans="1:6" x14ac:dyDescent="0.2">
      <c r="A20" s="10" t="s">
        <v>43</v>
      </c>
      <c r="B20" s="10" t="s">
        <v>250</v>
      </c>
      <c r="C20" s="10" t="s">
        <v>251</v>
      </c>
      <c r="D20" s="10">
        <v>2</v>
      </c>
      <c r="E20" s="10">
        <v>19</v>
      </c>
      <c r="F20" s="10">
        <f t="shared" si="0"/>
        <v>38</v>
      </c>
    </row>
    <row r="21" spans="1:6" x14ac:dyDescent="0.2">
      <c r="A21" s="10" t="s">
        <v>43</v>
      </c>
      <c r="B21" s="10" t="s">
        <v>248</v>
      </c>
      <c r="C21" s="10" t="s">
        <v>249</v>
      </c>
      <c r="D21" s="10">
        <v>1</v>
      </c>
      <c r="E21" s="10">
        <v>19</v>
      </c>
      <c r="F21" s="10">
        <f t="shared" si="0"/>
        <v>19</v>
      </c>
    </row>
    <row r="22" spans="1:6" x14ac:dyDescent="0.2">
      <c r="A22" s="10" t="s">
        <v>43</v>
      </c>
      <c r="B22" s="10" t="s">
        <v>75</v>
      </c>
      <c r="C22" s="10" t="s">
        <v>247</v>
      </c>
      <c r="D22" s="10">
        <v>13</v>
      </c>
      <c r="E22" s="10">
        <v>19</v>
      </c>
      <c r="F22" s="10">
        <f t="shared" si="0"/>
        <v>247</v>
      </c>
    </row>
    <row r="23" spans="1:6" x14ac:dyDescent="0.2">
      <c r="A23" s="10" t="s">
        <v>43</v>
      </c>
      <c r="B23" s="10" t="s">
        <v>245</v>
      </c>
      <c r="C23" s="10" t="s">
        <v>246</v>
      </c>
      <c r="D23" s="10">
        <v>8</v>
      </c>
      <c r="E23" s="10">
        <v>19</v>
      </c>
      <c r="F23" s="10">
        <f t="shared" si="0"/>
        <v>152</v>
      </c>
    </row>
    <row r="24" spans="1:6" x14ac:dyDescent="0.2">
      <c r="A24" s="10" t="s">
        <v>43</v>
      </c>
      <c r="B24" s="10" t="s">
        <v>197</v>
      </c>
      <c r="C24" s="10" t="s">
        <v>117</v>
      </c>
      <c r="D24" s="10">
        <v>22</v>
      </c>
      <c r="E24" s="10">
        <v>19</v>
      </c>
      <c r="F24" s="10">
        <f t="shared" si="0"/>
        <v>418</v>
      </c>
    </row>
    <row r="25" spans="1:6" x14ac:dyDescent="0.2">
      <c r="A25" s="10" t="s">
        <v>43</v>
      </c>
      <c r="B25" s="10" t="s">
        <v>244</v>
      </c>
      <c r="C25" s="10" t="s">
        <v>184</v>
      </c>
      <c r="D25" s="10">
        <v>4</v>
      </c>
      <c r="E25" s="10">
        <v>19</v>
      </c>
      <c r="F25" s="10">
        <f t="shared" si="0"/>
        <v>76</v>
      </c>
    </row>
    <row r="26" spans="1:6" x14ac:dyDescent="0.2">
      <c r="A26" s="10" t="s">
        <v>43</v>
      </c>
      <c r="B26" s="10" t="s">
        <v>236</v>
      </c>
      <c r="C26" s="10" t="s">
        <v>237</v>
      </c>
      <c r="D26" s="10">
        <v>6</v>
      </c>
      <c r="E26" s="10">
        <v>19</v>
      </c>
      <c r="F26" s="10">
        <f t="shared" si="0"/>
        <v>114</v>
      </c>
    </row>
    <row r="27" spans="1:6" x14ac:dyDescent="0.2">
      <c r="A27" s="10" t="s">
        <v>43</v>
      </c>
      <c r="B27" s="10" t="s">
        <v>240</v>
      </c>
      <c r="C27" s="10" t="s">
        <v>241</v>
      </c>
      <c r="D27" s="10">
        <v>4</v>
      </c>
      <c r="E27" s="10">
        <v>19</v>
      </c>
      <c r="F27" s="10">
        <f t="shared" si="0"/>
        <v>76</v>
      </c>
    </row>
    <row r="28" spans="1:6" x14ac:dyDescent="0.2">
      <c r="A28" s="10" t="s">
        <v>43</v>
      </c>
      <c r="B28" s="10" t="s">
        <v>238</v>
      </c>
      <c r="C28" s="10" t="s">
        <v>239</v>
      </c>
      <c r="D28" s="10">
        <v>4</v>
      </c>
      <c r="E28" s="10">
        <v>19</v>
      </c>
      <c r="F28" s="10">
        <f t="shared" si="0"/>
        <v>76</v>
      </c>
    </row>
    <row r="29" spans="1:6" x14ac:dyDescent="0.2">
      <c r="A29" s="10" t="s">
        <v>43</v>
      </c>
      <c r="B29" s="10" t="s">
        <v>242</v>
      </c>
      <c r="C29" s="10" t="s">
        <v>243</v>
      </c>
      <c r="D29" s="10">
        <v>2</v>
      </c>
      <c r="E29" s="10">
        <v>19</v>
      </c>
      <c r="F29" s="10">
        <f t="shared" si="0"/>
        <v>38</v>
      </c>
    </row>
    <row r="30" spans="1:6" x14ac:dyDescent="0.2">
      <c r="A30" s="10" t="s">
        <v>44</v>
      </c>
      <c r="B30" s="10" t="s">
        <v>253</v>
      </c>
      <c r="C30" s="10" t="s">
        <v>254</v>
      </c>
      <c r="D30" s="10">
        <v>1</v>
      </c>
      <c r="E30" s="10">
        <v>11</v>
      </c>
      <c r="F30" s="10">
        <f t="shared" si="0"/>
        <v>11</v>
      </c>
    </row>
    <row r="31" spans="1:6" x14ac:dyDescent="0.2">
      <c r="A31" s="10" t="s">
        <v>45</v>
      </c>
      <c r="B31" s="10" t="s">
        <v>255</v>
      </c>
      <c r="C31" s="10" t="s">
        <v>256</v>
      </c>
      <c r="D31" s="10">
        <v>1</v>
      </c>
      <c r="E31" s="10">
        <v>15</v>
      </c>
      <c r="F31" s="10">
        <f t="shared" si="0"/>
        <v>15</v>
      </c>
    </row>
    <row r="32" spans="1:6" x14ac:dyDescent="0.2">
      <c r="A32" s="10" t="s">
        <v>46</v>
      </c>
      <c r="B32" s="10" t="s">
        <v>257</v>
      </c>
      <c r="C32" s="10" t="s">
        <v>258</v>
      </c>
      <c r="D32" s="10">
        <v>1</v>
      </c>
      <c r="E32" s="10">
        <v>19</v>
      </c>
      <c r="F32" s="10">
        <f t="shared" si="0"/>
        <v>19</v>
      </c>
    </row>
    <row r="33" spans="1:6" x14ac:dyDescent="0.2">
      <c r="A33" s="10" t="s">
        <v>47</v>
      </c>
      <c r="B33" s="10" t="s">
        <v>259</v>
      </c>
      <c r="C33" s="10" t="s">
        <v>258</v>
      </c>
      <c r="D33" s="10">
        <v>1</v>
      </c>
      <c r="E33" s="10">
        <v>19</v>
      </c>
      <c r="F33" s="10">
        <f t="shared" si="0"/>
        <v>19</v>
      </c>
    </row>
    <row r="34" spans="1:6" x14ac:dyDescent="0.2">
      <c r="A34" s="10" t="s">
        <v>48</v>
      </c>
      <c r="B34" s="10" t="s">
        <v>264</v>
      </c>
      <c r="C34" s="10" t="s">
        <v>265</v>
      </c>
      <c r="D34" s="10">
        <v>1</v>
      </c>
      <c r="E34" s="10">
        <v>19</v>
      </c>
      <c r="F34" s="10">
        <f t="shared" si="0"/>
        <v>19</v>
      </c>
    </row>
    <row r="35" spans="1:6" x14ac:dyDescent="0.2">
      <c r="A35" s="10" t="s">
        <v>48</v>
      </c>
      <c r="B35" s="10" t="s">
        <v>262</v>
      </c>
      <c r="C35" s="10" t="s">
        <v>263</v>
      </c>
      <c r="D35" s="10">
        <v>1</v>
      </c>
      <c r="E35" s="10">
        <v>19</v>
      </c>
      <c r="F35" s="10">
        <f t="shared" si="0"/>
        <v>19</v>
      </c>
    </row>
    <row r="36" spans="1:6" x14ac:dyDescent="0.2">
      <c r="A36" s="10" t="s">
        <v>48</v>
      </c>
      <c r="B36" s="10" t="s">
        <v>260</v>
      </c>
      <c r="C36" s="10" t="s">
        <v>261</v>
      </c>
      <c r="D36" s="10">
        <v>1</v>
      </c>
      <c r="E36" s="10">
        <v>19</v>
      </c>
      <c r="F36" s="10">
        <f t="shared" si="0"/>
        <v>19</v>
      </c>
    </row>
    <row r="37" spans="1:6" x14ac:dyDescent="0.2">
      <c r="A37" s="10" t="s">
        <v>49</v>
      </c>
      <c r="B37" s="10" t="s">
        <v>267</v>
      </c>
      <c r="C37" s="10" t="s">
        <v>268</v>
      </c>
      <c r="D37" s="10">
        <v>1</v>
      </c>
      <c r="E37" s="10">
        <v>19</v>
      </c>
      <c r="F37" s="10">
        <f t="shared" si="0"/>
        <v>19</v>
      </c>
    </row>
    <row r="38" spans="1:6" x14ac:dyDescent="0.2">
      <c r="A38" s="10" t="s">
        <v>50</v>
      </c>
      <c r="B38" s="10" t="s">
        <v>283</v>
      </c>
      <c r="C38" s="10" t="s">
        <v>278</v>
      </c>
      <c r="D38" s="10">
        <v>3</v>
      </c>
      <c r="E38" s="10">
        <v>19</v>
      </c>
      <c r="F38" s="10">
        <f t="shared" si="0"/>
        <v>57</v>
      </c>
    </row>
    <row r="39" spans="1:6" x14ac:dyDescent="0.2">
      <c r="A39" s="10" t="s">
        <v>50</v>
      </c>
      <c r="B39" s="10" t="s">
        <v>296</v>
      </c>
      <c r="C39" s="10" t="s">
        <v>297</v>
      </c>
      <c r="D39" s="10">
        <v>13</v>
      </c>
      <c r="E39" s="10">
        <v>19</v>
      </c>
      <c r="F39" s="10">
        <f t="shared" si="0"/>
        <v>247</v>
      </c>
    </row>
    <row r="40" spans="1:6" x14ac:dyDescent="0.2">
      <c r="A40" s="10" t="s">
        <v>50</v>
      </c>
      <c r="B40" s="10" t="s">
        <v>298</v>
      </c>
      <c r="C40" s="10" t="s">
        <v>297</v>
      </c>
      <c r="D40" s="10">
        <v>26</v>
      </c>
      <c r="E40" s="10">
        <v>19</v>
      </c>
      <c r="F40" s="10">
        <f t="shared" si="0"/>
        <v>494</v>
      </c>
    </row>
    <row r="41" spans="1:6" x14ac:dyDescent="0.2">
      <c r="A41" s="10" t="s">
        <v>50</v>
      </c>
      <c r="B41" s="10" t="s">
        <v>299</v>
      </c>
      <c r="C41" s="10" t="s">
        <v>297</v>
      </c>
      <c r="D41" s="10">
        <v>13</v>
      </c>
      <c r="E41" s="10">
        <v>19</v>
      </c>
      <c r="F41" s="10">
        <f t="shared" si="0"/>
        <v>247</v>
      </c>
    </row>
    <row r="42" spans="1:6" x14ac:dyDescent="0.2">
      <c r="A42" s="10" t="s">
        <v>50</v>
      </c>
      <c r="B42" s="10" t="s">
        <v>292</v>
      </c>
      <c r="C42" s="10" t="s">
        <v>293</v>
      </c>
      <c r="D42" s="10">
        <v>2</v>
      </c>
      <c r="E42" s="10">
        <v>19</v>
      </c>
      <c r="F42" s="10">
        <f t="shared" si="0"/>
        <v>38</v>
      </c>
    </row>
    <row r="43" spans="1:6" x14ac:dyDescent="0.2">
      <c r="A43" s="10" t="s">
        <v>50</v>
      </c>
      <c r="B43" s="10" t="s">
        <v>301</v>
      </c>
      <c r="C43" s="10" t="s">
        <v>302</v>
      </c>
      <c r="D43" s="10">
        <v>2</v>
      </c>
      <c r="E43" s="10">
        <v>19</v>
      </c>
      <c r="F43" s="10">
        <f t="shared" si="0"/>
        <v>38</v>
      </c>
    </row>
    <row r="44" spans="1:6" x14ac:dyDescent="0.2">
      <c r="A44" s="10" t="s">
        <v>50</v>
      </c>
      <c r="B44" s="10" t="s">
        <v>303</v>
      </c>
      <c r="C44" s="10" t="s">
        <v>304</v>
      </c>
      <c r="D44" s="10">
        <v>2</v>
      </c>
      <c r="E44" s="10">
        <v>19</v>
      </c>
      <c r="F44" s="10">
        <f t="shared" si="0"/>
        <v>38</v>
      </c>
    </row>
    <row r="45" spans="1:6" x14ac:dyDescent="0.2">
      <c r="A45" s="10" t="s">
        <v>50</v>
      </c>
      <c r="B45" s="10" t="s">
        <v>279</v>
      </c>
      <c r="C45" s="10" t="s">
        <v>280</v>
      </c>
      <c r="D45" s="10">
        <v>1</v>
      </c>
      <c r="E45" s="10">
        <v>19</v>
      </c>
      <c r="F45" s="10">
        <f t="shared" si="0"/>
        <v>19</v>
      </c>
    </row>
    <row r="46" spans="1:6" x14ac:dyDescent="0.2">
      <c r="A46" s="10" t="s">
        <v>50</v>
      </c>
      <c r="B46" s="10" t="s">
        <v>291</v>
      </c>
      <c r="C46" s="10" t="s">
        <v>278</v>
      </c>
      <c r="D46" s="10">
        <v>5</v>
      </c>
      <c r="E46" s="10">
        <v>19</v>
      </c>
      <c r="F46" s="10">
        <f t="shared" si="0"/>
        <v>95</v>
      </c>
    </row>
    <row r="47" spans="1:6" x14ac:dyDescent="0.2">
      <c r="A47" s="10" t="s">
        <v>50</v>
      </c>
      <c r="B47" s="10" t="s">
        <v>277</v>
      </c>
      <c r="C47" s="10" t="s">
        <v>278</v>
      </c>
      <c r="D47" s="10">
        <v>5</v>
      </c>
      <c r="E47" s="10">
        <v>19</v>
      </c>
      <c r="F47" s="10">
        <f t="shared" si="0"/>
        <v>95</v>
      </c>
    </row>
    <row r="48" spans="1:6" x14ac:dyDescent="0.2">
      <c r="A48" s="10" t="s">
        <v>50</v>
      </c>
      <c r="B48" s="10" t="s">
        <v>277</v>
      </c>
      <c r="C48" s="10" t="s">
        <v>278</v>
      </c>
      <c r="D48" s="10">
        <v>5</v>
      </c>
      <c r="E48" s="10">
        <v>19</v>
      </c>
      <c r="F48" s="10">
        <f t="shared" si="0"/>
        <v>95</v>
      </c>
    </row>
    <row r="49" spans="1:6" x14ac:dyDescent="0.2">
      <c r="A49" s="10" t="s">
        <v>50</v>
      </c>
      <c r="B49" s="10" t="s">
        <v>281</v>
      </c>
      <c r="C49" s="10" t="s">
        <v>282</v>
      </c>
      <c r="D49" s="10">
        <v>1</v>
      </c>
      <c r="E49" s="10">
        <v>19</v>
      </c>
      <c r="F49" s="10">
        <f t="shared" si="0"/>
        <v>19</v>
      </c>
    </row>
    <row r="50" spans="1:6" x14ac:dyDescent="0.2">
      <c r="A50" s="10" t="s">
        <v>50</v>
      </c>
      <c r="B50" s="10" t="s">
        <v>285</v>
      </c>
      <c r="C50" s="10" t="s">
        <v>286</v>
      </c>
      <c r="D50" s="10">
        <v>2</v>
      </c>
      <c r="E50" s="10">
        <v>19</v>
      </c>
      <c r="F50" s="10">
        <f t="shared" si="0"/>
        <v>38</v>
      </c>
    </row>
    <row r="51" spans="1:6" x14ac:dyDescent="0.2">
      <c r="A51" s="10" t="s">
        <v>50</v>
      </c>
      <c r="B51" s="10" t="s">
        <v>290</v>
      </c>
      <c r="C51" s="10" t="s">
        <v>278</v>
      </c>
      <c r="D51" s="10">
        <v>4</v>
      </c>
      <c r="E51" s="10">
        <v>19</v>
      </c>
      <c r="F51" s="10">
        <f t="shared" si="0"/>
        <v>76</v>
      </c>
    </row>
    <row r="52" spans="1:6" x14ac:dyDescent="0.2">
      <c r="A52" s="10" t="s">
        <v>50</v>
      </c>
      <c r="B52" s="10" t="s">
        <v>270</v>
      </c>
      <c r="C52" s="10" t="s">
        <v>271</v>
      </c>
      <c r="D52" s="10">
        <v>1</v>
      </c>
      <c r="E52" s="10">
        <v>19</v>
      </c>
      <c r="F52" s="10">
        <f t="shared" si="0"/>
        <v>19</v>
      </c>
    </row>
    <row r="53" spans="1:6" x14ac:dyDescent="0.2">
      <c r="A53" s="10" t="s">
        <v>50</v>
      </c>
      <c r="B53" s="10" t="s">
        <v>122</v>
      </c>
      <c r="C53" s="10" t="s">
        <v>276</v>
      </c>
      <c r="D53" s="10">
        <v>6</v>
      </c>
      <c r="E53" s="10">
        <v>19</v>
      </c>
      <c r="F53" s="10">
        <f t="shared" si="0"/>
        <v>114</v>
      </c>
    </row>
    <row r="54" spans="1:6" x14ac:dyDescent="0.2">
      <c r="A54" s="10" t="s">
        <v>50</v>
      </c>
      <c r="B54" s="10" t="s">
        <v>275</v>
      </c>
      <c r="C54" s="10" t="s">
        <v>276</v>
      </c>
      <c r="D54" s="10">
        <v>2</v>
      </c>
      <c r="E54" s="10">
        <v>19</v>
      </c>
      <c r="F54" s="10">
        <f t="shared" si="0"/>
        <v>38</v>
      </c>
    </row>
    <row r="55" spans="1:6" x14ac:dyDescent="0.2">
      <c r="A55" s="10" t="s">
        <v>50</v>
      </c>
      <c r="B55" s="10" t="s">
        <v>120</v>
      </c>
      <c r="C55" s="10" t="s">
        <v>278</v>
      </c>
      <c r="D55" s="10">
        <v>6</v>
      </c>
      <c r="E55" s="10">
        <v>19</v>
      </c>
      <c r="F55" s="10">
        <f t="shared" si="0"/>
        <v>114</v>
      </c>
    </row>
    <row r="56" spans="1:6" x14ac:dyDescent="0.2">
      <c r="A56" s="10" t="s">
        <v>50</v>
      </c>
      <c r="B56" s="10" t="s">
        <v>300</v>
      </c>
      <c r="C56" s="10" t="s">
        <v>273</v>
      </c>
      <c r="D56" s="10">
        <v>12</v>
      </c>
      <c r="E56" s="10">
        <v>19</v>
      </c>
      <c r="F56" s="10">
        <f t="shared" si="0"/>
        <v>228</v>
      </c>
    </row>
    <row r="57" spans="1:6" x14ac:dyDescent="0.2">
      <c r="A57" s="10" t="s">
        <v>50</v>
      </c>
      <c r="B57" s="10" t="s">
        <v>288</v>
      </c>
      <c r="C57" s="10" t="s">
        <v>289</v>
      </c>
      <c r="D57" s="10">
        <v>2</v>
      </c>
      <c r="E57" s="10">
        <v>19</v>
      </c>
      <c r="F57" s="10">
        <f t="shared" si="0"/>
        <v>38</v>
      </c>
    </row>
    <row r="58" spans="1:6" x14ac:dyDescent="0.2">
      <c r="A58" s="10" t="s">
        <v>50</v>
      </c>
      <c r="B58" s="10" t="s">
        <v>274</v>
      </c>
      <c r="C58" s="10" t="s">
        <v>273</v>
      </c>
      <c r="D58" s="10">
        <v>1</v>
      </c>
      <c r="E58" s="10">
        <v>19</v>
      </c>
      <c r="F58" s="10">
        <f t="shared" si="0"/>
        <v>19</v>
      </c>
    </row>
    <row r="59" spans="1:6" x14ac:dyDescent="0.2">
      <c r="A59" s="10" t="s">
        <v>50</v>
      </c>
      <c r="B59" s="10" t="s">
        <v>272</v>
      </c>
      <c r="C59" s="10" t="s">
        <v>273</v>
      </c>
      <c r="D59" s="10">
        <v>1</v>
      </c>
      <c r="E59" s="10">
        <v>19</v>
      </c>
      <c r="F59" s="10">
        <f t="shared" si="0"/>
        <v>19</v>
      </c>
    </row>
    <row r="60" spans="1:6" x14ac:dyDescent="0.2">
      <c r="A60" s="10" t="s">
        <v>50</v>
      </c>
      <c r="B60" s="10" t="s">
        <v>305</v>
      </c>
      <c r="C60" s="10" t="s">
        <v>273</v>
      </c>
      <c r="D60" s="10">
        <v>2</v>
      </c>
      <c r="E60" s="10">
        <v>19</v>
      </c>
      <c r="F60" s="10">
        <f t="shared" si="0"/>
        <v>38</v>
      </c>
    </row>
    <row r="61" spans="1:6" x14ac:dyDescent="0.2">
      <c r="A61" s="10" t="s">
        <v>50</v>
      </c>
      <c r="B61" s="10" t="s">
        <v>295</v>
      </c>
      <c r="C61" s="10" t="s">
        <v>273</v>
      </c>
      <c r="D61" s="10">
        <v>108</v>
      </c>
      <c r="E61" s="10">
        <v>19</v>
      </c>
      <c r="F61" s="10">
        <f t="shared" si="0"/>
        <v>2052</v>
      </c>
    </row>
    <row r="62" spans="1:6" x14ac:dyDescent="0.2">
      <c r="A62" s="10" t="s">
        <v>50</v>
      </c>
      <c r="B62" s="10" t="s">
        <v>294</v>
      </c>
      <c r="C62" s="10" t="s">
        <v>278</v>
      </c>
      <c r="D62" s="10">
        <v>108</v>
      </c>
      <c r="E62" s="10">
        <v>19</v>
      </c>
      <c r="F62" s="10">
        <f t="shared" si="0"/>
        <v>2052</v>
      </c>
    </row>
    <row r="63" spans="1:6" x14ac:dyDescent="0.2">
      <c r="A63" s="10" t="s">
        <v>50</v>
      </c>
      <c r="B63" s="10" t="s">
        <v>294</v>
      </c>
      <c r="C63" s="10" t="s">
        <v>278</v>
      </c>
      <c r="D63" s="10">
        <v>108</v>
      </c>
      <c r="E63" s="10">
        <v>19</v>
      </c>
      <c r="F63" s="10">
        <f t="shared" si="0"/>
        <v>2052</v>
      </c>
    </row>
    <row r="64" spans="1:6" x14ac:dyDescent="0.2">
      <c r="A64" s="10" t="s">
        <v>50</v>
      </c>
      <c r="B64" s="10" t="s">
        <v>294</v>
      </c>
      <c r="C64" s="10" t="s">
        <v>278</v>
      </c>
      <c r="D64" s="10">
        <v>108</v>
      </c>
      <c r="E64" s="10">
        <v>19</v>
      </c>
      <c r="F64" s="10">
        <f t="shared" si="0"/>
        <v>2052</v>
      </c>
    </row>
    <row r="65" spans="1:6" x14ac:dyDescent="0.2">
      <c r="A65" s="10" t="s">
        <v>50</v>
      </c>
      <c r="B65" s="10" t="s">
        <v>306</v>
      </c>
      <c r="C65" s="10" t="s">
        <v>273</v>
      </c>
      <c r="D65" s="10">
        <v>8</v>
      </c>
      <c r="E65" s="10">
        <v>19</v>
      </c>
      <c r="F65" s="10">
        <f t="shared" si="0"/>
        <v>152</v>
      </c>
    </row>
    <row r="66" spans="1:6" x14ac:dyDescent="0.2">
      <c r="A66" s="10" t="s">
        <v>50</v>
      </c>
      <c r="B66" s="10" t="s">
        <v>306</v>
      </c>
      <c r="C66" s="10" t="s">
        <v>273</v>
      </c>
      <c r="D66" s="10">
        <v>8</v>
      </c>
      <c r="E66" s="10">
        <v>19</v>
      </c>
      <c r="F66" s="10">
        <f t="shared" si="0"/>
        <v>152</v>
      </c>
    </row>
    <row r="67" spans="1:6" x14ac:dyDescent="0.2">
      <c r="A67" s="10" t="s">
        <v>50</v>
      </c>
      <c r="B67" s="10" t="s">
        <v>287</v>
      </c>
      <c r="C67" s="10" t="s">
        <v>273</v>
      </c>
      <c r="D67" s="10">
        <v>2</v>
      </c>
      <c r="E67" s="10">
        <v>19</v>
      </c>
      <c r="F67" s="10">
        <f t="shared" ref="F67:F130" si="1">D67*E67</f>
        <v>38</v>
      </c>
    </row>
    <row r="68" spans="1:6" x14ac:dyDescent="0.2">
      <c r="A68" s="10" t="s">
        <v>50</v>
      </c>
      <c r="B68" s="10" t="s">
        <v>284</v>
      </c>
      <c r="C68" s="10" t="s">
        <v>273</v>
      </c>
      <c r="D68" s="10">
        <v>1</v>
      </c>
      <c r="E68" s="10">
        <v>19</v>
      </c>
      <c r="F68" s="10">
        <f t="shared" si="1"/>
        <v>19</v>
      </c>
    </row>
    <row r="69" spans="1:6" x14ac:dyDescent="0.2">
      <c r="A69" s="10" t="s">
        <v>51</v>
      </c>
      <c r="B69" s="10" t="s">
        <v>318</v>
      </c>
      <c r="C69" s="10" t="s">
        <v>319</v>
      </c>
      <c r="D69" s="10">
        <v>2</v>
      </c>
      <c r="E69" s="10">
        <v>19</v>
      </c>
      <c r="F69" s="10">
        <f t="shared" si="1"/>
        <v>38</v>
      </c>
    </row>
    <row r="70" spans="1:6" x14ac:dyDescent="0.2">
      <c r="A70" s="10" t="s">
        <v>51</v>
      </c>
      <c r="B70" s="10" t="s">
        <v>308</v>
      </c>
      <c r="C70" s="10" t="s">
        <v>309</v>
      </c>
      <c r="D70" s="10">
        <v>1</v>
      </c>
      <c r="E70" s="10">
        <v>19</v>
      </c>
      <c r="F70" s="10">
        <f t="shared" si="1"/>
        <v>19</v>
      </c>
    </row>
    <row r="71" spans="1:6" x14ac:dyDescent="0.2">
      <c r="A71" s="10" t="s">
        <v>51</v>
      </c>
      <c r="B71" s="10" t="s">
        <v>316</v>
      </c>
      <c r="C71" s="10" t="s">
        <v>317</v>
      </c>
      <c r="D71" s="10">
        <v>1</v>
      </c>
      <c r="E71" s="10">
        <v>19</v>
      </c>
      <c r="F71" s="10">
        <f t="shared" si="1"/>
        <v>19</v>
      </c>
    </row>
    <row r="72" spans="1:6" x14ac:dyDescent="0.2">
      <c r="A72" s="10" t="s">
        <v>51</v>
      </c>
      <c r="B72" s="10" t="s">
        <v>320</v>
      </c>
      <c r="C72" s="10" t="s">
        <v>321</v>
      </c>
      <c r="D72" s="10">
        <v>1</v>
      </c>
      <c r="E72" s="10">
        <v>19</v>
      </c>
      <c r="F72" s="10">
        <f t="shared" si="1"/>
        <v>19</v>
      </c>
    </row>
    <row r="73" spans="1:6" x14ac:dyDescent="0.2">
      <c r="A73" s="10" t="s">
        <v>51</v>
      </c>
      <c r="B73" s="10" t="s">
        <v>75</v>
      </c>
      <c r="C73" s="10" t="s">
        <v>313</v>
      </c>
      <c r="D73" s="10">
        <v>13</v>
      </c>
      <c r="E73" s="10">
        <v>19</v>
      </c>
      <c r="F73" s="10">
        <f t="shared" si="1"/>
        <v>247</v>
      </c>
    </row>
    <row r="74" spans="1:6" x14ac:dyDescent="0.2">
      <c r="A74" s="10" t="s">
        <v>51</v>
      </c>
      <c r="B74" s="10" t="s">
        <v>310</v>
      </c>
      <c r="C74" s="10" t="s">
        <v>273</v>
      </c>
      <c r="D74" s="10">
        <v>11</v>
      </c>
      <c r="E74" s="10">
        <v>19</v>
      </c>
      <c r="F74" s="10">
        <f t="shared" si="1"/>
        <v>209</v>
      </c>
    </row>
    <row r="75" spans="1:6" x14ac:dyDescent="0.2">
      <c r="A75" s="10" t="s">
        <v>51</v>
      </c>
      <c r="B75" s="10" t="s">
        <v>314</v>
      </c>
      <c r="C75" s="10" t="s">
        <v>273</v>
      </c>
      <c r="D75" s="10">
        <v>36</v>
      </c>
      <c r="E75" s="10">
        <v>19</v>
      </c>
      <c r="F75" s="10">
        <f t="shared" si="1"/>
        <v>684</v>
      </c>
    </row>
    <row r="76" spans="1:6" x14ac:dyDescent="0.2">
      <c r="A76" s="10" t="s">
        <v>51</v>
      </c>
      <c r="B76" s="10" t="s">
        <v>314</v>
      </c>
      <c r="C76" s="10" t="s">
        <v>315</v>
      </c>
      <c r="D76" s="10">
        <v>12</v>
      </c>
      <c r="E76" s="10">
        <v>19</v>
      </c>
      <c r="F76" s="10">
        <f t="shared" si="1"/>
        <v>228</v>
      </c>
    </row>
    <row r="77" spans="1:6" x14ac:dyDescent="0.2">
      <c r="A77" s="10" t="s">
        <v>51</v>
      </c>
      <c r="B77" s="10" t="s">
        <v>311</v>
      </c>
      <c r="C77" s="10" t="s">
        <v>273</v>
      </c>
      <c r="D77" s="10">
        <v>4</v>
      </c>
      <c r="E77" s="10">
        <v>19</v>
      </c>
      <c r="F77" s="10">
        <f t="shared" si="1"/>
        <v>76</v>
      </c>
    </row>
    <row r="78" spans="1:6" x14ac:dyDescent="0.2">
      <c r="A78" s="10" t="s">
        <v>51</v>
      </c>
      <c r="B78" s="10" t="s">
        <v>197</v>
      </c>
      <c r="C78" s="10" t="s">
        <v>278</v>
      </c>
      <c r="D78" s="10">
        <v>22</v>
      </c>
      <c r="E78" s="10">
        <v>19</v>
      </c>
      <c r="F78" s="10">
        <f t="shared" si="1"/>
        <v>418</v>
      </c>
    </row>
    <row r="79" spans="1:6" x14ac:dyDescent="0.2">
      <c r="A79" s="10" t="s">
        <v>51</v>
      </c>
      <c r="B79" s="10" t="s">
        <v>312</v>
      </c>
      <c r="C79" s="10" t="s">
        <v>278</v>
      </c>
      <c r="D79" s="10">
        <v>3</v>
      </c>
      <c r="E79" s="10">
        <v>19</v>
      </c>
      <c r="F79" s="10">
        <f t="shared" si="1"/>
        <v>57</v>
      </c>
    </row>
    <row r="80" spans="1:6" x14ac:dyDescent="0.2">
      <c r="A80" s="10" t="s">
        <v>34</v>
      </c>
      <c r="B80" s="10" t="s">
        <v>99</v>
      </c>
      <c r="C80" s="10" t="s">
        <v>100</v>
      </c>
      <c r="D80" s="10">
        <v>5</v>
      </c>
      <c r="E80" s="10">
        <v>19</v>
      </c>
      <c r="F80" s="10">
        <f t="shared" si="1"/>
        <v>95</v>
      </c>
    </row>
    <row r="81" spans="1:6" x14ac:dyDescent="0.2">
      <c r="A81" s="10" t="s">
        <v>34</v>
      </c>
      <c r="B81" s="10" t="s">
        <v>101</v>
      </c>
      <c r="C81" s="10" t="s">
        <v>102</v>
      </c>
      <c r="D81" s="10">
        <v>1</v>
      </c>
      <c r="E81" s="10">
        <v>19</v>
      </c>
      <c r="F81" s="10">
        <f t="shared" si="1"/>
        <v>19</v>
      </c>
    </row>
    <row r="82" spans="1:6" x14ac:dyDescent="0.2">
      <c r="A82" s="10" t="s">
        <v>34</v>
      </c>
      <c r="B82" s="10" t="s">
        <v>107</v>
      </c>
      <c r="C82" s="10" t="s">
        <v>108</v>
      </c>
      <c r="D82" s="10">
        <v>1</v>
      </c>
      <c r="E82" s="10">
        <v>19</v>
      </c>
      <c r="F82" s="10">
        <f t="shared" si="1"/>
        <v>19</v>
      </c>
    </row>
    <row r="83" spans="1:6" x14ac:dyDescent="0.2">
      <c r="A83" s="10" t="s">
        <v>34</v>
      </c>
      <c r="B83" s="10" t="s">
        <v>105</v>
      </c>
      <c r="C83" s="10" t="s">
        <v>106</v>
      </c>
      <c r="D83" s="10">
        <v>1</v>
      </c>
      <c r="E83" s="10">
        <v>19</v>
      </c>
      <c r="F83" s="10">
        <f t="shared" si="1"/>
        <v>19</v>
      </c>
    </row>
    <row r="84" spans="1:6" x14ac:dyDescent="0.2">
      <c r="A84" s="10" t="s">
        <v>34</v>
      </c>
      <c r="B84" s="10" t="s">
        <v>97</v>
      </c>
      <c r="C84" s="10" t="s">
        <v>98</v>
      </c>
      <c r="D84" s="10">
        <v>5</v>
      </c>
      <c r="E84" s="10">
        <v>19</v>
      </c>
      <c r="F84" s="10">
        <f t="shared" si="1"/>
        <v>95</v>
      </c>
    </row>
    <row r="85" spans="1:6" x14ac:dyDescent="0.2">
      <c r="A85" s="10" t="s">
        <v>34</v>
      </c>
      <c r="B85" s="10" t="s">
        <v>103</v>
      </c>
      <c r="C85" s="10" t="s">
        <v>104</v>
      </c>
      <c r="D85" s="10">
        <v>1</v>
      </c>
      <c r="E85" s="10">
        <v>19</v>
      </c>
      <c r="F85" s="10">
        <f t="shared" si="1"/>
        <v>19</v>
      </c>
    </row>
    <row r="86" spans="1:6" x14ac:dyDescent="0.2">
      <c r="A86" s="10" t="s">
        <v>52</v>
      </c>
      <c r="B86" s="10" t="s">
        <v>283</v>
      </c>
      <c r="C86" s="10" t="s">
        <v>278</v>
      </c>
      <c r="D86" s="10">
        <v>3</v>
      </c>
      <c r="E86" s="10">
        <v>19</v>
      </c>
      <c r="F86" s="10">
        <f t="shared" si="1"/>
        <v>57</v>
      </c>
    </row>
    <row r="87" spans="1:6" x14ac:dyDescent="0.2">
      <c r="A87" s="10" t="s">
        <v>52</v>
      </c>
      <c r="B87" s="10" t="s">
        <v>344</v>
      </c>
      <c r="C87" s="10" t="s">
        <v>282</v>
      </c>
      <c r="D87" s="10">
        <v>2</v>
      </c>
      <c r="E87" s="10">
        <v>19</v>
      </c>
      <c r="F87" s="10">
        <f t="shared" si="1"/>
        <v>38</v>
      </c>
    </row>
    <row r="88" spans="1:6" x14ac:dyDescent="0.2">
      <c r="A88" s="10" t="s">
        <v>52</v>
      </c>
      <c r="B88" s="10" t="s">
        <v>343</v>
      </c>
      <c r="C88" s="10" t="s">
        <v>282</v>
      </c>
      <c r="D88" s="10">
        <v>2</v>
      </c>
      <c r="E88" s="10">
        <v>19</v>
      </c>
      <c r="F88" s="10">
        <f t="shared" si="1"/>
        <v>38</v>
      </c>
    </row>
    <row r="89" spans="1:6" x14ac:dyDescent="0.2">
      <c r="A89" s="10" t="s">
        <v>52</v>
      </c>
      <c r="B89" s="10" t="s">
        <v>339</v>
      </c>
      <c r="C89" s="10" t="s">
        <v>297</v>
      </c>
      <c r="D89" s="10">
        <v>6</v>
      </c>
      <c r="E89" s="10">
        <v>19</v>
      </c>
      <c r="F89" s="10">
        <f t="shared" si="1"/>
        <v>114</v>
      </c>
    </row>
    <row r="90" spans="1:6" x14ac:dyDescent="0.2">
      <c r="A90" s="10" t="s">
        <v>52</v>
      </c>
      <c r="B90" s="10" t="s">
        <v>338</v>
      </c>
      <c r="C90" s="10" t="s">
        <v>297</v>
      </c>
      <c r="D90" s="10">
        <v>6</v>
      </c>
      <c r="E90" s="10">
        <v>19</v>
      </c>
      <c r="F90" s="10">
        <f t="shared" si="1"/>
        <v>114</v>
      </c>
    </row>
    <row r="91" spans="1:6" x14ac:dyDescent="0.2">
      <c r="A91" s="10" t="s">
        <v>52</v>
      </c>
      <c r="B91" s="10" t="s">
        <v>337</v>
      </c>
      <c r="C91" s="10" t="s">
        <v>297</v>
      </c>
      <c r="D91" s="10">
        <v>6</v>
      </c>
      <c r="E91" s="10">
        <v>19</v>
      </c>
      <c r="F91" s="10">
        <f t="shared" si="1"/>
        <v>114</v>
      </c>
    </row>
    <row r="92" spans="1:6" x14ac:dyDescent="0.2">
      <c r="A92" s="10" t="s">
        <v>52</v>
      </c>
      <c r="B92" s="10" t="s">
        <v>279</v>
      </c>
      <c r="C92" s="10" t="s">
        <v>280</v>
      </c>
      <c r="D92" s="10">
        <v>1</v>
      </c>
      <c r="E92" s="10">
        <v>19</v>
      </c>
      <c r="F92" s="10">
        <f t="shared" si="1"/>
        <v>19</v>
      </c>
    </row>
    <row r="93" spans="1:6" x14ac:dyDescent="0.2">
      <c r="A93" s="10" t="s">
        <v>52</v>
      </c>
      <c r="B93" s="10" t="s">
        <v>291</v>
      </c>
      <c r="C93" s="10" t="s">
        <v>278</v>
      </c>
      <c r="D93" s="10">
        <v>5</v>
      </c>
      <c r="E93" s="10">
        <v>19</v>
      </c>
      <c r="F93" s="10">
        <f t="shared" si="1"/>
        <v>95</v>
      </c>
    </row>
    <row r="94" spans="1:6" x14ac:dyDescent="0.2">
      <c r="A94" s="10" t="s">
        <v>52</v>
      </c>
      <c r="B94" s="10" t="s">
        <v>277</v>
      </c>
      <c r="C94" s="10" t="s">
        <v>278</v>
      </c>
      <c r="D94" s="10">
        <v>5</v>
      </c>
      <c r="E94" s="10">
        <v>19</v>
      </c>
      <c r="F94" s="10">
        <f t="shared" si="1"/>
        <v>95</v>
      </c>
    </row>
    <row r="95" spans="1:6" x14ac:dyDescent="0.2">
      <c r="A95" s="10" t="s">
        <v>52</v>
      </c>
      <c r="B95" s="10" t="s">
        <v>341</v>
      </c>
      <c r="C95" s="10" t="s">
        <v>342</v>
      </c>
      <c r="D95" s="10">
        <v>1</v>
      </c>
      <c r="E95" s="10">
        <v>19</v>
      </c>
      <c r="F95" s="10">
        <f t="shared" si="1"/>
        <v>19</v>
      </c>
    </row>
    <row r="96" spans="1:6" x14ac:dyDescent="0.2">
      <c r="A96" s="10" t="s">
        <v>52</v>
      </c>
      <c r="B96" s="10" t="s">
        <v>281</v>
      </c>
      <c r="C96" s="10" t="s">
        <v>282</v>
      </c>
      <c r="D96" s="10">
        <v>1</v>
      </c>
      <c r="E96" s="10">
        <v>19</v>
      </c>
      <c r="F96" s="10">
        <f t="shared" si="1"/>
        <v>19</v>
      </c>
    </row>
    <row r="97" spans="1:6" x14ac:dyDescent="0.2">
      <c r="A97" s="10" t="s">
        <v>52</v>
      </c>
      <c r="B97" s="10" t="s">
        <v>285</v>
      </c>
      <c r="C97" s="10" t="s">
        <v>286</v>
      </c>
      <c r="D97" s="10">
        <v>2</v>
      </c>
      <c r="E97" s="10">
        <v>19</v>
      </c>
      <c r="F97" s="10">
        <f t="shared" si="1"/>
        <v>38</v>
      </c>
    </row>
    <row r="98" spans="1:6" x14ac:dyDescent="0.2">
      <c r="A98" s="10" t="s">
        <v>52</v>
      </c>
      <c r="B98" s="10" t="s">
        <v>327</v>
      </c>
      <c r="C98" s="10" t="s">
        <v>309</v>
      </c>
      <c r="D98" s="10">
        <v>1</v>
      </c>
      <c r="E98" s="10">
        <v>19</v>
      </c>
      <c r="F98" s="10">
        <f t="shared" si="1"/>
        <v>19</v>
      </c>
    </row>
    <row r="99" spans="1:6" x14ac:dyDescent="0.2">
      <c r="A99" s="10" t="s">
        <v>52</v>
      </c>
      <c r="B99" s="10" t="s">
        <v>340</v>
      </c>
      <c r="C99" s="10" t="s">
        <v>309</v>
      </c>
      <c r="D99" s="10">
        <v>1</v>
      </c>
      <c r="E99" s="10">
        <v>19</v>
      </c>
      <c r="F99" s="10">
        <f t="shared" si="1"/>
        <v>19</v>
      </c>
    </row>
    <row r="100" spans="1:6" x14ac:dyDescent="0.2">
      <c r="A100" s="10" t="s">
        <v>52</v>
      </c>
      <c r="B100" s="10" t="s">
        <v>290</v>
      </c>
      <c r="C100" s="10" t="s">
        <v>278</v>
      </c>
      <c r="D100" s="10">
        <v>4</v>
      </c>
      <c r="E100" s="10">
        <v>19</v>
      </c>
      <c r="F100" s="10">
        <f t="shared" si="1"/>
        <v>76</v>
      </c>
    </row>
    <row r="101" spans="1:6" x14ac:dyDescent="0.2">
      <c r="A101" s="10" t="s">
        <v>52</v>
      </c>
      <c r="B101" s="10" t="s">
        <v>335</v>
      </c>
      <c r="C101" s="10" t="s">
        <v>331</v>
      </c>
      <c r="D101" s="10">
        <v>1</v>
      </c>
      <c r="E101" s="10">
        <v>19</v>
      </c>
      <c r="F101" s="10">
        <f t="shared" si="1"/>
        <v>19</v>
      </c>
    </row>
    <row r="102" spans="1:6" x14ac:dyDescent="0.2">
      <c r="A102" s="10" t="s">
        <v>52</v>
      </c>
      <c r="B102" s="10" t="s">
        <v>330</v>
      </c>
      <c r="C102" s="10" t="s">
        <v>331</v>
      </c>
      <c r="D102" s="10">
        <v>1</v>
      </c>
      <c r="E102" s="10">
        <v>19</v>
      </c>
      <c r="F102" s="10">
        <f t="shared" si="1"/>
        <v>19</v>
      </c>
    </row>
    <row r="103" spans="1:6" x14ac:dyDescent="0.2">
      <c r="A103" s="10" t="s">
        <v>52</v>
      </c>
      <c r="B103" s="10" t="s">
        <v>336</v>
      </c>
      <c r="C103" s="10" t="s">
        <v>333</v>
      </c>
      <c r="D103" s="10">
        <v>1</v>
      </c>
      <c r="E103" s="10">
        <v>19</v>
      </c>
      <c r="F103" s="10">
        <f t="shared" si="1"/>
        <v>19</v>
      </c>
    </row>
    <row r="104" spans="1:6" x14ac:dyDescent="0.2">
      <c r="A104" s="10" t="s">
        <v>52</v>
      </c>
      <c r="B104" s="10" t="s">
        <v>332</v>
      </c>
      <c r="C104" s="10" t="s">
        <v>333</v>
      </c>
      <c r="D104" s="10">
        <v>1</v>
      </c>
      <c r="E104" s="10">
        <v>19</v>
      </c>
      <c r="F104" s="10">
        <f t="shared" si="1"/>
        <v>19</v>
      </c>
    </row>
    <row r="105" spans="1:6" x14ac:dyDescent="0.2">
      <c r="A105" s="10" t="s">
        <v>52</v>
      </c>
      <c r="B105" s="10" t="s">
        <v>334</v>
      </c>
      <c r="C105" s="10" t="s">
        <v>329</v>
      </c>
      <c r="D105" s="10">
        <v>1</v>
      </c>
      <c r="E105" s="10">
        <v>19</v>
      </c>
      <c r="F105" s="10">
        <f t="shared" si="1"/>
        <v>19</v>
      </c>
    </row>
    <row r="106" spans="1:6" x14ac:dyDescent="0.2">
      <c r="A106" s="10" t="s">
        <v>52</v>
      </c>
      <c r="B106" s="10" t="s">
        <v>328</v>
      </c>
      <c r="C106" s="10" t="s">
        <v>329</v>
      </c>
      <c r="D106" s="10">
        <v>1</v>
      </c>
      <c r="E106" s="10">
        <v>19</v>
      </c>
      <c r="F106" s="10">
        <f t="shared" si="1"/>
        <v>19</v>
      </c>
    </row>
    <row r="107" spans="1:6" x14ac:dyDescent="0.2">
      <c r="A107" s="10" t="s">
        <v>52</v>
      </c>
      <c r="B107" s="10" t="s">
        <v>275</v>
      </c>
      <c r="C107" s="10" t="s">
        <v>276</v>
      </c>
      <c r="D107" s="10">
        <v>2</v>
      </c>
      <c r="E107" s="10">
        <v>19</v>
      </c>
      <c r="F107" s="10">
        <f t="shared" si="1"/>
        <v>38</v>
      </c>
    </row>
    <row r="108" spans="1:6" x14ac:dyDescent="0.2">
      <c r="A108" s="10" t="s">
        <v>52</v>
      </c>
      <c r="B108" s="10" t="s">
        <v>154</v>
      </c>
      <c r="C108" s="10" t="s">
        <v>278</v>
      </c>
      <c r="D108" s="10">
        <v>4</v>
      </c>
      <c r="E108" s="10">
        <v>19</v>
      </c>
      <c r="F108" s="10">
        <f t="shared" si="1"/>
        <v>76</v>
      </c>
    </row>
    <row r="109" spans="1:6" x14ac:dyDescent="0.2">
      <c r="A109" s="10" t="s">
        <v>52</v>
      </c>
      <c r="B109" s="10" t="s">
        <v>62</v>
      </c>
      <c r="C109" s="10" t="s">
        <v>323</v>
      </c>
      <c r="D109" s="10">
        <v>1</v>
      </c>
      <c r="E109" s="10">
        <v>19</v>
      </c>
      <c r="F109" s="10">
        <f t="shared" si="1"/>
        <v>19</v>
      </c>
    </row>
    <row r="110" spans="1:6" x14ac:dyDescent="0.2">
      <c r="A110" s="10" t="s">
        <v>52</v>
      </c>
      <c r="B110" s="10" t="s">
        <v>288</v>
      </c>
      <c r="C110" s="10" t="s">
        <v>289</v>
      </c>
      <c r="D110" s="10">
        <v>2</v>
      </c>
      <c r="E110" s="10">
        <v>19</v>
      </c>
      <c r="F110" s="10">
        <f t="shared" si="1"/>
        <v>38</v>
      </c>
    </row>
    <row r="111" spans="1:6" x14ac:dyDescent="0.2">
      <c r="A111" s="10" t="s">
        <v>52</v>
      </c>
      <c r="B111" s="10" t="s">
        <v>326</v>
      </c>
      <c r="C111" s="10" t="s">
        <v>278</v>
      </c>
      <c r="D111" s="10">
        <v>4</v>
      </c>
      <c r="E111" s="10">
        <v>19</v>
      </c>
      <c r="F111" s="10">
        <f t="shared" si="1"/>
        <v>76</v>
      </c>
    </row>
    <row r="112" spans="1:6" x14ac:dyDescent="0.2">
      <c r="A112" s="10" t="s">
        <v>52</v>
      </c>
      <c r="B112" s="10" t="s">
        <v>274</v>
      </c>
      <c r="C112" s="10" t="s">
        <v>273</v>
      </c>
      <c r="D112" s="10">
        <v>1</v>
      </c>
      <c r="E112" s="10">
        <v>19</v>
      </c>
      <c r="F112" s="10">
        <f t="shared" si="1"/>
        <v>19</v>
      </c>
    </row>
    <row r="113" spans="1:6" x14ac:dyDescent="0.2">
      <c r="A113" s="10" t="s">
        <v>52</v>
      </c>
      <c r="B113" s="10" t="s">
        <v>272</v>
      </c>
      <c r="C113" s="10" t="s">
        <v>273</v>
      </c>
      <c r="D113" s="10">
        <v>1</v>
      </c>
      <c r="E113" s="10">
        <v>19</v>
      </c>
      <c r="F113" s="10">
        <f t="shared" si="1"/>
        <v>19</v>
      </c>
    </row>
    <row r="114" spans="1:6" x14ac:dyDescent="0.2">
      <c r="A114" s="10" t="s">
        <v>52</v>
      </c>
      <c r="B114" s="10" t="s">
        <v>325</v>
      </c>
      <c r="C114" s="10" t="s">
        <v>273</v>
      </c>
      <c r="D114" s="10">
        <v>11</v>
      </c>
      <c r="E114" s="10">
        <v>19</v>
      </c>
      <c r="F114" s="10">
        <f t="shared" si="1"/>
        <v>209</v>
      </c>
    </row>
    <row r="115" spans="1:6" x14ac:dyDescent="0.2">
      <c r="A115" s="10" t="s">
        <v>52</v>
      </c>
      <c r="B115" s="10" t="s">
        <v>324</v>
      </c>
      <c r="C115" s="10" t="s">
        <v>273</v>
      </c>
      <c r="D115" s="10">
        <v>2</v>
      </c>
      <c r="E115" s="10">
        <v>19</v>
      </c>
      <c r="F115" s="10">
        <f t="shared" si="1"/>
        <v>38</v>
      </c>
    </row>
    <row r="116" spans="1:6" x14ac:dyDescent="0.2">
      <c r="A116" s="10" t="s">
        <v>52</v>
      </c>
      <c r="B116" s="10" t="s">
        <v>287</v>
      </c>
      <c r="C116" s="10" t="s">
        <v>273</v>
      </c>
      <c r="D116" s="10">
        <v>2</v>
      </c>
      <c r="E116" s="10">
        <v>19</v>
      </c>
      <c r="F116" s="10">
        <f t="shared" si="1"/>
        <v>38</v>
      </c>
    </row>
    <row r="117" spans="1:6" x14ac:dyDescent="0.2">
      <c r="A117" s="10" t="s">
        <v>52</v>
      </c>
      <c r="B117" s="10" t="s">
        <v>284</v>
      </c>
      <c r="C117" s="10" t="s">
        <v>273</v>
      </c>
      <c r="D117" s="10">
        <v>1</v>
      </c>
      <c r="E117" s="10">
        <v>19</v>
      </c>
      <c r="F117" s="10">
        <f t="shared" si="1"/>
        <v>19</v>
      </c>
    </row>
    <row r="118" spans="1:6" x14ac:dyDescent="0.2">
      <c r="A118" s="10" t="s">
        <v>386</v>
      </c>
      <c r="B118" s="10" t="s">
        <v>563</v>
      </c>
      <c r="C118" s="10" t="s">
        <v>390</v>
      </c>
      <c r="D118" s="10">
        <v>1</v>
      </c>
      <c r="E118" s="10">
        <v>19</v>
      </c>
      <c r="F118" s="10">
        <f t="shared" si="1"/>
        <v>19</v>
      </c>
    </row>
    <row r="119" spans="1:6" x14ac:dyDescent="0.2">
      <c r="A119" s="10" t="s">
        <v>35</v>
      </c>
      <c r="B119" s="10" t="s">
        <v>112</v>
      </c>
      <c r="C119" s="10" t="s">
        <v>113</v>
      </c>
      <c r="D119" s="10">
        <v>3</v>
      </c>
      <c r="E119" s="10">
        <v>19</v>
      </c>
      <c r="F119" s="10">
        <f t="shared" si="1"/>
        <v>57</v>
      </c>
    </row>
    <row r="120" spans="1:6" x14ac:dyDescent="0.2">
      <c r="A120" s="10" t="s">
        <v>35</v>
      </c>
      <c r="B120" s="10" t="s">
        <v>112</v>
      </c>
      <c r="C120" s="10" t="s">
        <v>113</v>
      </c>
      <c r="D120" s="10">
        <v>3</v>
      </c>
      <c r="E120" s="10">
        <v>19</v>
      </c>
      <c r="F120" s="10">
        <f t="shared" si="1"/>
        <v>57</v>
      </c>
    </row>
    <row r="121" spans="1:6" x14ac:dyDescent="0.2">
      <c r="A121" s="10" t="s">
        <v>35</v>
      </c>
      <c r="B121" s="10" t="s">
        <v>110</v>
      </c>
      <c r="C121" s="10" t="s">
        <v>111</v>
      </c>
      <c r="D121" s="10">
        <v>2</v>
      </c>
      <c r="E121" s="10">
        <v>19</v>
      </c>
      <c r="F121" s="10">
        <f t="shared" si="1"/>
        <v>38</v>
      </c>
    </row>
    <row r="122" spans="1:6" x14ac:dyDescent="0.2">
      <c r="A122" s="10" t="s">
        <v>35</v>
      </c>
      <c r="B122" s="10" t="s">
        <v>110</v>
      </c>
      <c r="C122" s="10" t="s">
        <v>111</v>
      </c>
      <c r="D122" s="10">
        <v>2</v>
      </c>
      <c r="E122" s="10">
        <v>19</v>
      </c>
      <c r="F122" s="10">
        <f t="shared" si="1"/>
        <v>38</v>
      </c>
    </row>
    <row r="123" spans="1:6" x14ac:dyDescent="0.2">
      <c r="A123" s="10" t="s">
        <v>36</v>
      </c>
      <c r="B123" s="10" t="s">
        <v>132</v>
      </c>
      <c r="C123" s="10" t="s">
        <v>133</v>
      </c>
      <c r="D123" s="10">
        <v>1</v>
      </c>
      <c r="E123" s="10">
        <v>19</v>
      </c>
      <c r="F123" s="10">
        <f t="shared" si="1"/>
        <v>19</v>
      </c>
    </row>
    <row r="124" spans="1:6" x14ac:dyDescent="0.2">
      <c r="A124" s="10" t="s">
        <v>36</v>
      </c>
      <c r="B124" s="10" t="s">
        <v>125</v>
      </c>
      <c r="C124" s="10" t="s">
        <v>117</v>
      </c>
      <c r="D124" s="10">
        <v>6</v>
      </c>
      <c r="E124" s="10">
        <v>19</v>
      </c>
      <c r="F124" s="10">
        <f t="shared" si="1"/>
        <v>114</v>
      </c>
    </row>
    <row r="125" spans="1:6" x14ac:dyDescent="0.2">
      <c r="A125" s="10" t="s">
        <v>36</v>
      </c>
      <c r="B125" s="10" t="s">
        <v>126</v>
      </c>
      <c r="C125" s="10" t="s">
        <v>127</v>
      </c>
      <c r="D125" s="10">
        <v>6</v>
      </c>
      <c r="E125" s="10">
        <v>19</v>
      </c>
      <c r="F125" s="10">
        <f t="shared" si="1"/>
        <v>114</v>
      </c>
    </row>
    <row r="126" spans="1:6" x14ac:dyDescent="0.2">
      <c r="A126" s="10" t="s">
        <v>36</v>
      </c>
      <c r="B126" s="10" t="s">
        <v>121</v>
      </c>
      <c r="C126" s="10" t="s">
        <v>117</v>
      </c>
      <c r="D126" s="10">
        <v>6</v>
      </c>
      <c r="E126" s="10">
        <v>19</v>
      </c>
      <c r="F126" s="10">
        <f t="shared" si="1"/>
        <v>114</v>
      </c>
    </row>
    <row r="127" spans="1:6" x14ac:dyDescent="0.2">
      <c r="A127" s="10" t="s">
        <v>36</v>
      </c>
      <c r="B127" s="10" t="s">
        <v>124</v>
      </c>
      <c r="C127" s="10" t="s">
        <v>119</v>
      </c>
      <c r="D127" s="10">
        <v>4</v>
      </c>
      <c r="E127" s="10">
        <v>19</v>
      </c>
      <c r="F127" s="10">
        <f t="shared" si="1"/>
        <v>76</v>
      </c>
    </row>
    <row r="128" spans="1:6" x14ac:dyDescent="0.2">
      <c r="A128" s="10" t="s">
        <v>36</v>
      </c>
      <c r="B128" s="10" t="s">
        <v>123</v>
      </c>
      <c r="C128" s="10" t="s">
        <v>119</v>
      </c>
      <c r="D128" s="10">
        <v>2</v>
      </c>
      <c r="E128" s="10">
        <v>19</v>
      </c>
      <c r="F128" s="10">
        <f t="shared" si="1"/>
        <v>38</v>
      </c>
    </row>
    <row r="129" spans="1:6" x14ac:dyDescent="0.2">
      <c r="A129" s="10" t="s">
        <v>36</v>
      </c>
      <c r="B129" s="10" t="s">
        <v>129</v>
      </c>
      <c r="C129" s="10" t="s">
        <v>130</v>
      </c>
      <c r="D129" s="10">
        <v>1</v>
      </c>
      <c r="E129" s="10">
        <v>19</v>
      </c>
      <c r="F129" s="10">
        <f t="shared" si="1"/>
        <v>19</v>
      </c>
    </row>
    <row r="130" spans="1:6" x14ac:dyDescent="0.2">
      <c r="A130" s="10" t="s">
        <v>36</v>
      </c>
      <c r="B130" s="10" t="s">
        <v>122</v>
      </c>
      <c r="C130" s="10" t="s">
        <v>76</v>
      </c>
      <c r="D130" s="10">
        <v>6</v>
      </c>
      <c r="E130" s="10">
        <v>19</v>
      </c>
      <c r="F130" s="10">
        <f t="shared" si="1"/>
        <v>114</v>
      </c>
    </row>
    <row r="131" spans="1:6" x14ac:dyDescent="0.2">
      <c r="A131" s="10" t="s">
        <v>36</v>
      </c>
      <c r="B131" s="10" t="s">
        <v>120</v>
      </c>
      <c r="C131" s="10" t="s">
        <v>117</v>
      </c>
      <c r="D131" s="10">
        <v>6</v>
      </c>
      <c r="E131" s="10">
        <v>19</v>
      </c>
      <c r="F131" s="10">
        <f t="shared" ref="F131:F194" si="2">D131*E131</f>
        <v>114</v>
      </c>
    </row>
    <row r="132" spans="1:6" x14ac:dyDescent="0.2">
      <c r="A132" s="10" t="s">
        <v>36</v>
      </c>
      <c r="B132" s="10" t="s">
        <v>118</v>
      </c>
      <c r="C132" s="10" t="s">
        <v>119</v>
      </c>
      <c r="D132" s="10">
        <v>96</v>
      </c>
      <c r="E132" s="10">
        <v>19</v>
      </c>
      <c r="F132" s="10">
        <f t="shared" si="2"/>
        <v>1824</v>
      </c>
    </row>
    <row r="133" spans="1:6" x14ac:dyDescent="0.2">
      <c r="A133" s="10" t="s">
        <v>36</v>
      </c>
      <c r="B133" s="10" t="s">
        <v>116</v>
      </c>
      <c r="C133" s="10" t="s">
        <v>117</v>
      </c>
      <c r="D133" s="10">
        <v>10</v>
      </c>
      <c r="E133" s="10">
        <v>19</v>
      </c>
      <c r="F133" s="10">
        <f t="shared" si="2"/>
        <v>190</v>
      </c>
    </row>
    <row r="134" spans="1:6" x14ac:dyDescent="0.2">
      <c r="A134" s="10" t="s">
        <v>37</v>
      </c>
      <c r="B134" s="10" t="s">
        <v>135</v>
      </c>
      <c r="C134" s="10" t="s">
        <v>136</v>
      </c>
      <c r="D134" s="10">
        <v>1</v>
      </c>
      <c r="E134" s="10">
        <v>19</v>
      </c>
      <c r="F134" s="10">
        <f t="shared" si="2"/>
        <v>19</v>
      </c>
    </row>
    <row r="135" spans="1:6" x14ac:dyDescent="0.2">
      <c r="A135" s="10" t="s">
        <v>37</v>
      </c>
      <c r="B135" s="10" t="s">
        <v>137</v>
      </c>
      <c r="C135" s="10" t="s">
        <v>138</v>
      </c>
      <c r="D135" s="10">
        <v>1</v>
      </c>
      <c r="E135" s="10">
        <v>19</v>
      </c>
      <c r="F135" s="10">
        <f t="shared" si="2"/>
        <v>19</v>
      </c>
    </row>
    <row r="136" spans="1:6" x14ac:dyDescent="0.2">
      <c r="A136" s="10" t="s">
        <v>37</v>
      </c>
      <c r="B136" s="10" t="s">
        <v>139</v>
      </c>
      <c r="C136" s="10" t="s">
        <v>140</v>
      </c>
      <c r="D136" s="10">
        <v>2</v>
      </c>
      <c r="E136" s="10">
        <v>19</v>
      </c>
      <c r="F136" s="10">
        <f t="shared" si="2"/>
        <v>38</v>
      </c>
    </row>
    <row r="137" spans="1:6" x14ac:dyDescent="0.2">
      <c r="A137" s="10" t="s">
        <v>385</v>
      </c>
      <c r="B137" s="10" t="s">
        <v>142</v>
      </c>
      <c r="C137" s="10" t="s">
        <v>143</v>
      </c>
      <c r="D137" s="10">
        <v>2</v>
      </c>
      <c r="E137" s="10">
        <v>19</v>
      </c>
      <c r="F137" s="10">
        <f t="shared" si="2"/>
        <v>38</v>
      </c>
    </row>
    <row r="138" spans="1:6" x14ac:dyDescent="0.2">
      <c r="A138" s="10" t="s">
        <v>385</v>
      </c>
      <c r="B138" s="10" t="s">
        <v>144</v>
      </c>
      <c r="C138" s="10" t="s">
        <v>145</v>
      </c>
      <c r="D138" s="10">
        <v>2</v>
      </c>
      <c r="E138" s="10">
        <v>19</v>
      </c>
      <c r="F138" s="10">
        <f t="shared" si="2"/>
        <v>38</v>
      </c>
    </row>
    <row r="139" spans="1:6" x14ac:dyDescent="0.2">
      <c r="A139" s="10" t="s">
        <v>141</v>
      </c>
      <c r="B139" s="10" t="s">
        <v>146</v>
      </c>
      <c r="C139" s="10" t="s">
        <v>147</v>
      </c>
      <c r="D139" s="10">
        <v>1</v>
      </c>
      <c r="E139" s="10">
        <v>61</v>
      </c>
      <c r="F139" s="10">
        <f t="shared" si="2"/>
        <v>61</v>
      </c>
    </row>
    <row r="140" spans="1:6" x14ac:dyDescent="0.2">
      <c r="A140" s="10" t="s">
        <v>40</v>
      </c>
      <c r="B140" s="10" t="s">
        <v>155</v>
      </c>
      <c r="C140" s="10" t="s">
        <v>156</v>
      </c>
      <c r="D140" s="10">
        <v>2</v>
      </c>
      <c r="E140" s="10">
        <v>14</v>
      </c>
      <c r="F140" s="10">
        <f t="shared" si="2"/>
        <v>28</v>
      </c>
    </row>
    <row r="141" spans="1:6" x14ac:dyDescent="0.2">
      <c r="A141" s="10" t="s">
        <v>40</v>
      </c>
      <c r="B141" s="10" t="s">
        <v>157</v>
      </c>
      <c r="C141" s="10" t="s">
        <v>158</v>
      </c>
      <c r="D141" s="10">
        <v>2</v>
      </c>
      <c r="E141" s="10">
        <v>14</v>
      </c>
      <c r="F141" s="10">
        <f t="shared" si="2"/>
        <v>28</v>
      </c>
    </row>
    <row r="142" spans="1:6" x14ac:dyDescent="0.2">
      <c r="A142" s="10" t="s">
        <v>40</v>
      </c>
      <c r="B142" s="10" t="s">
        <v>162</v>
      </c>
      <c r="C142" s="10" t="s">
        <v>163</v>
      </c>
      <c r="D142" s="10">
        <v>2</v>
      </c>
      <c r="E142" s="10">
        <v>14</v>
      </c>
      <c r="F142" s="10">
        <f t="shared" si="2"/>
        <v>28</v>
      </c>
    </row>
    <row r="143" spans="1:6" x14ac:dyDescent="0.2">
      <c r="A143" s="10" t="s">
        <v>40</v>
      </c>
      <c r="B143" s="10" t="s">
        <v>194</v>
      </c>
      <c r="C143" s="10" t="s">
        <v>193</v>
      </c>
      <c r="D143" s="10">
        <v>8</v>
      </c>
      <c r="E143" s="10">
        <v>14</v>
      </c>
      <c r="F143" s="10">
        <f t="shared" si="2"/>
        <v>112</v>
      </c>
    </row>
    <row r="144" spans="1:6" x14ac:dyDescent="0.2">
      <c r="A144" s="10" t="s">
        <v>40</v>
      </c>
      <c r="B144" s="10" t="s">
        <v>192</v>
      </c>
      <c r="C144" s="10" t="s">
        <v>193</v>
      </c>
      <c r="D144" s="10">
        <v>6</v>
      </c>
      <c r="E144" s="10">
        <v>14</v>
      </c>
      <c r="F144" s="10">
        <f t="shared" si="2"/>
        <v>84</v>
      </c>
    </row>
    <row r="145" spans="1:6" x14ac:dyDescent="0.2">
      <c r="A145" s="10" t="s">
        <v>40</v>
      </c>
      <c r="B145" s="10" t="s">
        <v>182</v>
      </c>
      <c r="C145" s="10" t="s">
        <v>158</v>
      </c>
      <c r="D145" s="10">
        <v>8</v>
      </c>
      <c r="E145" s="10">
        <v>14</v>
      </c>
      <c r="F145" s="10">
        <f t="shared" si="2"/>
        <v>112</v>
      </c>
    </row>
    <row r="146" spans="1:6" x14ac:dyDescent="0.2">
      <c r="A146" s="10" t="s">
        <v>40</v>
      </c>
      <c r="B146" s="10" t="s">
        <v>189</v>
      </c>
      <c r="C146" s="10" t="s">
        <v>163</v>
      </c>
      <c r="D146" s="10">
        <v>8</v>
      </c>
      <c r="E146" s="10">
        <v>14</v>
      </c>
      <c r="F146" s="10">
        <f t="shared" si="2"/>
        <v>112</v>
      </c>
    </row>
    <row r="147" spans="1:6" x14ac:dyDescent="0.2">
      <c r="A147" s="10" t="s">
        <v>40</v>
      </c>
      <c r="B147" s="10" t="s">
        <v>180</v>
      </c>
      <c r="C147" s="10" t="s">
        <v>181</v>
      </c>
      <c r="D147" s="10">
        <v>8</v>
      </c>
      <c r="E147" s="10">
        <v>14</v>
      </c>
      <c r="F147" s="10">
        <f t="shared" si="2"/>
        <v>112</v>
      </c>
    </row>
    <row r="148" spans="1:6" x14ac:dyDescent="0.2">
      <c r="A148" s="10" t="s">
        <v>40</v>
      </c>
      <c r="B148" s="10" t="s">
        <v>187</v>
      </c>
      <c r="C148" s="10" t="s">
        <v>188</v>
      </c>
      <c r="D148" s="10">
        <v>10</v>
      </c>
      <c r="E148" s="10">
        <v>14</v>
      </c>
      <c r="F148" s="10">
        <f t="shared" si="2"/>
        <v>140</v>
      </c>
    </row>
    <row r="149" spans="1:6" x14ac:dyDescent="0.2">
      <c r="A149" s="10" t="s">
        <v>40</v>
      </c>
      <c r="B149" s="10" t="s">
        <v>175</v>
      </c>
      <c r="C149" s="10" t="s">
        <v>176</v>
      </c>
      <c r="D149" s="10">
        <v>2</v>
      </c>
      <c r="E149" s="10">
        <v>14</v>
      </c>
      <c r="F149" s="10">
        <f t="shared" si="2"/>
        <v>28</v>
      </c>
    </row>
    <row r="150" spans="1:6" x14ac:dyDescent="0.2">
      <c r="A150" s="10" t="s">
        <v>40</v>
      </c>
      <c r="B150" s="10" t="s">
        <v>164</v>
      </c>
      <c r="C150" s="10" t="s">
        <v>165</v>
      </c>
      <c r="D150" s="10">
        <v>4</v>
      </c>
      <c r="E150" s="10">
        <v>14</v>
      </c>
      <c r="F150" s="10">
        <f t="shared" si="2"/>
        <v>56</v>
      </c>
    </row>
    <row r="151" spans="1:6" x14ac:dyDescent="0.2">
      <c r="A151" s="10" t="s">
        <v>40</v>
      </c>
      <c r="B151" s="10" t="s">
        <v>183</v>
      </c>
      <c r="C151" s="10" t="s">
        <v>184</v>
      </c>
      <c r="D151" s="10">
        <v>2</v>
      </c>
      <c r="E151" s="10">
        <v>14</v>
      </c>
      <c r="F151" s="10">
        <f t="shared" si="2"/>
        <v>28</v>
      </c>
    </row>
    <row r="152" spans="1:6" x14ac:dyDescent="0.2">
      <c r="A152" s="10" t="s">
        <v>40</v>
      </c>
      <c r="B152" s="10" t="s">
        <v>190</v>
      </c>
      <c r="C152" s="10" t="s">
        <v>191</v>
      </c>
      <c r="D152" s="10">
        <v>2</v>
      </c>
      <c r="E152" s="10">
        <v>14</v>
      </c>
      <c r="F152" s="10">
        <f t="shared" si="2"/>
        <v>28</v>
      </c>
    </row>
    <row r="153" spans="1:6" x14ac:dyDescent="0.2">
      <c r="A153" s="10" t="s">
        <v>40</v>
      </c>
      <c r="B153" s="10" t="s">
        <v>185</v>
      </c>
      <c r="C153" s="10" t="s">
        <v>186</v>
      </c>
      <c r="D153" s="10">
        <v>4</v>
      </c>
      <c r="E153" s="10">
        <v>14</v>
      </c>
      <c r="F153" s="10">
        <f t="shared" si="2"/>
        <v>56</v>
      </c>
    </row>
    <row r="154" spans="1:6" x14ac:dyDescent="0.2">
      <c r="A154" s="10" t="s">
        <v>40</v>
      </c>
      <c r="B154" s="10" t="s">
        <v>167</v>
      </c>
      <c r="C154" s="10" t="s">
        <v>168</v>
      </c>
      <c r="D154" s="10">
        <v>2</v>
      </c>
      <c r="E154" s="10">
        <v>14</v>
      </c>
      <c r="F154" s="10">
        <f t="shared" si="2"/>
        <v>28</v>
      </c>
    </row>
    <row r="155" spans="1:6" x14ac:dyDescent="0.2">
      <c r="A155" s="10" t="s">
        <v>40</v>
      </c>
      <c r="B155" s="10" t="s">
        <v>177</v>
      </c>
      <c r="C155" s="10" t="s">
        <v>178</v>
      </c>
      <c r="D155" s="10">
        <v>2</v>
      </c>
      <c r="E155" s="10">
        <v>14</v>
      </c>
      <c r="F155" s="10">
        <f t="shared" si="2"/>
        <v>28</v>
      </c>
    </row>
    <row r="156" spans="1:6" x14ac:dyDescent="0.2">
      <c r="A156" s="10" t="s">
        <v>40</v>
      </c>
      <c r="B156" s="10" t="s">
        <v>149</v>
      </c>
      <c r="C156" s="10" t="s">
        <v>150</v>
      </c>
      <c r="D156" s="10">
        <v>2</v>
      </c>
      <c r="E156" s="10">
        <v>14</v>
      </c>
      <c r="F156" s="10">
        <f t="shared" si="2"/>
        <v>28</v>
      </c>
    </row>
    <row r="157" spans="1:6" x14ac:dyDescent="0.2">
      <c r="A157" s="10" t="s">
        <v>40</v>
      </c>
      <c r="B157" s="10" t="s">
        <v>159</v>
      </c>
      <c r="C157" s="10" t="s">
        <v>117</v>
      </c>
      <c r="D157" s="10">
        <v>8</v>
      </c>
      <c r="E157" s="10">
        <v>14</v>
      </c>
      <c r="F157" s="10">
        <f t="shared" si="2"/>
        <v>112</v>
      </c>
    </row>
    <row r="158" spans="1:6" x14ac:dyDescent="0.2">
      <c r="A158" s="10" t="s">
        <v>40</v>
      </c>
      <c r="B158" s="10" t="s">
        <v>153</v>
      </c>
      <c r="C158" s="10" t="s">
        <v>119</v>
      </c>
      <c r="D158" s="10">
        <v>5</v>
      </c>
      <c r="E158" s="10">
        <v>14</v>
      </c>
      <c r="F158" s="10">
        <f t="shared" si="2"/>
        <v>70</v>
      </c>
    </row>
    <row r="159" spans="1:6" x14ac:dyDescent="0.2">
      <c r="A159" s="10" t="s">
        <v>40</v>
      </c>
      <c r="B159" s="10" t="s">
        <v>174</v>
      </c>
      <c r="C159" s="10" t="s">
        <v>119</v>
      </c>
      <c r="D159" s="10">
        <v>22</v>
      </c>
      <c r="E159" s="10">
        <v>14</v>
      </c>
      <c r="F159" s="10">
        <f t="shared" si="2"/>
        <v>308</v>
      </c>
    </row>
    <row r="160" spans="1:6" x14ac:dyDescent="0.2">
      <c r="A160" s="10" t="s">
        <v>40</v>
      </c>
      <c r="B160" s="10" t="s">
        <v>166</v>
      </c>
      <c r="C160" s="10" t="s">
        <v>76</v>
      </c>
      <c r="D160" s="10">
        <v>16</v>
      </c>
      <c r="E160" s="10">
        <v>14</v>
      </c>
      <c r="F160" s="10">
        <f t="shared" si="2"/>
        <v>224</v>
      </c>
    </row>
    <row r="161" spans="1:6" x14ac:dyDescent="0.2">
      <c r="A161" s="10" t="s">
        <v>40</v>
      </c>
      <c r="B161" s="10" t="s">
        <v>116</v>
      </c>
      <c r="C161" s="10" t="s">
        <v>117</v>
      </c>
      <c r="D161" s="10">
        <v>10</v>
      </c>
      <c r="E161" s="10">
        <v>14</v>
      </c>
      <c r="F161" s="10">
        <f t="shared" si="2"/>
        <v>140</v>
      </c>
    </row>
    <row r="162" spans="1:6" x14ac:dyDescent="0.2">
      <c r="A162" s="10" t="s">
        <v>40</v>
      </c>
      <c r="B162" s="10" t="s">
        <v>154</v>
      </c>
      <c r="C162" s="10" t="s">
        <v>117</v>
      </c>
      <c r="D162" s="10">
        <v>4</v>
      </c>
      <c r="E162" s="10">
        <v>14</v>
      </c>
      <c r="F162" s="10">
        <f t="shared" si="2"/>
        <v>56</v>
      </c>
    </row>
    <row r="163" spans="1:6" x14ac:dyDescent="0.2">
      <c r="A163" s="10" t="s">
        <v>40</v>
      </c>
      <c r="B163" s="10" t="s">
        <v>195</v>
      </c>
      <c r="C163" s="10" t="s">
        <v>117</v>
      </c>
      <c r="D163" s="10">
        <v>4</v>
      </c>
      <c r="E163" s="10">
        <v>14</v>
      </c>
      <c r="F163" s="10">
        <f t="shared" si="2"/>
        <v>56</v>
      </c>
    </row>
    <row r="164" spans="1:6" x14ac:dyDescent="0.2">
      <c r="A164" s="10" t="s">
        <v>40</v>
      </c>
      <c r="B164" s="10" t="s">
        <v>179</v>
      </c>
      <c r="C164" s="10" t="s">
        <v>119</v>
      </c>
      <c r="D164" s="10">
        <v>4</v>
      </c>
      <c r="E164" s="10">
        <v>14</v>
      </c>
      <c r="F164" s="10">
        <f t="shared" si="2"/>
        <v>56</v>
      </c>
    </row>
    <row r="165" spans="1:6" x14ac:dyDescent="0.2">
      <c r="A165" s="10" t="s">
        <v>40</v>
      </c>
      <c r="B165" s="10" t="s">
        <v>169</v>
      </c>
      <c r="C165" s="10" t="s">
        <v>119</v>
      </c>
      <c r="D165" s="10">
        <v>8</v>
      </c>
      <c r="E165" s="10">
        <v>14</v>
      </c>
      <c r="F165" s="10">
        <f t="shared" si="2"/>
        <v>112</v>
      </c>
    </row>
    <row r="166" spans="1:6" x14ac:dyDescent="0.2">
      <c r="A166" s="10" t="s">
        <v>40</v>
      </c>
      <c r="B166" s="10" t="s">
        <v>172</v>
      </c>
      <c r="C166" s="10" t="s">
        <v>173</v>
      </c>
      <c r="D166" s="10">
        <v>1</v>
      </c>
      <c r="E166" s="10">
        <v>14</v>
      </c>
      <c r="F166" s="10">
        <f t="shared" si="2"/>
        <v>14</v>
      </c>
    </row>
    <row r="167" spans="1:6" x14ac:dyDescent="0.2">
      <c r="A167" s="10" t="s">
        <v>40</v>
      </c>
      <c r="B167" s="10" t="s">
        <v>160</v>
      </c>
      <c r="C167" s="10" t="s">
        <v>161</v>
      </c>
      <c r="D167" s="10">
        <v>2</v>
      </c>
      <c r="E167" s="10">
        <v>14</v>
      </c>
      <c r="F167" s="10">
        <f t="shared" si="2"/>
        <v>28</v>
      </c>
    </row>
    <row r="168" spans="1:6" x14ac:dyDescent="0.2">
      <c r="A168" s="10" t="s">
        <v>40</v>
      </c>
      <c r="B168" s="10" t="s">
        <v>170</v>
      </c>
      <c r="C168" s="10" t="s">
        <v>171</v>
      </c>
      <c r="D168" s="10">
        <v>8</v>
      </c>
      <c r="E168" s="10">
        <v>14</v>
      </c>
      <c r="F168" s="10">
        <f t="shared" si="2"/>
        <v>112</v>
      </c>
    </row>
    <row r="169" spans="1:6" x14ac:dyDescent="0.2">
      <c r="A169" s="10" t="s">
        <v>40</v>
      </c>
      <c r="B169" s="10" t="s">
        <v>151</v>
      </c>
      <c r="C169" s="10" t="s">
        <v>152</v>
      </c>
      <c r="D169" s="10">
        <v>5</v>
      </c>
      <c r="E169" s="10">
        <v>14</v>
      </c>
      <c r="F169" s="10">
        <f t="shared" si="2"/>
        <v>70</v>
      </c>
    </row>
    <row r="170" spans="1:6" x14ac:dyDescent="0.2">
      <c r="A170" s="10" t="s">
        <v>41</v>
      </c>
      <c r="B170" s="10" t="s">
        <v>209</v>
      </c>
      <c r="C170" s="10" t="s">
        <v>210</v>
      </c>
      <c r="D170" s="10">
        <v>2</v>
      </c>
      <c r="E170" s="10">
        <v>19</v>
      </c>
      <c r="F170" s="10">
        <f t="shared" si="2"/>
        <v>38</v>
      </c>
    </row>
    <row r="171" spans="1:6" x14ac:dyDescent="0.2">
      <c r="A171" s="10" t="s">
        <v>41</v>
      </c>
      <c r="B171" s="10" t="s">
        <v>212</v>
      </c>
      <c r="C171" s="10" t="s">
        <v>213</v>
      </c>
      <c r="D171" s="10">
        <v>2</v>
      </c>
      <c r="E171" s="10">
        <v>19</v>
      </c>
      <c r="F171" s="10">
        <f t="shared" si="2"/>
        <v>38</v>
      </c>
    </row>
    <row r="172" spans="1:6" x14ac:dyDescent="0.2">
      <c r="A172" s="10" t="s">
        <v>41</v>
      </c>
      <c r="B172" s="10" t="s">
        <v>211</v>
      </c>
      <c r="C172" s="10" t="s">
        <v>203</v>
      </c>
      <c r="D172" s="10">
        <v>4</v>
      </c>
      <c r="E172" s="10">
        <v>19</v>
      </c>
      <c r="F172" s="10">
        <f t="shared" si="2"/>
        <v>76</v>
      </c>
    </row>
    <row r="173" spans="1:6" x14ac:dyDescent="0.2">
      <c r="A173" s="10" t="s">
        <v>41</v>
      </c>
      <c r="B173" s="10" t="s">
        <v>204</v>
      </c>
      <c r="C173" s="10" t="s">
        <v>205</v>
      </c>
      <c r="D173" s="10">
        <v>2</v>
      </c>
      <c r="E173" s="10">
        <v>19</v>
      </c>
      <c r="F173" s="10">
        <f t="shared" si="2"/>
        <v>38</v>
      </c>
    </row>
    <row r="174" spans="1:6" x14ac:dyDescent="0.2">
      <c r="A174" s="10" t="s">
        <v>41</v>
      </c>
      <c r="B174" s="10" t="s">
        <v>207</v>
      </c>
      <c r="C174" s="10" t="s">
        <v>208</v>
      </c>
      <c r="D174" s="10">
        <v>10</v>
      </c>
      <c r="E174" s="10">
        <v>19</v>
      </c>
      <c r="F174" s="10">
        <f t="shared" si="2"/>
        <v>190</v>
      </c>
    </row>
    <row r="175" spans="1:6" x14ac:dyDescent="0.2">
      <c r="A175" s="10" t="s">
        <v>41</v>
      </c>
      <c r="B175" s="10" t="s">
        <v>198</v>
      </c>
      <c r="C175" s="10" t="s">
        <v>199</v>
      </c>
      <c r="D175" s="10">
        <v>5</v>
      </c>
      <c r="E175" s="10">
        <v>19</v>
      </c>
      <c r="F175" s="10">
        <f t="shared" si="2"/>
        <v>95</v>
      </c>
    </row>
    <row r="176" spans="1:6" x14ac:dyDescent="0.2">
      <c r="A176" s="10" t="s">
        <v>41</v>
      </c>
      <c r="B176" s="10" t="s">
        <v>200</v>
      </c>
      <c r="C176" s="10" t="s">
        <v>199</v>
      </c>
      <c r="D176" s="10">
        <v>5</v>
      </c>
      <c r="E176" s="10">
        <v>19</v>
      </c>
      <c r="F176" s="10">
        <f t="shared" si="2"/>
        <v>95</v>
      </c>
    </row>
    <row r="177" spans="1:6" x14ac:dyDescent="0.2">
      <c r="A177" s="10" t="s">
        <v>41</v>
      </c>
      <c r="B177" s="10" t="s">
        <v>201</v>
      </c>
      <c r="C177" s="10" t="s">
        <v>76</v>
      </c>
      <c r="D177" s="10">
        <v>16</v>
      </c>
      <c r="E177" s="10">
        <v>19</v>
      </c>
      <c r="F177" s="10">
        <f t="shared" si="2"/>
        <v>304</v>
      </c>
    </row>
    <row r="178" spans="1:6" x14ac:dyDescent="0.2">
      <c r="A178" s="10" t="s">
        <v>41</v>
      </c>
      <c r="B178" s="10" t="s">
        <v>197</v>
      </c>
      <c r="C178" s="10" t="s">
        <v>117</v>
      </c>
      <c r="D178" s="10">
        <v>22</v>
      </c>
      <c r="E178" s="10">
        <v>19</v>
      </c>
      <c r="F178" s="10">
        <f t="shared" si="2"/>
        <v>418</v>
      </c>
    </row>
    <row r="179" spans="1:6" x14ac:dyDescent="0.2">
      <c r="A179" s="10" t="s">
        <v>41</v>
      </c>
      <c r="B179" s="10" t="s">
        <v>116</v>
      </c>
      <c r="C179" s="10" t="s">
        <v>117</v>
      </c>
      <c r="D179" s="10">
        <v>10</v>
      </c>
      <c r="E179" s="10">
        <v>19</v>
      </c>
      <c r="F179" s="10">
        <f t="shared" si="2"/>
        <v>190</v>
      </c>
    </row>
    <row r="180" spans="1:6" x14ac:dyDescent="0.2">
      <c r="A180" s="10" t="s">
        <v>41</v>
      </c>
      <c r="B180" s="10" t="s">
        <v>78</v>
      </c>
      <c r="C180" s="10" t="s">
        <v>76</v>
      </c>
      <c r="D180" s="10">
        <v>7</v>
      </c>
      <c r="E180" s="10">
        <v>19</v>
      </c>
      <c r="F180" s="10">
        <f t="shared" si="2"/>
        <v>133</v>
      </c>
    </row>
    <row r="181" spans="1:6" x14ac:dyDescent="0.2">
      <c r="A181" s="10" t="s">
        <v>41</v>
      </c>
      <c r="B181" s="10" t="s">
        <v>359</v>
      </c>
      <c r="C181" s="10" t="s">
        <v>360</v>
      </c>
      <c r="D181" s="10">
        <v>1</v>
      </c>
      <c r="E181" s="10">
        <v>19</v>
      </c>
      <c r="F181" s="10">
        <f t="shared" si="2"/>
        <v>19</v>
      </c>
    </row>
    <row r="182" spans="1:6" x14ac:dyDescent="0.2">
      <c r="A182" s="10" t="s">
        <v>41</v>
      </c>
      <c r="B182" s="10" t="s">
        <v>202</v>
      </c>
      <c r="C182" s="10" t="s">
        <v>203</v>
      </c>
      <c r="D182" s="10">
        <v>4</v>
      </c>
      <c r="E182" s="10">
        <v>19</v>
      </c>
      <c r="F182" s="10">
        <f t="shared" si="2"/>
        <v>76</v>
      </c>
    </row>
    <row r="183" spans="1:6" x14ac:dyDescent="0.2">
      <c r="A183" s="10" t="s">
        <v>33</v>
      </c>
      <c r="B183" s="10" t="s">
        <v>64</v>
      </c>
      <c r="C183" s="10" t="s">
        <v>65</v>
      </c>
      <c r="D183" s="10">
        <v>1</v>
      </c>
      <c r="E183" s="10">
        <v>19</v>
      </c>
      <c r="F183" s="10">
        <f t="shared" si="2"/>
        <v>19</v>
      </c>
    </row>
    <row r="184" spans="1:6" x14ac:dyDescent="0.2">
      <c r="A184" s="10" t="s">
        <v>33</v>
      </c>
      <c r="B184" s="10" t="s">
        <v>92</v>
      </c>
      <c r="C184" s="10" t="s">
        <v>93</v>
      </c>
      <c r="D184" s="10">
        <v>1</v>
      </c>
      <c r="E184" s="10">
        <v>19</v>
      </c>
      <c r="F184" s="10">
        <f t="shared" si="2"/>
        <v>19</v>
      </c>
    </row>
    <row r="185" spans="1:6" x14ac:dyDescent="0.2">
      <c r="A185" s="10" t="s">
        <v>33</v>
      </c>
      <c r="B185" s="10" t="s">
        <v>94</v>
      </c>
      <c r="C185" s="10" t="s">
        <v>95</v>
      </c>
      <c r="D185" s="10">
        <v>1</v>
      </c>
      <c r="E185" s="10">
        <v>19</v>
      </c>
      <c r="F185" s="10">
        <f t="shared" si="2"/>
        <v>19</v>
      </c>
    </row>
    <row r="186" spans="1:6" x14ac:dyDescent="0.2">
      <c r="A186" s="10" t="s">
        <v>33</v>
      </c>
      <c r="B186" s="10" t="s">
        <v>70</v>
      </c>
      <c r="C186" s="10" t="s">
        <v>71</v>
      </c>
      <c r="D186" s="10">
        <v>1</v>
      </c>
      <c r="E186" s="10">
        <v>19</v>
      </c>
      <c r="F186" s="10">
        <f t="shared" si="2"/>
        <v>19</v>
      </c>
    </row>
    <row r="187" spans="1:6" x14ac:dyDescent="0.2">
      <c r="A187" s="10" t="s">
        <v>33</v>
      </c>
      <c r="B187" s="10" t="s">
        <v>82</v>
      </c>
      <c r="C187" s="10" t="s">
        <v>83</v>
      </c>
      <c r="D187" s="10">
        <v>1</v>
      </c>
      <c r="E187" s="10">
        <v>19</v>
      </c>
      <c r="F187" s="10">
        <f t="shared" si="2"/>
        <v>19</v>
      </c>
    </row>
    <row r="188" spans="1:6" x14ac:dyDescent="0.2">
      <c r="A188" s="10" t="s">
        <v>33</v>
      </c>
      <c r="B188" s="10" t="s">
        <v>89</v>
      </c>
      <c r="C188" s="10" t="s">
        <v>85</v>
      </c>
      <c r="D188" s="10">
        <v>1</v>
      </c>
      <c r="E188" s="10">
        <v>19</v>
      </c>
      <c r="F188" s="10">
        <f t="shared" si="2"/>
        <v>19</v>
      </c>
    </row>
    <row r="189" spans="1:6" x14ac:dyDescent="0.2">
      <c r="A189" s="10" t="s">
        <v>33</v>
      </c>
      <c r="B189" s="10" t="s">
        <v>84</v>
      </c>
      <c r="C189" s="10" t="s">
        <v>85</v>
      </c>
      <c r="D189" s="10">
        <v>1</v>
      </c>
      <c r="E189" s="10">
        <v>19</v>
      </c>
      <c r="F189" s="10">
        <f t="shared" si="2"/>
        <v>19</v>
      </c>
    </row>
    <row r="190" spans="1:6" x14ac:dyDescent="0.2">
      <c r="A190" s="10" t="s">
        <v>33</v>
      </c>
      <c r="B190" s="10" t="s">
        <v>86</v>
      </c>
      <c r="C190" s="10" t="s">
        <v>85</v>
      </c>
      <c r="D190" s="10">
        <v>1</v>
      </c>
      <c r="E190" s="10">
        <v>19</v>
      </c>
      <c r="F190" s="10">
        <f t="shared" si="2"/>
        <v>19</v>
      </c>
    </row>
    <row r="191" spans="1:6" x14ac:dyDescent="0.2">
      <c r="A191" s="10" t="s">
        <v>33</v>
      </c>
      <c r="B191" s="10" t="s">
        <v>87</v>
      </c>
      <c r="C191" s="10" t="s">
        <v>88</v>
      </c>
      <c r="D191" s="10">
        <v>1</v>
      </c>
      <c r="E191" s="10">
        <v>19</v>
      </c>
      <c r="F191" s="10">
        <f t="shared" si="2"/>
        <v>19</v>
      </c>
    </row>
    <row r="192" spans="1:6" x14ac:dyDescent="0.2">
      <c r="A192" s="10" t="s">
        <v>33</v>
      </c>
      <c r="B192" s="10" t="s">
        <v>90</v>
      </c>
      <c r="C192" s="10" t="s">
        <v>88</v>
      </c>
      <c r="D192" s="10">
        <v>1</v>
      </c>
      <c r="E192" s="10">
        <v>19</v>
      </c>
      <c r="F192" s="10">
        <f t="shared" si="2"/>
        <v>19</v>
      </c>
    </row>
    <row r="193" spans="1:6" x14ac:dyDescent="0.2">
      <c r="A193" s="10" t="s">
        <v>33</v>
      </c>
      <c r="B193" s="10" t="s">
        <v>67</v>
      </c>
      <c r="C193" s="10" t="s">
        <v>68</v>
      </c>
      <c r="D193" s="10">
        <v>1</v>
      </c>
      <c r="E193" s="10">
        <v>19</v>
      </c>
      <c r="F193" s="10">
        <f t="shared" si="2"/>
        <v>19</v>
      </c>
    </row>
    <row r="194" spans="1:6" x14ac:dyDescent="0.2">
      <c r="A194" s="10" t="s">
        <v>33</v>
      </c>
      <c r="B194" s="10" t="s">
        <v>73</v>
      </c>
      <c r="C194" s="10" t="s">
        <v>74</v>
      </c>
      <c r="D194" s="10">
        <v>2</v>
      </c>
      <c r="E194" s="10">
        <v>19</v>
      </c>
      <c r="F194" s="10">
        <f t="shared" si="2"/>
        <v>38</v>
      </c>
    </row>
    <row r="195" spans="1:6" x14ac:dyDescent="0.2">
      <c r="A195" s="10" t="s">
        <v>33</v>
      </c>
      <c r="B195" s="10" t="s">
        <v>81</v>
      </c>
      <c r="C195" s="10" t="s">
        <v>74</v>
      </c>
      <c r="D195" s="10">
        <v>3</v>
      </c>
      <c r="E195" s="10">
        <v>19</v>
      </c>
      <c r="F195" s="10">
        <f t="shared" ref="F195:F202" si="3">D195*E195</f>
        <v>57</v>
      </c>
    </row>
    <row r="196" spans="1:6" x14ac:dyDescent="0.2">
      <c r="A196" s="10" t="s">
        <v>33</v>
      </c>
      <c r="B196" s="10" t="s">
        <v>75</v>
      </c>
      <c r="C196" s="10" t="s">
        <v>76</v>
      </c>
      <c r="D196" s="10">
        <v>13</v>
      </c>
      <c r="E196" s="10">
        <v>19</v>
      </c>
      <c r="F196" s="10">
        <f t="shared" si="3"/>
        <v>247</v>
      </c>
    </row>
    <row r="197" spans="1:6" x14ac:dyDescent="0.2">
      <c r="A197" s="10" t="s">
        <v>33</v>
      </c>
      <c r="B197" s="10" t="s">
        <v>78</v>
      </c>
      <c r="C197" s="10" t="s">
        <v>76</v>
      </c>
      <c r="D197" s="10">
        <v>7</v>
      </c>
      <c r="E197" s="10">
        <v>19</v>
      </c>
      <c r="F197" s="10">
        <f t="shared" si="3"/>
        <v>133</v>
      </c>
    </row>
    <row r="198" spans="1:6" x14ac:dyDescent="0.2">
      <c r="A198" s="10" t="s">
        <v>33</v>
      </c>
      <c r="B198" s="10" t="s">
        <v>62</v>
      </c>
      <c r="C198" s="10" t="s">
        <v>63</v>
      </c>
      <c r="D198" s="10">
        <v>1</v>
      </c>
      <c r="E198" s="10">
        <v>19</v>
      </c>
      <c r="F198" s="10">
        <f t="shared" si="3"/>
        <v>19</v>
      </c>
    </row>
    <row r="199" spans="1:6" x14ac:dyDescent="0.2">
      <c r="A199" s="10" t="s">
        <v>33</v>
      </c>
      <c r="B199" s="10" t="s">
        <v>80</v>
      </c>
      <c r="C199" s="10" t="s">
        <v>74</v>
      </c>
      <c r="D199" s="10">
        <v>7</v>
      </c>
      <c r="E199" s="10">
        <v>19</v>
      </c>
      <c r="F199" s="10">
        <f t="shared" si="3"/>
        <v>133</v>
      </c>
    </row>
    <row r="200" spans="1:6" x14ac:dyDescent="0.2">
      <c r="A200" s="10" t="s">
        <v>33</v>
      </c>
      <c r="B200" s="10" t="s">
        <v>77</v>
      </c>
      <c r="C200" s="10" t="s">
        <v>74</v>
      </c>
      <c r="D200" s="10">
        <v>3</v>
      </c>
      <c r="E200" s="10">
        <v>19</v>
      </c>
      <c r="F200" s="10">
        <f t="shared" si="3"/>
        <v>57</v>
      </c>
    </row>
    <row r="201" spans="1:6" x14ac:dyDescent="0.2">
      <c r="A201" s="10" t="s">
        <v>33</v>
      </c>
      <c r="B201" s="10" t="s">
        <v>568</v>
      </c>
      <c r="C201" s="10" t="s">
        <v>569</v>
      </c>
      <c r="D201" s="10">
        <v>1</v>
      </c>
      <c r="E201" s="10">
        <v>19</v>
      </c>
      <c r="F201" s="10">
        <f t="shared" si="3"/>
        <v>19</v>
      </c>
    </row>
    <row r="202" spans="1:6" x14ac:dyDescent="0.2">
      <c r="A202" s="10" t="s">
        <v>33</v>
      </c>
      <c r="B202" s="10" t="s">
        <v>79</v>
      </c>
      <c r="C202" s="10" t="s">
        <v>74</v>
      </c>
      <c r="D202" s="10">
        <v>3</v>
      </c>
      <c r="E202" s="10">
        <v>19</v>
      </c>
      <c r="F202" s="10">
        <f t="shared" si="3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Structural</vt:lpstr>
      <vt:lpstr>Rules &amp; Rate</vt:lpstr>
      <vt:lpstr>Labour</vt:lpstr>
      <vt:lpstr>Component $</vt:lpstr>
      <vt:lpstr>Kits</vt:lpstr>
      <vt:lpstr>Cerrejon inventory impact</vt:lpstr>
      <vt:lpstr>Component parts impact</vt:lpstr>
      <vt:lpstr>Inventory total</vt:lpstr>
      <vt:lpstr>Summary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Ibanez, Ivan</dc:creator>
  <cp:lastModifiedBy>Ibanez, Ivan</cp:lastModifiedBy>
  <dcterms:created xsi:type="dcterms:W3CDTF">2026-04-27T14:26:40Z</dcterms:created>
  <dcterms:modified xsi:type="dcterms:W3CDTF">2026-06-04T00:32:35Z</dcterms:modified>
</cp:coreProperties>
</file>