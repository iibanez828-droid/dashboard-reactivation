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banezi\Desktop\Reactivation EH5000ACII\"/>
    </mc:Choice>
  </mc:AlternateContent>
  <xr:revisionPtr revIDLastSave="0" documentId="13_ncr:1_{50024C88-AC66-4072-BC94-86C46301C885}" xr6:coauthVersionLast="47" xr6:coauthVersionMax="47" xr10:uidLastSave="{00000000-0000-0000-0000-000000000000}"/>
  <bookViews>
    <workbookView xWindow="0" yWindow="360" windowWidth="29040" windowHeight="15720" xr2:uid="{E29761E9-FEDD-4E2C-9807-812745E2CEAF}"/>
  </bookViews>
  <sheets>
    <sheet name="Structural" sheetId="1" r:id="rId1"/>
    <sheet name="Rules &amp; Rate" sheetId="5" r:id="rId2"/>
    <sheet name="Labour" sheetId="4" r:id="rId3"/>
    <sheet name="Component $" sheetId="3" r:id="rId4"/>
    <sheet name="Kits" sheetId="2" r:id="rId5"/>
  </sheets>
  <definedNames>
    <definedName name="_xlnm._FilterDatabase" localSheetId="0" hidden="1">Structural!$A$1:$BZ$31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B2" i="1" l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B8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B9" i="3"/>
  <c r="CB6" i="1" s="1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BZ3" i="1"/>
  <c r="BZ4" i="1"/>
  <c r="BZ5" i="1"/>
  <c r="BZ6" i="1"/>
  <c r="BZ7" i="1"/>
  <c r="BZ8" i="1"/>
  <c r="BZ9" i="1"/>
  <c r="BZ10" i="1"/>
  <c r="BZ11" i="1"/>
  <c r="BZ12" i="1"/>
  <c r="BZ13" i="1"/>
  <c r="BZ14" i="1"/>
  <c r="BZ15" i="1"/>
  <c r="BZ16" i="1"/>
  <c r="BZ17" i="1"/>
  <c r="BZ18" i="1"/>
  <c r="BZ19" i="1"/>
  <c r="BZ20" i="1"/>
  <c r="BZ21" i="1"/>
  <c r="BZ22" i="1"/>
  <c r="BZ23" i="1"/>
  <c r="BZ24" i="1"/>
  <c r="BZ25" i="1"/>
  <c r="BZ26" i="1"/>
  <c r="BZ27" i="1"/>
  <c r="BZ28" i="1"/>
  <c r="BZ29" i="1"/>
  <c r="BZ30" i="1"/>
  <c r="BZ31" i="1"/>
  <c r="BZ2" i="1"/>
  <c r="BW5" i="1"/>
  <c r="BW6" i="1"/>
  <c r="BY6" i="1" s="1"/>
  <c r="BW7" i="1"/>
  <c r="BY7" i="1" s="1"/>
  <c r="BW8" i="1"/>
  <c r="BW9" i="1"/>
  <c r="BW10" i="1"/>
  <c r="BY10" i="1" s="1"/>
  <c r="BW11" i="1"/>
  <c r="BW12" i="1"/>
  <c r="BW13" i="1"/>
  <c r="BW14" i="1"/>
  <c r="BW15" i="1"/>
  <c r="BY15" i="1" s="1"/>
  <c r="BW16" i="1"/>
  <c r="BY16" i="1" s="1"/>
  <c r="BW17" i="1"/>
  <c r="BY17" i="1" s="1"/>
  <c r="BW18" i="1"/>
  <c r="BY18" i="1" s="1"/>
  <c r="BW19" i="1"/>
  <c r="BY19" i="1" s="1"/>
  <c r="BW20" i="1"/>
  <c r="BY20" i="1" s="1"/>
  <c r="BW21" i="1"/>
  <c r="BY21" i="1" s="1"/>
  <c r="BW22" i="1"/>
  <c r="BY22" i="1" s="1"/>
  <c r="BW23" i="1"/>
  <c r="BY23" i="1" s="1"/>
  <c r="BW24" i="1"/>
  <c r="BY24" i="1" s="1"/>
  <c r="BW25" i="1"/>
  <c r="BW26" i="1"/>
  <c r="BY26" i="1" s="1"/>
  <c r="BW27" i="1"/>
  <c r="BY27" i="1" s="1"/>
  <c r="BW28" i="1"/>
  <c r="BW29" i="1"/>
  <c r="BW30" i="1"/>
  <c r="BY30" i="1" s="1"/>
  <c r="BW31" i="1"/>
  <c r="BW4" i="1"/>
  <c r="BW3" i="1"/>
  <c r="BW2" i="1"/>
  <c r="BY2" i="1"/>
  <c r="CD28" i="1"/>
  <c r="CC28" i="1"/>
  <c r="CD11" i="1"/>
  <c r="CD12" i="1"/>
  <c r="CC22" i="1"/>
  <c r="CD31" i="1"/>
  <c r="CD2" i="1"/>
  <c r="CD9" i="1"/>
  <c r="CD10" i="1"/>
  <c r="CD29" i="1"/>
  <c r="CD30" i="1"/>
  <c r="CC8" i="1"/>
  <c r="CC3" i="1"/>
  <c r="CC4" i="1"/>
  <c r="CC5" i="1"/>
  <c r="CC6" i="1"/>
  <c r="CC7" i="1"/>
  <c r="CC9" i="1"/>
  <c r="CC10" i="1"/>
  <c r="CC11" i="1"/>
  <c r="CC12" i="1"/>
  <c r="CD13" i="1"/>
  <c r="CD14" i="1"/>
  <c r="CD15" i="1"/>
  <c r="CD16" i="1"/>
  <c r="CD17" i="1"/>
  <c r="CD18" i="1"/>
  <c r="CC19" i="1"/>
  <c r="CD20" i="1"/>
  <c r="CC21" i="1"/>
  <c r="CD22" i="1"/>
  <c r="CC23" i="1"/>
  <c r="CC24" i="1"/>
  <c r="CC25" i="1"/>
  <c r="CC26" i="1"/>
  <c r="CC27" i="1"/>
  <c r="CC29" i="1"/>
  <c r="CC30" i="1"/>
  <c r="CC31" i="1"/>
  <c r="CC2" i="1"/>
  <c r="BY3" i="1"/>
  <c r="BY4" i="1"/>
  <c r="BY5" i="1"/>
  <c r="BY8" i="1"/>
  <c r="BY9" i="1"/>
  <c r="BY11" i="1"/>
  <c r="BY12" i="1"/>
  <c r="BY13" i="1"/>
  <c r="BY14" i="1"/>
  <c r="BY25" i="1"/>
  <c r="BY28" i="1"/>
  <c r="BY29" i="1"/>
  <c r="BY31" i="1"/>
  <c r="CE2" i="1" l="1"/>
  <c r="CE12" i="1"/>
  <c r="CE31" i="1"/>
  <c r="CE11" i="1"/>
  <c r="CE30" i="1"/>
  <c r="CE10" i="1"/>
  <c r="CE27" i="1"/>
  <c r="CE7" i="1"/>
  <c r="CE6" i="1"/>
  <c r="CE25" i="1"/>
  <c r="CE5" i="1"/>
  <c r="CE3" i="1"/>
  <c r="CC20" i="1"/>
  <c r="CC18" i="1"/>
  <c r="CD8" i="1"/>
  <c r="CC17" i="1"/>
  <c r="CD27" i="1"/>
  <c r="CD7" i="1"/>
  <c r="CC16" i="1"/>
  <c r="CD26" i="1"/>
  <c r="CD6" i="1"/>
  <c r="CC15" i="1"/>
  <c r="CD25" i="1"/>
  <c r="CD5" i="1"/>
  <c r="CC14" i="1"/>
  <c r="CD24" i="1"/>
  <c r="CD4" i="1"/>
  <c r="CC13" i="1"/>
  <c r="CD23" i="1"/>
  <c r="CD3" i="1"/>
  <c r="CD21" i="1"/>
  <c r="CD19" i="1"/>
  <c r="CB17" i="1"/>
  <c r="CB16" i="1"/>
  <c r="CB14" i="1"/>
  <c r="CB13" i="1"/>
  <c r="CB18" i="1"/>
  <c r="CB24" i="1"/>
  <c r="CB25" i="1"/>
  <c r="CB5" i="1"/>
  <c r="CB4" i="1"/>
  <c r="CB23" i="1"/>
  <c r="CB3" i="1"/>
  <c r="CA3" i="1"/>
  <c r="CB22" i="1"/>
  <c r="CB21" i="1"/>
  <c r="CB20" i="1"/>
  <c r="CB19" i="1"/>
  <c r="CB15" i="1"/>
  <c r="CA16" i="1"/>
  <c r="CE16" i="1" s="1"/>
  <c r="CB2" i="1"/>
  <c r="CB31" i="1"/>
  <c r="CB30" i="1"/>
  <c r="CB10" i="1"/>
  <c r="CB12" i="1"/>
  <c r="CB11" i="1"/>
  <c r="CB29" i="1"/>
  <c r="CB9" i="1"/>
  <c r="CB28" i="1"/>
  <c r="CB8" i="1"/>
  <c r="CB27" i="1"/>
  <c r="CB7" i="1"/>
  <c r="CB26" i="1"/>
  <c r="CA20" i="1"/>
  <c r="CE20" i="1" s="1"/>
  <c r="CA19" i="1"/>
  <c r="CE19" i="1" s="1"/>
  <c r="CA2" i="1"/>
  <c r="CA12" i="1"/>
  <c r="CA22" i="1"/>
  <c r="CE22" i="1" s="1"/>
  <c r="CA13" i="1"/>
  <c r="CE13" i="1" s="1"/>
  <c r="CA31" i="1"/>
  <c r="CA11" i="1"/>
  <c r="CA30" i="1"/>
  <c r="CA10" i="1"/>
  <c r="CA21" i="1"/>
  <c r="CE21" i="1" s="1"/>
  <c r="CA29" i="1"/>
  <c r="CE29" i="1" s="1"/>
  <c r="CA9" i="1"/>
  <c r="CE9" i="1" s="1"/>
  <c r="CA28" i="1"/>
  <c r="CE28" i="1" s="1"/>
  <c r="CA8" i="1"/>
  <c r="CE8" i="1" s="1"/>
  <c r="CA27" i="1"/>
  <c r="CA7" i="1"/>
  <c r="CA6" i="1"/>
  <c r="CA15" i="1"/>
  <c r="CE15" i="1" s="1"/>
  <c r="CA14" i="1"/>
  <c r="CE14" i="1" s="1"/>
  <c r="CA25" i="1"/>
  <c r="CA5" i="1"/>
  <c r="CA18" i="1"/>
  <c r="CE18" i="1" s="1"/>
  <c r="CA17" i="1"/>
  <c r="CE17" i="1" s="1"/>
  <c r="CA26" i="1"/>
  <c r="CE26" i="1" s="1"/>
  <c r="CA24" i="1"/>
  <c r="CE24" i="1" s="1"/>
  <c r="CA4" i="1"/>
  <c r="CE4" i="1" s="1"/>
  <c r="CA23" i="1"/>
  <c r="CE23" i="1" s="1"/>
</calcChain>
</file>

<file path=xl/sharedStrings.xml><?xml version="1.0" encoding="utf-8"?>
<sst xmlns="http://schemas.openxmlformats.org/spreadsheetml/2006/main" count="989" uniqueCount="398">
  <si>
    <t>DT</t>
  </si>
  <si>
    <t>High Arch Severity</t>
  </si>
  <si>
    <t>Nose Cone Severity</t>
  </si>
  <si>
    <t>Inside Web Plates Severity</t>
  </si>
  <si>
    <t>Hoist Plates Severity</t>
  </si>
  <si>
    <t>Top &amp; Bottom flange Severity</t>
  </si>
  <si>
    <t>HTM Severity</t>
  </si>
  <si>
    <t>Crack Length Criteria</t>
  </si>
  <si>
    <t>Weighted criteria</t>
  </si>
  <si>
    <t>Total Lenghts cracks (mm)</t>
  </si>
  <si>
    <t>Accum front brake</t>
  </si>
  <si>
    <t>Accum rear brake</t>
  </si>
  <si>
    <t>Accum steer right</t>
  </si>
  <si>
    <t>Accum steer left</t>
  </si>
  <si>
    <t>Alternator</t>
  </si>
  <si>
    <t>Operator Cab</t>
  </si>
  <si>
    <t>Frame</t>
  </si>
  <si>
    <t>Hoist cylinder right</t>
  </si>
  <si>
    <t>Hoist cylinder left</t>
  </si>
  <si>
    <t>Steer cylinder right</t>
  </si>
  <si>
    <t>Steer cylinder left</t>
  </si>
  <si>
    <t>Final Drive right</t>
  </si>
  <si>
    <t>Final Drive left</t>
  </si>
  <si>
    <t>Engine</t>
  </si>
  <si>
    <t>Eletrical motor right</t>
  </si>
  <si>
    <t>Eletrical motor left</t>
  </si>
  <si>
    <t>Spindle right</t>
  </si>
  <si>
    <t>Spindle left</t>
  </si>
  <si>
    <t>Front strut right</t>
  </si>
  <si>
    <t>Rear strtus right</t>
  </si>
  <si>
    <t>Front strut left</t>
  </si>
  <si>
    <t>Rear strut right</t>
  </si>
  <si>
    <t>Body</t>
  </si>
  <si>
    <t>Kits 1 A/C System</t>
  </si>
  <si>
    <t>Kit 2 Lube system</t>
  </si>
  <si>
    <t>Kit 3 Hydraulic filters &amp; seal kits</t>
  </si>
  <si>
    <t>Kit 4 Operator Cab Monuting</t>
  </si>
  <si>
    <t xml:space="preserve">Kit 5 Drive system </t>
  </si>
  <si>
    <t>Kit 6 Drive system elfa fan blower</t>
  </si>
  <si>
    <t>Kit 7 Drive system braking resistor</t>
  </si>
  <si>
    <t>Kit 8 Body Mounting &amp; Pads</t>
  </si>
  <si>
    <t>Kit 9 Accum steer &amp; Brake</t>
  </si>
  <si>
    <t>Kit 10 Brake Valve &amp; Cooler mounting</t>
  </si>
  <si>
    <t>Kit 11 Front axle &amp; MTG</t>
  </si>
  <si>
    <t>Kit 12 Frame Bottom plate optimized</t>
  </si>
  <si>
    <t>Kit 13 Frame upper plate optimized</t>
  </si>
  <si>
    <t>Kit 14 Frame left side optimized</t>
  </si>
  <si>
    <t xml:space="preserve">Kit 15 Frame right  side optimized </t>
  </si>
  <si>
    <t>Kit 16 Hoist plate reinforment optmized</t>
  </si>
  <si>
    <t>Kit 17 Filtration drive system optmized</t>
  </si>
  <si>
    <t>Kit 18 Engine &amp; Hardware</t>
  </si>
  <si>
    <t xml:space="preserve">Kit 19 Mirror bracket support </t>
  </si>
  <si>
    <t>Kit 20 Fuel tank Bracket support</t>
  </si>
  <si>
    <t>Hours</t>
  </si>
  <si>
    <t>System</t>
  </si>
  <si>
    <t>PN</t>
  </si>
  <si>
    <t>Description</t>
  </si>
  <si>
    <t>QTY</t>
  </si>
  <si>
    <t>CHM Dealer price</t>
  </si>
  <si>
    <t>Bench Labour hours</t>
  </si>
  <si>
    <t>Total price</t>
  </si>
  <si>
    <t>AIR CONDITIONER COMPRESSOR</t>
  </si>
  <si>
    <t>E13811534</t>
  </si>
  <si>
    <t>Locknut, m12 x1.75 yel</t>
  </si>
  <si>
    <t>E12628761</t>
  </si>
  <si>
    <t>Compressor,high outpt 1</t>
  </si>
  <si>
    <t>AIR CONDITIONER UNIT</t>
  </si>
  <si>
    <t>E12981645</t>
  </si>
  <si>
    <t>Receiver drier</t>
  </si>
  <si>
    <t>AIR CONDITIONER CONDENSER</t>
  </si>
  <si>
    <t>E12643308</t>
  </si>
  <si>
    <t>A/c condenser</t>
  </si>
  <si>
    <t>AIR CONDITIONER LINES</t>
  </si>
  <si>
    <t>E13803040</t>
  </si>
  <si>
    <t>Clamp</t>
  </si>
  <si>
    <t>E13807441</t>
  </si>
  <si>
    <t>Lock nut</t>
  </si>
  <si>
    <t>E13813399</t>
  </si>
  <si>
    <t>E13811467</t>
  </si>
  <si>
    <t>E13813400</t>
  </si>
  <si>
    <t>E13813373</t>
  </si>
  <si>
    <t>E13803044</t>
  </si>
  <si>
    <t>E12646913</t>
  </si>
  <si>
    <t>Kit-drain hose</t>
  </si>
  <si>
    <t>E12650120</t>
  </si>
  <si>
    <t>Hose assy</t>
  </si>
  <si>
    <t>E12650122</t>
  </si>
  <si>
    <t>E12662364</t>
  </si>
  <si>
    <t>Hose assembly</t>
  </si>
  <si>
    <t>E12650118</t>
  </si>
  <si>
    <t>E12662365</t>
  </si>
  <si>
    <t>AIR CONDITIONER PARTS</t>
  </si>
  <si>
    <t>E12635857</t>
  </si>
  <si>
    <t>V-belt</t>
  </si>
  <si>
    <t>E12642566</t>
  </si>
  <si>
    <t xml:space="preserve">AC Display </t>
  </si>
  <si>
    <t>Lube System</t>
  </si>
  <si>
    <t>E4007022</t>
  </si>
  <si>
    <t xml:space="preserve">Injector </t>
  </si>
  <si>
    <t>E12660586</t>
  </si>
  <si>
    <t>Injector</t>
  </si>
  <si>
    <t>E12977367</t>
  </si>
  <si>
    <t xml:space="preserve">Vent Valve </t>
  </si>
  <si>
    <t>E4058129</t>
  </si>
  <si>
    <t>Valve</t>
  </si>
  <si>
    <t>E12979473</t>
  </si>
  <si>
    <t>Kit seal pump</t>
  </si>
  <si>
    <t>E12979471</t>
  </si>
  <si>
    <t xml:space="preserve">Kit seal hyd valve lube pump </t>
  </si>
  <si>
    <t>FILTER</t>
  </si>
  <si>
    <t>E12978122</t>
  </si>
  <si>
    <t>Kit, seal</t>
  </si>
  <si>
    <t>E12699796</t>
  </si>
  <si>
    <t>Element, filter</t>
  </si>
  <si>
    <t>FILTER, STEER</t>
  </si>
  <si>
    <t>CAB MOUNTING</t>
  </si>
  <si>
    <t>E13811433</t>
  </si>
  <si>
    <t>Washer</t>
  </si>
  <si>
    <t>E13811075</t>
  </si>
  <si>
    <t>Screw</t>
  </si>
  <si>
    <t>E13806880</t>
  </si>
  <si>
    <t>E12588822</t>
  </si>
  <si>
    <t>E13804131</t>
  </si>
  <si>
    <t>E12598553</t>
  </si>
  <si>
    <t>E12596345</t>
  </si>
  <si>
    <t>E12587786</t>
  </si>
  <si>
    <t>E12588558</t>
  </si>
  <si>
    <t>Mount, cab</t>
  </si>
  <si>
    <t>Display</t>
  </si>
  <si>
    <t>E12696031</t>
  </si>
  <si>
    <t xml:space="preserve">Display Main cab </t>
  </si>
  <si>
    <t>Switchs box</t>
  </si>
  <si>
    <t>4656354</t>
  </si>
  <si>
    <t>Switch box display</t>
  </si>
  <si>
    <t>Drive system</t>
  </si>
  <si>
    <t>E12670401</t>
  </si>
  <si>
    <t xml:space="preserve">Antifrogen </t>
  </si>
  <si>
    <t>E12984823</t>
  </si>
  <si>
    <t>Kit Contactor K109</t>
  </si>
  <si>
    <t>E15002376</t>
  </si>
  <si>
    <t>Kit Overhaul elfa motor</t>
  </si>
  <si>
    <t xml:space="preserve">Kit 7 Drive system </t>
  </si>
  <si>
    <t>E12984906</t>
  </si>
  <si>
    <t>Fan blower IGBT</t>
  </si>
  <si>
    <t>E12984907</t>
  </si>
  <si>
    <t xml:space="preserve">Fan cover </t>
  </si>
  <si>
    <t xml:space="preserve">Kit 8 Drive system </t>
  </si>
  <si>
    <t>E12652952</t>
  </si>
  <si>
    <t>Braking resistor</t>
  </si>
  <si>
    <t>Kit 6 Body Mounting &amp; Pads</t>
  </si>
  <si>
    <t>BODY MOUNTING</t>
  </si>
  <si>
    <t>E13800408</t>
  </si>
  <si>
    <t>Cotter pin</t>
  </si>
  <si>
    <t>E427648</t>
  </si>
  <si>
    <t>Nut</t>
  </si>
  <si>
    <t>E13811076</t>
  </si>
  <si>
    <t>E13811459</t>
  </si>
  <si>
    <t>E12595558</t>
  </si>
  <si>
    <t>Shim 0.06 in</t>
  </si>
  <si>
    <t>E12595559</t>
  </si>
  <si>
    <t>Shim 0.12 in</t>
  </si>
  <si>
    <t>E13806878</t>
  </si>
  <si>
    <t>E4028042</t>
  </si>
  <si>
    <t>Ring</t>
  </si>
  <si>
    <t>E12595560</t>
  </si>
  <si>
    <t>Shim 0.25 in</t>
  </si>
  <si>
    <t>E12650107</t>
  </si>
  <si>
    <t>Shim,6.4 [.25]</t>
  </si>
  <si>
    <t>E13811193</t>
  </si>
  <si>
    <t>E12672581</t>
  </si>
  <si>
    <t>Cover plate</t>
  </si>
  <si>
    <t>E13813831</t>
  </si>
  <si>
    <t>E4028916</t>
  </si>
  <si>
    <t>Shim 0.1196 in</t>
  </si>
  <si>
    <t>E13814163</t>
  </si>
  <si>
    <t>Elbow</t>
  </si>
  <si>
    <t>E13811077</t>
  </si>
  <si>
    <t>E12643922</t>
  </si>
  <si>
    <t>Bolt</t>
  </si>
  <si>
    <t>E12672633</t>
  </si>
  <si>
    <t>Pin, weldment</t>
  </si>
  <si>
    <t>E13813518</t>
  </si>
  <si>
    <t>E12633961</t>
  </si>
  <si>
    <t>Shim, 3.2 [.12]</t>
  </si>
  <si>
    <t>E12633959</t>
  </si>
  <si>
    <t>E12650520</t>
  </si>
  <si>
    <t>Plate</t>
  </si>
  <si>
    <t>E12672580</t>
  </si>
  <si>
    <t>Moon ring</t>
  </si>
  <si>
    <t>E12633962</t>
  </si>
  <si>
    <t>Shim, 6.3 [.25]</t>
  </si>
  <si>
    <t>E12633960</t>
  </si>
  <si>
    <t>E12656859</t>
  </si>
  <si>
    <t>Pin, hinge</t>
  </si>
  <si>
    <t>E12630247</t>
  </si>
  <si>
    <t>Pad, body</t>
  </si>
  <si>
    <t>E12630246</t>
  </si>
  <si>
    <t>E13812878</t>
  </si>
  <si>
    <t>Kit 7 Accum steer &amp; Brake</t>
  </si>
  <si>
    <t>ACCUMULATOR</t>
  </si>
  <si>
    <t>E13811431</t>
  </si>
  <si>
    <t>E13804056</t>
  </si>
  <si>
    <t>. O-ring</t>
  </si>
  <si>
    <t>E13807009</t>
  </si>
  <si>
    <t>E13811191</t>
  </si>
  <si>
    <t>E4094716</t>
  </si>
  <si>
    <t>U-bolt</t>
  </si>
  <si>
    <t>E12624469</t>
  </si>
  <si>
    <t>Seal kit-accumulator</t>
  </si>
  <si>
    <t>ACCUMULATOR, STEER</t>
  </si>
  <si>
    <t>E13804046</t>
  </si>
  <si>
    <t>O-ring</t>
  </si>
  <si>
    <t>E12570758</t>
  </si>
  <si>
    <t>Charge valve</t>
  </si>
  <si>
    <t>E12588195</t>
  </si>
  <si>
    <t>E12573266</t>
  </si>
  <si>
    <t>Kit-seal accumulator</t>
  </si>
  <si>
    <t>Kit 8 Brake Valve &amp; Cooler mounting</t>
  </si>
  <si>
    <t>VALVE ASS'Y, BRAKE CONTROL</t>
  </si>
  <si>
    <t>E13804055</t>
  </si>
  <si>
    <t>E13804043</t>
  </si>
  <si>
    <t>E13804059</t>
  </si>
  <si>
    <t>E13813654</t>
  </si>
  <si>
    <t>E13804057</t>
  </si>
  <si>
    <t>E13805322</t>
  </si>
  <si>
    <t>E13807010</t>
  </si>
  <si>
    <t>E13813652</t>
  </si>
  <si>
    <t>E4042270</t>
  </si>
  <si>
    <t>Cover</t>
  </si>
  <si>
    <t>E12588730</t>
  </si>
  <si>
    <t>Spring, extension</t>
  </si>
  <si>
    <t>E13813691</t>
  </si>
  <si>
    <t>E12638420</t>
  </si>
  <si>
    <t>Kit seal</t>
  </si>
  <si>
    <t>BRAKE COOLER MOUNTING</t>
  </si>
  <si>
    <t>E13805313</t>
  </si>
  <si>
    <t>E13811074</t>
  </si>
  <si>
    <t>E12618848</t>
  </si>
  <si>
    <t>Cooler assembly</t>
  </si>
  <si>
    <t>Kit 9 Front axle &amp; MTG</t>
  </si>
  <si>
    <t>Front axel trailing arm shims</t>
  </si>
  <si>
    <t>E15010062</t>
  </si>
  <si>
    <t xml:space="preserve"> Shim, 1.5mm</t>
  </si>
  <si>
    <t>E15010325</t>
  </si>
  <si>
    <t>Shim, 6.35mm</t>
  </si>
  <si>
    <t xml:space="preserve">E15010072 </t>
  </si>
  <si>
    <t>Shim, 3.2mm</t>
  </si>
  <si>
    <t>E15010326</t>
  </si>
  <si>
    <t>Shim, 12.7mm</t>
  </si>
  <si>
    <t>E15008872</t>
  </si>
  <si>
    <t xml:space="preserve">E13811038 </t>
  </si>
  <si>
    <t>Screw Gr 8</t>
  </si>
  <si>
    <t>Lock nut 8</t>
  </si>
  <si>
    <t>E12595511</t>
  </si>
  <si>
    <t xml:space="preserve">Torsion tube </t>
  </si>
  <si>
    <t>E12594727</t>
  </si>
  <si>
    <t>Spacer thrust</t>
  </si>
  <si>
    <t>Kit 10 Frame Bottom plate optimized</t>
  </si>
  <si>
    <t>Frame repair structure</t>
  </si>
  <si>
    <t>E15007244</t>
  </si>
  <si>
    <t xml:space="preserve">Bottom plate </t>
  </si>
  <si>
    <t>Kit 11 Frame upper plate optimized</t>
  </si>
  <si>
    <t>E15006866</t>
  </si>
  <si>
    <t>Kits Level 2 upper plate</t>
  </si>
  <si>
    <t>Kit 12 Frame left side optimized</t>
  </si>
  <si>
    <t>E15006867</t>
  </si>
  <si>
    <t>Kits Level 2 Left side plate</t>
  </si>
  <si>
    <t xml:space="preserve">Kit 13 Frame right  side optimized </t>
  </si>
  <si>
    <t>E15006887</t>
  </si>
  <si>
    <t>Kit 14 Hoist plate reinforment optmized</t>
  </si>
  <si>
    <t>E15006906</t>
  </si>
  <si>
    <t>Kit Hoist plate left side</t>
  </si>
  <si>
    <t>E15006905</t>
  </si>
  <si>
    <t>Kit hoist plate rear side</t>
  </si>
  <si>
    <t>E15006893</t>
  </si>
  <si>
    <t xml:space="preserve">Fuel tank section front </t>
  </si>
  <si>
    <t>Kit 15 Filtration drive system optmized</t>
  </si>
  <si>
    <t xml:space="preserve">Siemens filtration system </t>
  </si>
  <si>
    <t>E15008764</t>
  </si>
  <si>
    <t>Filtration system IGBT drive</t>
  </si>
  <si>
    <t>Engine kit</t>
  </si>
  <si>
    <t>E12677395</t>
  </si>
  <si>
    <t>PLATE WLD</t>
  </si>
  <si>
    <t>E13814410</t>
  </si>
  <si>
    <t>SCREW</t>
  </si>
  <si>
    <t>E13814207</t>
  </si>
  <si>
    <t>E13805997</t>
  </si>
  <si>
    <t>LOCK NUT</t>
  </si>
  <si>
    <t>E12654597</t>
  </si>
  <si>
    <t>WASHER</t>
  </si>
  <si>
    <t>E12648942</t>
  </si>
  <si>
    <t>SPACER</t>
  </si>
  <si>
    <t>E12656878</t>
  </si>
  <si>
    <t>PAD</t>
  </si>
  <si>
    <t>E12596520</t>
  </si>
  <si>
    <t>EHJ933006</t>
  </si>
  <si>
    <t>E12658356</t>
  </si>
  <si>
    <t>TUBE</t>
  </si>
  <si>
    <t>EHJ922726</t>
  </si>
  <si>
    <t>E13811538</t>
  </si>
  <si>
    <t>Lock NUT</t>
  </si>
  <si>
    <t>E12658453</t>
  </si>
  <si>
    <t>E12654044</t>
  </si>
  <si>
    <t>E12599623</t>
  </si>
  <si>
    <t>GUARD</t>
  </si>
  <si>
    <t>E4022326</t>
  </si>
  <si>
    <t>E13814621</t>
  </si>
  <si>
    <t>E12597249</t>
  </si>
  <si>
    <t>SHIM</t>
  </si>
  <si>
    <t>E12597250</t>
  </si>
  <si>
    <t>E12597251</t>
  </si>
  <si>
    <t>E13807839</t>
  </si>
  <si>
    <t>E12645102</t>
  </si>
  <si>
    <t>PIN</t>
  </si>
  <si>
    <t>E12645121</t>
  </si>
  <si>
    <t>BEARING ROD END</t>
  </si>
  <si>
    <t>E13814612</t>
  </si>
  <si>
    <t>E4043950</t>
  </si>
  <si>
    <t xml:space="preserve">Kit 17 Mirror bracket support </t>
  </si>
  <si>
    <t>Hanrails</t>
  </si>
  <si>
    <t>E12666243</t>
  </si>
  <si>
    <t>TUBE WELDMENT</t>
  </si>
  <si>
    <t>E13811033</t>
  </si>
  <si>
    <t>E13811073</t>
  </si>
  <si>
    <t>E13813995</t>
  </si>
  <si>
    <t>LOCK</t>
  </si>
  <si>
    <t>E13811036</t>
  </si>
  <si>
    <t>TORNILLO</t>
  </si>
  <si>
    <t>E12669396</t>
  </si>
  <si>
    <t>TUBE EXTENSION WELDMENT</t>
  </si>
  <si>
    <t>E12653252</t>
  </si>
  <si>
    <t>SUPPORT</t>
  </si>
  <si>
    <t>E12669553</t>
  </si>
  <si>
    <t xml:space="preserve">BRACKET WELDMENT MIRROR </t>
  </si>
  <si>
    <t>Kit 18 Fuel tank Bracket support</t>
  </si>
  <si>
    <t>Fuel tank support</t>
  </si>
  <si>
    <t>Lock</t>
  </si>
  <si>
    <t>EHJ921260</t>
  </si>
  <si>
    <t>EHJ921250</t>
  </si>
  <si>
    <t>E13812657</t>
  </si>
  <si>
    <t>E12658438</t>
  </si>
  <si>
    <t>E12662303</t>
  </si>
  <si>
    <t>BAR</t>
  </si>
  <si>
    <t>E12662299</t>
  </si>
  <si>
    <t>MUDFLAP</t>
  </si>
  <si>
    <t>E12662301</t>
  </si>
  <si>
    <t>PLATE</t>
  </si>
  <si>
    <t>E12662302</t>
  </si>
  <si>
    <t>E12662298</t>
  </si>
  <si>
    <t>E12662300</t>
  </si>
  <si>
    <t>E12618740</t>
  </si>
  <si>
    <t>E12618672</t>
  </si>
  <si>
    <t>E12618671</t>
  </si>
  <si>
    <t>E12658439</t>
  </si>
  <si>
    <t>E12656852</t>
  </si>
  <si>
    <t>SPACER WELDMENT</t>
  </si>
  <si>
    <t>E12618022</t>
  </si>
  <si>
    <t>E12618021</t>
  </si>
  <si>
    <t>E12644696</t>
  </si>
  <si>
    <t xml:space="preserve">Name </t>
  </si>
  <si>
    <t>Part Number</t>
  </si>
  <si>
    <t>Labour</t>
  </si>
  <si>
    <t>Labour cost</t>
  </si>
  <si>
    <t>Labour hours</t>
  </si>
  <si>
    <t>Mechanized &amp; Rebuild</t>
  </si>
  <si>
    <t>parts</t>
  </si>
  <si>
    <t>Chrome tube &amp; rod</t>
  </si>
  <si>
    <t>Total</t>
  </si>
  <si>
    <t>E12644742</t>
  </si>
  <si>
    <t>E12643355</t>
  </si>
  <si>
    <t>E12660762</t>
  </si>
  <si>
    <t>STEER VALVE</t>
  </si>
  <si>
    <t>E15051857</t>
  </si>
  <si>
    <t>Steer valve</t>
  </si>
  <si>
    <t>Cost</t>
  </si>
  <si>
    <t xml:space="preserve">Kit System </t>
  </si>
  <si>
    <t>Labour CHM per Kit</t>
  </si>
  <si>
    <t>Total Labour</t>
  </si>
  <si>
    <t xml:space="preserve">Rules </t>
  </si>
  <si>
    <t>Hydraulic</t>
  </si>
  <si>
    <t>Electrical</t>
  </si>
  <si>
    <t>Final Drives</t>
  </si>
  <si>
    <t>Rates</t>
  </si>
  <si>
    <t>CHM</t>
  </si>
  <si>
    <t>S&amp;S</t>
  </si>
  <si>
    <t>CSM</t>
  </si>
  <si>
    <t>Percentages</t>
  </si>
  <si>
    <t>Backlog total Labour</t>
  </si>
  <si>
    <t>Total cost per kit</t>
  </si>
  <si>
    <t>Rear strut left</t>
  </si>
  <si>
    <t>Body reapirs</t>
  </si>
  <si>
    <t>Total cost per truck</t>
  </si>
  <si>
    <t>Cost per Components</t>
  </si>
  <si>
    <t>Total cost Labour Components</t>
  </si>
  <si>
    <t>Sub total labour cost</t>
  </si>
  <si>
    <t>Total cost parts components</t>
  </si>
  <si>
    <t xml:space="preserve">Total cost Chome &amp; Mechanized </t>
  </si>
  <si>
    <t>Sub Total Chorme &amp; Mechanized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</si>
</sst>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0" fillId="2" borderId="0" xfId="0" applyFill="1"/>
  </cellXfs>
  <cellStyles count="3">
    <cellStyle name="Normal" xfId="0" builtinId="0"/>
    <cellStyle name="Normal 2" xfId="1" xr:uid="{879776F7-F6E4-4C93-839D-45D1367B7180}"/>
    <cellStyle name="Percent 2" xfId="2" xr:uid="{EE8A339C-D219-4F99-B936-CEBDC74ECF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5C176-4667-4A3F-8E10-E81FC21F1C01}">
  <dimension ref="A1:CE31"/>
  <sheetViews>
    <sheetView tabSelected="1" topLeftCell="BF1" workbookViewId="0">
      <selection activeCell="N32" sqref="N32"/>
    </sheetView>
  </sheetViews>
  <sheetFormatPr defaultRowHeight="15" x14ac:dyDescent="0.25"/>
  <cols>
    <col min="54" max="54" width="9.140625" style="2"/>
    <col min="78" max="78" width="17.85546875" bestFit="1" customWidth="1"/>
    <col min="79" max="79" width="20" bestFit="1" customWidth="1"/>
  </cols>
  <sheetData>
    <row r="1" spans="1:8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s="2" t="s">
        <v>10</v>
      </c>
      <c r="BC1" t="s">
        <v>11</v>
      </c>
      <c r="BD1" t="s">
        <v>12</v>
      </c>
      <c r="BE1" t="s">
        <v>13</v>
      </c>
      <c r="BF1" t="s">
        <v>14</v>
      </c>
      <c r="BG1" t="s">
        <v>15</v>
      </c>
      <c r="BH1" t="s">
        <v>17</v>
      </c>
      <c r="BI1" t="s">
        <v>18</v>
      </c>
      <c r="BJ1" t="s">
        <v>19</v>
      </c>
      <c r="BK1" t="s">
        <v>20</v>
      </c>
      <c r="BL1" t="s">
        <v>21</v>
      </c>
      <c r="BM1" t="s">
        <v>22</v>
      </c>
      <c r="BN1" t="s">
        <v>23</v>
      </c>
      <c r="BO1" t="s">
        <v>24</v>
      </c>
      <c r="BP1" t="s">
        <v>25</v>
      </c>
      <c r="BQ1" t="s">
        <v>28</v>
      </c>
      <c r="BR1" t="s">
        <v>29</v>
      </c>
      <c r="BS1" t="s">
        <v>30</v>
      </c>
      <c r="BT1" t="s">
        <v>389</v>
      </c>
      <c r="BU1" t="s">
        <v>390</v>
      </c>
      <c r="BV1" t="s">
        <v>53</v>
      </c>
      <c r="BW1" t="s">
        <v>376</v>
      </c>
      <c r="BX1" t="s">
        <v>387</v>
      </c>
      <c r="BY1" t="s">
        <v>377</v>
      </c>
      <c r="BZ1" t="s">
        <v>388</v>
      </c>
      <c r="CA1" t="s">
        <v>392</v>
      </c>
      <c r="CB1" t="s">
        <v>393</v>
      </c>
      <c r="CC1" t="s">
        <v>395</v>
      </c>
      <c r="CD1" t="s">
        <v>396</v>
      </c>
      <c r="CE1" t="s">
        <v>391</v>
      </c>
    </row>
    <row r="2" spans="1:83" x14ac:dyDescent="0.25">
      <c r="A2">
        <v>823</v>
      </c>
      <c r="B2">
        <v>1</v>
      </c>
      <c r="C2">
        <v>1</v>
      </c>
      <c r="D2">
        <v>1</v>
      </c>
      <c r="E2">
        <v>1</v>
      </c>
      <c r="F2">
        <v>1</v>
      </c>
      <c r="G2">
        <v>0.5</v>
      </c>
      <c r="H2">
        <v>0</v>
      </c>
      <c r="I2">
        <v>0</v>
      </c>
      <c r="J2">
        <v>0</v>
      </c>
      <c r="K2">
        <v>0.8090141666666667</v>
      </c>
      <c r="L2">
        <v>1.0757491666666668</v>
      </c>
      <c r="M2">
        <v>0.70318388888888894</v>
      </c>
      <c r="N2">
        <v>0.70318388888888894</v>
      </c>
      <c r="O2">
        <v>0.1852952380952381</v>
      </c>
      <c r="P2">
        <v>0.43029966666666669</v>
      </c>
      <c r="Q2">
        <v>1.0948793333333333</v>
      </c>
      <c r="R2">
        <v>2.926875E-2</v>
      </c>
      <c r="S2">
        <v>0.54873625000000004</v>
      </c>
      <c r="T2">
        <v>0.43898900000000002</v>
      </c>
      <c r="U2">
        <v>0.51353899999999997</v>
      </c>
      <c r="V2">
        <v>8.5544444444444451E-2</v>
      </c>
      <c r="W2">
        <v>0.27092111111111111</v>
      </c>
      <c r="X2">
        <v>0.1852952380952381</v>
      </c>
      <c r="Y2">
        <v>0.32799333333333336</v>
      </c>
      <c r="Z2">
        <v>0.36909333333333333</v>
      </c>
      <c r="AA2">
        <v>1.0948793333333333</v>
      </c>
      <c r="AB2">
        <v>1.0948793333333333</v>
      </c>
      <c r="AC2">
        <v>1.4685E-2</v>
      </c>
      <c r="AD2">
        <v>0.1779</v>
      </c>
      <c r="AE2">
        <v>0.16244</v>
      </c>
      <c r="AF2">
        <v>7.2392857142857148E-2</v>
      </c>
      <c r="AG2">
        <v>0.54187183333333333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5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 s="2">
        <f>IF('Rules &amp; Rate'!$B$2&lt;=K2,1,0)</f>
        <v>1</v>
      </c>
      <c r="BC2" s="2">
        <f>IF('Rules &amp; Rate'!$B$2&lt;=M2,1,0)</f>
        <v>1</v>
      </c>
      <c r="BD2" s="2">
        <f>IF('Rules &amp; Rate'!$B$2&lt;=N2,1,0)</f>
        <v>1</v>
      </c>
      <c r="BE2" s="2">
        <f>IF('Rules &amp; Rate'!$B$2&lt;=N2,1,0)</f>
        <v>1</v>
      </c>
      <c r="BF2" s="2">
        <f>IF('Rules &amp; Rate'!$B$3&lt;=O2,1,0)</f>
        <v>0</v>
      </c>
      <c r="BG2" s="2">
        <f>IF('Rules &amp; Rate'!$B$3&lt;=P2,1,0)</f>
        <v>0</v>
      </c>
      <c r="BH2">
        <f>IF('Rules &amp; Rate'!$B$2&lt;=R2,1,0)</f>
        <v>0</v>
      </c>
      <c r="BI2">
        <f>IF('Rules &amp; Rate'!$B$2&lt;=S2,1,0)</f>
        <v>0</v>
      </c>
      <c r="BJ2">
        <f>IF('Rules &amp; Rate'!$B$2&lt;=T2,1,0)</f>
        <v>0</v>
      </c>
      <c r="BK2">
        <f>IF('Rules &amp; Rate'!$B$2&lt;=U2,1,0)</f>
        <v>0</v>
      </c>
      <c r="BL2">
        <f>IF('Rules &amp; Rate'!$B$4&lt;=V2,1,0)</f>
        <v>0</v>
      </c>
      <c r="BM2">
        <f>IF('Rules &amp; Rate'!$B$4&lt;=W2,1,0)</f>
        <v>0</v>
      </c>
      <c r="BN2">
        <f>IF('Rules &amp; Rate'!$B$5&lt;=X2,1,0)</f>
        <v>0</v>
      </c>
      <c r="BO2">
        <f>IF('Rules &amp; Rate'!$B$3&lt;=Y2,1,0)</f>
        <v>0</v>
      </c>
      <c r="BP2">
        <f>IF('Rules &amp; Rate'!$B$3&lt;=Z2,1,0)</f>
        <v>0</v>
      </c>
      <c r="BQ2">
        <f>IF('Rules &amp; Rate'!$B$2&lt;=AD2,1,0)</f>
        <v>0</v>
      </c>
      <c r="BR2">
        <f>IF('Rules &amp; Rate'!$B$2&lt;=AE2,1,0)</f>
        <v>0</v>
      </c>
      <c r="BS2">
        <f>IF('Rules &amp; Rate'!$B$2&lt;=AF2,1,0)</f>
        <v>0</v>
      </c>
      <c r="BT2">
        <f>IF('Rules &amp; Rate'!$B$2&lt;=AG2,1,0)</f>
        <v>0</v>
      </c>
      <c r="BU2">
        <f>IF('Rules &amp; Rate'!$B$6&lt;=AG2,1,0)</f>
        <v>0</v>
      </c>
      <c r="BV2">
        <v>65692.759999999995</v>
      </c>
      <c r="BW2">
        <f>SUMPRODUCT(AH2:BA2,Labour!$B$2:$U$2)</f>
        <v>400</v>
      </c>
      <c r="BX2">
        <v>130</v>
      </c>
      <c r="BY2">
        <f>+BW2+BX2</f>
        <v>530</v>
      </c>
      <c r="BZ2">
        <f>SUMPRODUCT(AH2:BA2,Labour!$B$3:$U$3)</f>
        <v>273459.23099999997</v>
      </c>
      <c r="CA2">
        <f>SUMPRODUCT(BB2:BU2,'Component $'!$B$10:$U$10)</f>
        <v>20970.68</v>
      </c>
      <c r="CB2">
        <f>SUMPRODUCT(BB2:BU2,'Component $'!$B$9:$U$9)</f>
        <v>2982.7799999999997</v>
      </c>
      <c r="CC2">
        <f>SUMPRODUCT(BB2:BU2,'Component $'!$B$6:$U$6)</f>
        <v>1393.9</v>
      </c>
      <c r="CD2">
        <f>SUMPRODUCT(BB2:BU2,'Component $'!$B$8:$U$8)</f>
        <v>16594</v>
      </c>
      <c r="CE2">
        <f t="shared" ref="CE2:CE31" si="0">+BZ2+CA2</f>
        <v>294429.91099999996</v>
      </c>
    </row>
    <row r="3" spans="1:83" x14ac:dyDescent="0.25">
      <c r="A3">
        <v>824</v>
      </c>
      <c r="B3">
        <v>2</v>
      </c>
      <c r="C3">
        <v>1</v>
      </c>
      <c r="D3">
        <v>1</v>
      </c>
      <c r="E3">
        <v>2</v>
      </c>
      <c r="F3">
        <v>2</v>
      </c>
      <c r="G3">
        <v>0.8</v>
      </c>
      <c r="H3">
        <v>0.55620155038759689</v>
      </c>
      <c r="I3">
        <v>0.44496124031007755</v>
      </c>
      <c r="J3">
        <v>2870</v>
      </c>
      <c r="K3">
        <v>1.6743508333333332</v>
      </c>
      <c r="L3">
        <v>1.6743508333333332</v>
      </c>
      <c r="M3">
        <v>0.37944805555555555</v>
      </c>
      <c r="N3">
        <v>0.77956166666666671</v>
      </c>
      <c r="O3">
        <v>0.20693333333333333</v>
      </c>
      <c r="P3">
        <v>0.45588233333333333</v>
      </c>
      <c r="Q3">
        <v>1.1138714999999999</v>
      </c>
      <c r="R3">
        <v>0.41377124999999998</v>
      </c>
      <c r="S3">
        <v>0.34818375000000001</v>
      </c>
      <c r="T3">
        <v>1.4986035</v>
      </c>
      <c r="U3">
        <v>0.38880199999999998</v>
      </c>
      <c r="V3">
        <v>0.24288888888888888</v>
      </c>
      <c r="W3">
        <v>0.24288888888888888</v>
      </c>
      <c r="X3">
        <v>0.20693333333333333</v>
      </c>
      <c r="Y3">
        <v>0.24288888888888888</v>
      </c>
      <c r="Z3">
        <v>0.24288888888888888</v>
      </c>
      <c r="AA3">
        <v>0.70542766666666668</v>
      </c>
      <c r="AB3">
        <v>1.1138714999999999</v>
      </c>
      <c r="AC3">
        <v>0.26792700000000003</v>
      </c>
      <c r="AD3">
        <v>9.8985714285714288E-2</v>
      </c>
      <c r="AF3">
        <v>0.31228571428571428</v>
      </c>
      <c r="AG3">
        <v>0.61638250000000006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2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 s="2">
        <f>IF('Rules &amp; Rate'!$B$2&lt;=K3,1,0)</f>
        <v>1</v>
      </c>
      <c r="BC3" s="2">
        <f>IF('Rules &amp; Rate'!$B$2&lt;=L3,1,0)</f>
        <v>1</v>
      </c>
      <c r="BD3" s="2">
        <f>IF('Rules &amp; Rate'!$B$2&lt;=N3,1,0)</f>
        <v>1</v>
      </c>
      <c r="BE3" s="2">
        <f>IF('Rules &amp; Rate'!$B$2&lt;=N3,1,0)</f>
        <v>1</v>
      </c>
      <c r="BF3" s="2">
        <f>IF('Rules &amp; Rate'!$B$3&lt;=O3,1,0)</f>
        <v>0</v>
      </c>
      <c r="BG3" s="2">
        <f>IF('Rules &amp; Rate'!$B$3&lt;=P3,1,0)</f>
        <v>0</v>
      </c>
      <c r="BH3">
        <f>IF('Rules &amp; Rate'!$B$2&lt;=R3,1,0)</f>
        <v>0</v>
      </c>
      <c r="BI3">
        <f>IF('Rules &amp; Rate'!$B$2&lt;=S3,1,0)</f>
        <v>0</v>
      </c>
      <c r="BJ3">
        <f>IF('Rules &amp; Rate'!$B$2&lt;=T3,1,0)</f>
        <v>1</v>
      </c>
      <c r="BK3">
        <f>IF('Rules &amp; Rate'!$B$2&lt;=U3,1,0)</f>
        <v>0</v>
      </c>
      <c r="BL3">
        <f>IF('Rules &amp; Rate'!$B$4&lt;=V3,1,0)</f>
        <v>0</v>
      </c>
      <c r="BM3">
        <f>IF('Rules &amp; Rate'!$B$4&lt;=W3,1,0)</f>
        <v>0</v>
      </c>
      <c r="BN3">
        <f>IF('Rules &amp; Rate'!$B$5&lt;=X3,1,0)</f>
        <v>0</v>
      </c>
      <c r="BO3">
        <f>IF('Rules &amp; Rate'!$B$3&lt;=Y3,1,0)</f>
        <v>0</v>
      </c>
      <c r="BP3">
        <f>IF('Rules &amp; Rate'!$B$3&lt;=Z3,1,0)</f>
        <v>0</v>
      </c>
      <c r="BQ3">
        <f>IF('Rules &amp; Rate'!$B$2&lt;=AD3,1,0)</f>
        <v>0</v>
      </c>
      <c r="BR3">
        <f>IF('Rules &amp; Rate'!$B$2&lt;=AE3,1,0)</f>
        <v>0</v>
      </c>
      <c r="BS3">
        <f>IF('Rules &amp; Rate'!$B$2&lt;=AF3,1,0)</f>
        <v>0</v>
      </c>
      <c r="BT3">
        <f>IF('Rules &amp; Rate'!$B$2&lt;=AG3,1,0)</f>
        <v>0</v>
      </c>
      <c r="BU3">
        <f>IF('Rules &amp; Rate'!$B$6&lt;=AG3,1,0)</f>
        <v>0</v>
      </c>
      <c r="BV3">
        <v>66758.39</v>
      </c>
      <c r="BW3">
        <f>SUMPRODUCT(AH3:BA3,Labour!$B$2:$U$2)</f>
        <v>382</v>
      </c>
      <c r="BX3">
        <v>122</v>
      </c>
      <c r="BY3">
        <f t="shared" ref="BY3:BY31" si="1">+BW3+BX3</f>
        <v>504</v>
      </c>
      <c r="BZ3">
        <f>SUMPRODUCT(AH3:BA3,Labour!$B$3:$U$3)</f>
        <v>254613.23099999997</v>
      </c>
      <c r="CA3">
        <f>SUMPRODUCT(BB3:BU3,'Component $'!$B$10:$U$10)</f>
        <v>26598.325000000001</v>
      </c>
      <c r="CB3">
        <f>SUMPRODUCT(BB3:BU3,'Component $'!$B$9:$U$9)</f>
        <v>3728.4749999999995</v>
      </c>
      <c r="CC3">
        <f>SUMPRODUCT(BB3:BU3,'Component $'!$B$6:$U$6)</f>
        <v>1728.8500000000001</v>
      </c>
      <c r="CD3">
        <f>SUMPRODUCT(BB3:BU3,'Component $'!$B$8:$U$8)</f>
        <v>21141</v>
      </c>
      <c r="CE3">
        <f t="shared" si="0"/>
        <v>281211.55599999998</v>
      </c>
    </row>
    <row r="4" spans="1:83" x14ac:dyDescent="0.25">
      <c r="A4">
        <v>825</v>
      </c>
      <c r="B4">
        <v>1</v>
      </c>
      <c r="C4">
        <v>1</v>
      </c>
      <c r="D4">
        <v>1</v>
      </c>
      <c r="E4">
        <v>1</v>
      </c>
      <c r="F4">
        <v>2</v>
      </c>
      <c r="G4">
        <v>0.6</v>
      </c>
      <c r="H4">
        <v>0.16085271317829458</v>
      </c>
      <c r="I4">
        <v>9.6511627906976746E-2</v>
      </c>
      <c r="J4">
        <v>830</v>
      </c>
      <c r="K4">
        <v>1.19014</v>
      </c>
      <c r="L4">
        <v>1.19014</v>
      </c>
      <c r="M4">
        <v>0.7581552777777778</v>
      </c>
      <c r="N4">
        <v>0.52483111111111114</v>
      </c>
      <c r="O4">
        <v>0.4783647619047619</v>
      </c>
      <c r="P4">
        <v>0.47610750000000002</v>
      </c>
      <c r="Q4">
        <v>1.0866834999999999</v>
      </c>
      <c r="R4">
        <v>0.56325999999999998</v>
      </c>
      <c r="S4">
        <v>0.26088125000000001</v>
      </c>
      <c r="T4">
        <v>3.8269999999999998E-2</v>
      </c>
      <c r="U4">
        <v>0.8181195</v>
      </c>
      <c r="V4">
        <v>0.42776444444444445</v>
      </c>
      <c r="W4">
        <v>0.12475555555555555</v>
      </c>
      <c r="X4">
        <v>0.4783647619047619</v>
      </c>
      <c r="Y4">
        <v>0.80798555555555551</v>
      </c>
      <c r="Z4">
        <v>0.12475555555555555</v>
      </c>
      <c r="AA4">
        <v>1.0866834999999999</v>
      </c>
      <c r="AB4">
        <v>1.0866834999999999</v>
      </c>
      <c r="AC4">
        <v>0.208705</v>
      </c>
      <c r="AD4">
        <v>5.4671428571428572E-2</v>
      </c>
      <c r="AE4">
        <v>0.208705</v>
      </c>
      <c r="AF4">
        <v>0.19595000000000001</v>
      </c>
      <c r="AG4">
        <v>0.65410483333333336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4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 s="2">
        <f>IF('Rules &amp; Rate'!$B$2&lt;=K4,1,0)</f>
        <v>1</v>
      </c>
      <c r="BC4" s="2">
        <f>IF('Rules &amp; Rate'!$B$2&lt;=L4,1,0)</f>
        <v>1</v>
      </c>
      <c r="BD4" s="2">
        <f>IF('Rules &amp; Rate'!$B$2&lt;=N4,1,0)</f>
        <v>0</v>
      </c>
      <c r="BE4" s="2">
        <f>IF('Rules &amp; Rate'!$B$2&lt;=N4,1,0)</f>
        <v>0</v>
      </c>
      <c r="BF4" s="2">
        <f>IF('Rules &amp; Rate'!$B$3&lt;=O4,1,0)</f>
        <v>0</v>
      </c>
      <c r="BG4" s="2">
        <f>IF('Rules &amp; Rate'!$B$3&lt;=P4,1,0)</f>
        <v>0</v>
      </c>
      <c r="BH4">
        <f>IF('Rules &amp; Rate'!$B$2&lt;=R4,1,0)</f>
        <v>0</v>
      </c>
      <c r="BI4">
        <f>IF('Rules &amp; Rate'!$B$2&lt;=S4,1,0)</f>
        <v>0</v>
      </c>
      <c r="BJ4">
        <f>IF('Rules &amp; Rate'!$B$2&lt;=T4,1,0)</f>
        <v>0</v>
      </c>
      <c r="BK4">
        <f>IF('Rules &amp; Rate'!$B$2&lt;=U4,1,0)</f>
        <v>1</v>
      </c>
      <c r="BL4">
        <f>IF('Rules &amp; Rate'!$B$4&lt;=V4,1,0)</f>
        <v>0</v>
      </c>
      <c r="BM4">
        <f>IF('Rules &amp; Rate'!$B$4&lt;=W4,1,0)</f>
        <v>0</v>
      </c>
      <c r="BN4">
        <f>IF('Rules &amp; Rate'!$B$5&lt;=X4,1,0)</f>
        <v>0</v>
      </c>
      <c r="BO4">
        <f>IF('Rules &amp; Rate'!$B$3&lt;=Y4,1,0)</f>
        <v>1</v>
      </c>
      <c r="BP4">
        <f>IF('Rules &amp; Rate'!$B$3&lt;=Z4,1,0)</f>
        <v>0</v>
      </c>
      <c r="BQ4">
        <f>IF('Rules &amp; Rate'!$B$2&lt;=AD4,1,0)</f>
        <v>0</v>
      </c>
      <c r="BR4">
        <f>IF('Rules &amp; Rate'!$B$2&lt;=AE4,1,0)</f>
        <v>0</v>
      </c>
      <c r="BS4">
        <f>IF('Rules &amp; Rate'!$B$2&lt;=AF4,1,0)</f>
        <v>0</v>
      </c>
      <c r="BT4">
        <f>IF('Rules &amp; Rate'!$B$2&lt;=AG4,1,0)</f>
        <v>1</v>
      </c>
      <c r="BU4">
        <f>IF('Rules &amp; Rate'!$B$6&lt;=AG4,1,0)</f>
        <v>0</v>
      </c>
      <c r="BV4">
        <v>65183.41</v>
      </c>
      <c r="BW4">
        <f>SUMPRODUCT(AH4:BA4,Labour!$B$2:$U$2)</f>
        <v>394</v>
      </c>
      <c r="BX4">
        <v>88</v>
      </c>
      <c r="BY4">
        <f t="shared" si="1"/>
        <v>482</v>
      </c>
      <c r="BZ4">
        <f>SUMPRODUCT(AH4:BA4,Labour!$B$3:$U$3)</f>
        <v>267177.23099999997</v>
      </c>
      <c r="CA4">
        <f>SUMPRODUCT(BB4:BU4,'Component $'!$B$10:$U$10)</f>
        <v>60218.041400000002</v>
      </c>
      <c r="CB4">
        <f>SUMPRODUCT(BB4:BU4,'Component $'!$B$9:$U$9)</f>
        <v>15070.091400000001</v>
      </c>
      <c r="CC4">
        <f>SUMPRODUCT(BB4:BU4,'Component $'!$B$6:$U$6)</f>
        <v>25388.95</v>
      </c>
      <c r="CD4">
        <f>SUMPRODUCT(BB4:BU4,'Component $'!$B$8:$U$8)</f>
        <v>19759</v>
      </c>
      <c r="CE4">
        <f t="shared" si="0"/>
        <v>327395.27239999996</v>
      </c>
    </row>
    <row r="5" spans="1:83" x14ac:dyDescent="0.25">
      <c r="A5">
        <v>826</v>
      </c>
      <c r="B5">
        <v>1</v>
      </c>
      <c r="C5">
        <v>1</v>
      </c>
      <c r="D5">
        <v>1</v>
      </c>
      <c r="E5">
        <v>1</v>
      </c>
      <c r="F5">
        <v>1</v>
      </c>
      <c r="G5">
        <v>0.5</v>
      </c>
      <c r="H5">
        <v>0</v>
      </c>
      <c r="I5">
        <v>0</v>
      </c>
      <c r="J5">
        <v>0</v>
      </c>
      <c r="K5">
        <v>1.2589812499999999</v>
      </c>
      <c r="L5">
        <v>1.2589812499999999</v>
      </c>
      <c r="M5">
        <v>0.75906194444444441</v>
      </c>
      <c r="N5">
        <v>0.75906194444444441</v>
      </c>
      <c r="O5">
        <v>5.0247619047619048E-2</v>
      </c>
      <c r="P5">
        <v>0.42165483333333331</v>
      </c>
      <c r="Q5">
        <v>1.0716019999999999</v>
      </c>
      <c r="R5">
        <v>0.19609375000000001</v>
      </c>
      <c r="S5">
        <v>3.0550000000000001E-2</v>
      </c>
      <c r="T5">
        <v>0.34164800000000001</v>
      </c>
      <c r="U5">
        <v>0.39339800000000003</v>
      </c>
      <c r="V5">
        <v>0.31552000000000002</v>
      </c>
      <c r="W5">
        <v>0.18202222222222222</v>
      </c>
      <c r="X5">
        <v>0.4084504761904762</v>
      </c>
      <c r="Y5">
        <v>0.31552000000000002</v>
      </c>
      <c r="Z5">
        <v>0.18202222222222222</v>
      </c>
      <c r="AA5">
        <v>1.0716019999999999</v>
      </c>
      <c r="AB5">
        <v>1.0716019999999999</v>
      </c>
      <c r="AC5">
        <v>0.46688800000000003</v>
      </c>
      <c r="AD5">
        <v>0.15190000000000001</v>
      </c>
      <c r="AE5">
        <v>0.21809500000000001</v>
      </c>
      <c r="AF5">
        <v>0.21172142857142856</v>
      </c>
      <c r="AG5">
        <v>0.637907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5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 s="2">
        <f>IF('Rules &amp; Rate'!$B$2&lt;=K5,1,0)</f>
        <v>1</v>
      </c>
      <c r="BC5" s="2">
        <f>IF('Rules &amp; Rate'!$B$2&lt;=L5,1,0)</f>
        <v>1</v>
      </c>
      <c r="BD5" s="2">
        <f>IF('Rules &amp; Rate'!$B$2&lt;=N5,1,0)</f>
        <v>1</v>
      </c>
      <c r="BE5" s="2">
        <f>IF('Rules &amp; Rate'!$B$2&lt;=N5,1,0)</f>
        <v>1</v>
      </c>
      <c r="BF5" s="2">
        <f>IF('Rules &amp; Rate'!$B$3&lt;=O5,1,0)</f>
        <v>0</v>
      </c>
      <c r="BG5" s="2">
        <f>IF('Rules &amp; Rate'!$B$3&lt;=P5,1,0)</f>
        <v>0</v>
      </c>
      <c r="BH5">
        <f>IF('Rules &amp; Rate'!$B$2&lt;=R5,1,0)</f>
        <v>0</v>
      </c>
      <c r="BI5">
        <f>IF('Rules &amp; Rate'!$B$2&lt;=S5,1,0)</f>
        <v>0</v>
      </c>
      <c r="BJ5">
        <f>IF('Rules &amp; Rate'!$B$2&lt;=T5,1,0)</f>
        <v>0</v>
      </c>
      <c r="BK5">
        <f>IF('Rules &amp; Rate'!$B$2&lt;=U5,1,0)</f>
        <v>0</v>
      </c>
      <c r="BL5">
        <f>IF('Rules &amp; Rate'!$B$4&lt;=V5,1,0)</f>
        <v>0</v>
      </c>
      <c r="BM5">
        <f>IF('Rules &amp; Rate'!$B$4&lt;=W5,1,0)</f>
        <v>0</v>
      </c>
      <c r="BN5">
        <f>IF('Rules &amp; Rate'!$B$5&lt;=X5,1,0)</f>
        <v>0</v>
      </c>
      <c r="BO5">
        <f>IF('Rules &amp; Rate'!$B$3&lt;=Y5,1,0)</f>
        <v>0</v>
      </c>
      <c r="BP5">
        <f>IF('Rules &amp; Rate'!$B$3&lt;=Z5,1,0)</f>
        <v>0</v>
      </c>
      <c r="BQ5">
        <f>IF('Rules &amp; Rate'!$B$2&lt;=AD5,1,0)</f>
        <v>0</v>
      </c>
      <c r="BR5">
        <f>IF('Rules &amp; Rate'!$B$2&lt;=AE5,1,0)</f>
        <v>0</v>
      </c>
      <c r="BS5">
        <f>IF('Rules &amp; Rate'!$B$2&lt;=AF5,1,0)</f>
        <v>0</v>
      </c>
      <c r="BT5">
        <f>IF('Rules &amp; Rate'!$B$2&lt;=AG5,1,0)</f>
        <v>0</v>
      </c>
      <c r="BU5">
        <f>IF('Rules &amp; Rate'!$B$6&lt;=AG5,1,0)</f>
        <v>0</v>
      </c>
      <c r="BV5">
        <v>64231.12</v>
      </c>
      <c r="BW5">
        <f>SUMPRODUCT(AH5:BA5,Labour!$B$2:$U$2)</f>
        <v>400</v>
      </c>
      <c r="BX5">
        <v>97</v>
      </c>
      <c r="BY5">
        <f t="shared" si="1"/>
        <v>497</v>
      </c>
      <c r="BZ5">
        <f>SUMPRODUCT(AH5:BA5,Labour!$B$3:$U$3)</f>
        <v>273459.23099999997</v>
      </c>
      <c r="CA5">
        <f>SUMPRODUCT(BB5:BU5,'Component $'!$B$10:$U$10)</f>
        <v>20970.68</v>
      </c>
      <c r="CB5">
        <f>SUMPRODUCT(BB5:BU5,'Component $'!$B$9:$U$9)</f>
        <v>2982.7799999999997</v>
      </c>
      <c r="CC5">
        <f>SUMPRODUCT(BB5:BU5,'Component $'!$B$6:$U$6)</f>
        <v>1393.9</v>
      </c>
      <c r="CD5">
        <f>SUMPRODUCT(BB5:BU5,'Component $'!$B$8:$U$8)</f>
        <v>16594</v>
      </c>
      <c r="CE5">
        <f t="shared" si="0"/>
        <v>294429.91099999996</v>
      </c>
    </row>
    <row r="6" spans="1:83" x14ac:dyDescent="0.25">
      <c r="A6">
        <v>827</v>
      </c>
      <c r="B6">
        <v>1</v>
      </c>
      <c r="C6">
        <v>1</v>
      </c>
      <c r="D6">
        <v>1</v>
      </c>
      <c r="E6">
        <v>1</v>
      </c>
      <c r="F6">
        <v>1</v>
      </c>
      <c r="G6">
        <v>0.5</v>
      </c>
      <c r="H6">
        <v>0</v>
      </c>
      <c r="I6">
        <v>0</v>
      </c>
      <c r="J6">
        <v>0</v>
      </c>
      <c r="K6">
        <v>1.21777125</v>
      </c>
      <c r="L6">
        <v>1.21777125</v>
      </c>
      <c r="M6">
        <v>0.73301138888888884</v>
      </c>
      <c r="O6">
        <v>0.1320095238095238</v>
      </c>
      <c r="P6">
        <v>0.4871085</v>
      </c>
      <c r="Q6">
        <v>1.084562</v>
      </c>
      <c r="R6">
        <v>0.43108125000000003</v>
      </c>
      <c r="S6">
        <v>3.1468749999999997E-2</v>
      </c>
      <c r="T6">
        <v>0.71131800000000001</v>
      </c>
      <c r="U6">
        <v>0.344885</v>
      </c>
      <c r="V6">
        <v>1.0111722222222221</v>
      </c>
      <c r="W6">
        <v>0.61156111111111111</v>
      </c>
      <c r="X6">
        <v>0.1320095238095238</v>
      </c>
      <c r="Y6">
        <v>1.0109177777777778</v>
      </c>
      <c r="Z6">
        <v>0.74300166666666667</v>
      </c>
      <c r="AA6">
        <v>1.084562</v>
      </c>
      <c r="AB6">
        <v>1.084562</v>
      </c>
      <c r="AC6">
        <v>0.123025</v>
      </c>
      <c r="AD6">
        <v>0.14041428571428571</v>
      </c>
      <c r="AE6">
        <v>0.17511499999999999</v>
      </c>
      <c r="AF6">
        <v>0.14041428571428571</v>
      </c>
      <c r="AG6">
        <v>0.4871085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3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 s="2">
        <f>IF('Rules &amp; Rate'!$B$2&lt;=K6,1,0)</f>
        <v>1</v>
      </c>
      <c r="BC6" s="2">
        <f>IF('Rules &amp; Rate'!$B$2&lt;=L6,1,0)</f>
        <v>1</v>
      </c>
      <c r="BD6" s="2">
        <f>IF('Rules &amp; Rate'!$B$2&lt;=N6,1,0)</f>
        <v>0</v>
      </c>
      <c r="BE6" s="2">
        <f>IF('Rules &amp; Rate'!$B$2&lt;=N6,1,0)</f>
        <v>0</v>
      </c>
      <c r="BF6" s="2">
        <f>IF('Rules &amp; Rate'!$B$3&lt;=O6,1,0)</f>
        <v>0</v>
      </c>
      <c r="BG6" s="2">
        <f>IF('Rules &amp; Rate'!$B$3&lt;=P6,1,0)</f>
        <v>0</v>
      </c>
      <c r="BH6">
        <f>IF('Rules &amp; Rate'!$B$2&lt;=R6,1,0)</f>
        <v>0</v>
      </c>
      <c r="BI6">
        <f>IF('Rules &amp; Rate'!$B$2&lt;=S6,1,0)</f>
        <v>0</v>
      </c>
      <c r="BJ6">
        <f>IF('Rules &amp; Rate'!$B$2&lt;=T6,1,0)</f>
        <v>1</v>
      </c>
      <c r="BK6">
        <f>IF('Rules &amp; Rate'!$B$2&lt;=U6,1,0)</f>
        <v>0</v>
      </c>
      <c r="BL6">
        <f>IF('Rules &amp; Rate'!$B$4&lt;=V6,1,0)</f>
        <v>1</v>
      </c>
      <c r="BM6">
        <f>IF('Rules &amp; Rate'!$B$4&lt;=W6,1,0)</f>
        <v>0</v>
      </c>
      <c r="BN6">
        <f>IF('Rules &amp; Rate'!$B$5&lt;=X6,1,0)</f>
        <v>0</v>
      </c>
      <c r="BO6">
        <f>IF('Rules &amp; Rate'!$B$3&lt;=Y6,1,0)</f>
        <v>1</v>
      </c>
      <c r="BP6">
        <f>IF('Rules &amp; Rate'!$B$3&lt;=Z6,1,0)</f>
        <v>1</v>
      </c>
      <c r="BQ6">
        <f>IF('Rules &amp; Rate'!$B$2&lt;=AD6,1,0)</f>
        <v>0</v>
      </c>
      <c r="BR6">
        <f>IF('Rules &amp; Rate'!$B$2&lt;=AE6,1,0)</f>
        <v>0</v>
      </c>
      <c r="BS6">
        <f>IF('Rules &amp; Rate'!$B$2&lt;=AF6,1,0)</f>
        <v>0</v>
      </c>
      <c r="BT6">
        <f>IF('Rules &amp; Rate'!$B$2&lt;=AG6,1,0)</f>
        <v>0</v>
      </c>
      <c r="BU6">
        <f>IF('Rules &amp; Rate'!$B$6&lt;=AG6,1,0)</f>
        <v>0</v>
      </c>
      <c r="BV6">
        <v>65001.72</v>
      </c>
      <c r="BW6">
        <f>SUMPRODUCT(AH6:BA6,Labour!$B$2:$U$2)</f>
        <v>388</v>
      </c>
      <c r="BX6">
        <v>127</v>
      </c>
      <c r="BY6">
        <f t="shared" si="1"/>
        <v>515</v>
      </c>
      <c r="BZ6">
        <f>SUMPRODUCT(AH6:BA6,Labour!$B$3:$U$3)</f>
        <v>260895.23099999997</v>
      </c>
      <c r="CA6">
        <f>SUMPRODUCT(BB6:BU6,'Component $'!$B$10:$U$10)</f>
        <v>229855.63499999998</v>
      </c>
      <c r="CB6">
        <f>SUMPRODUCT(BB6:BU6,'Component $'!$B$9:$U$9)</f>
        <v>28700.684999999998</v>
      </c>
      <c r="CC6">
        <f>SUMPRODUCT(BB6:BU6,'Component $'!$B$6:$U$6)</f>
        <v>155707.95000000001</v>
      </c>
      <c r="CD6">
        <f>SUMPRODUCT(BB6:BU6,'Component $'!$B$8:$U$8)</f>
        <v>45447</v>
      </c>
      <c r="CE6">
        <f t="shared" si="0"/>
        <v>490750.86599999992</v>
      </c>
    </row>
    <row r="7" spans="1:83" x14ac:dyDescent="0.25">
      <c r="A7">
        <v>828</v>
      </c>
      <c r="B7">
        <v>1</v>
      </c>
      <c r="C7">
        <v>1</v>
      </c>
      <c r="D7">
        <v>1</v>
      </c>
      <c r="E7">
        <v>1</v>
      </c>
      <c r="F7">
        <v>1</v>
      </c>
      <c r="G7">
        <v>0.5</v>
      </c>
      <c r="H7">
        <v>0.16860465116279069</v>
      </c>
      <c r="I7">
        <v>8.4302325581395346E-2</v>
      </c>
      <c r="J7">
        <v>870</v>
      </c>
      <c r="K7">
        <v>1.8189645833333334</v>
      </c>
      <c r="L7">
        <v>1.8189645833333334</v>
      </c>
      <c r="M7">
        <v>0.7797452777777778</v>
      </c>
      <c r="N7">
        <v>0.7797452777777778</v>
      </c>
      <c r="O7">
        <v>0.43383523809523811</v>
      </c>
      <c r="P7">
        <v>0.46137283333333334</v>
      </c>
      <c r="Q7">
        <v>1.1150435000000001</v>
      </c>
      <c r="R7">
        <v>0.21925625000000001</v>
      </c>
      <c r="S7">
        <v>0.40262750000000003</v>
      </c>
      <c r="T7">
        <v>9.9140000000000006E-2</v>
      </c>
      <c r="U7">
        <v>0.12489</v>
      </c>
      <c r="V7">
        <v>0.13876666666666668</v>
      </c>
      <c r="W7">
        <v>6.7222222222222223E-3</v>
      </c>
      <c r="X7">
        <v>1.3182080952380952</v>
      </c>
      <c r="Y7">
        <v>0.35345777777777776</v>
      </c>
      <c r="Z7">
        <v>0.53308</v>
      </c>
      <c r="AA7">
        <v>1.1150435000000001</v>
      </c>
      <c r="AB7">
        <v>1.1150435000000001</v>
      </c>
      <c r="AC7">
        <v>0.42710700000000001</v>
      </c>
      <c r="AD7">
        <v>1.1819657142857143</v>
      </c>
      <c r="AE7">
        <v>0.32209199999999999</v>
      </c>
      <c r="AF7">
        <v>1.1819657142857143</v>
      </c>
      <c r="AG7">
        <v>0.66148300000000004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5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 s="2">
        <f>IF('Rules &amp; Rate'!$B$2&lt;=K7,1,0)</f>
        <v>1</v>
      </c>
      <c r="BC7" s="2">
        <f>IF('Rules &amp; Rate'!$B$2&lt;=L7,1,0)</f>
        <v>1</v>
      </c>
      <c r="BD7" s="2">
        <f>IF('Rules &amp; Rate'!$B$2&lt;=N7,1,0)</f>
        <v>1</v>
      </c>
      <c r="BE7" s="2">
        <f>IF('Rules &amp; Rate'!$B$2&lt;=N7,1,0)</f>
        <v>1</v>
      </c>
      <c r="BF7" s="2">
        <f>IF('Rules &amp; Rate'!$B$3&lt;=O7,1,0)</f>
        <v>0</v>
      </c>
      <c r="BG7" s="2">
        <f>IF('Rules &amp; Rate'!$B$3&lt;=P7,1,0)</f>
        <v>0</v>
      </c>
      <c r="BH7">
        <f>IF('Rules &amp; Rate'!$B$2&lt;=R7,1,0)</f>
        <v>0</v>
      </c>
      <c r="BI7">
        <f>IF('Rules &amp; Rate'!$B$2&lt;=S7,1,0)</f>
        <v>0</v>
      </c>
      <c r="BJ7">
        <f>IF('Rules &amp; Rate'!$B$2&lt;=T7,1,0)</f>
        <v>0</v>
      </c>
      <c r="BK7">
        <f>IF('Rules &amp; Rate'!$B$2&lt;=U7,1,0)</f>
        <v>0</v>
      </c>
      <c r="BL7">
        <f>IF('Rules &amp; Rate'!$B$4&lt;=V7,1,0)</f>
        <v>0</v>
      </c>
      <c r="BM7">
        <f>IF('Rules &amp; Rate'!$B$4&lt;=W7,1,0)</f>
        <v>0</v>
      </c>
      <c r="BN7">
        <f>IF('Rules &amp; Rate'!$B$5&lt;=X7,1,0)</f>
        <v>1</v>
      </c>
      <c r="BO7">
        <f>IF('Rules &amp; Rate'!$B$3&lt;=Y7,1,0)</f>
        <v>0</v>
      </c>
      <c r="BP7">
        <f>IF('Rules &amp; Rate'!$B$3&lt;=Z7,1,0)</f>
        <v>1</v>
      </c>
      <c r="BQ7">
        <f>IF('Rules &amp; Rate'!$B$2&lt;=AD7,1,0)</f>
        <v>1</v>
      </c>
      <c r="BR7">
        <f>IF('Rules &amp; Rate'!$B$2&lt;=AE7,1,0)</f>
        <v>0</v>
      </c>
      <c r="BS7">
        <f>IF('Rules &amp; Rate'!$B$2&lt;=AF7,1,0)</f>
        <v>1</v>
      </c>
      <c r="BT7">
        <f>IF('Rules &amp; Rate'!$B$2&lt;=AG7,1,0)</f>
        <v>1</v>
      </c>
      <c r="BU7">
        <f>IF('Rules &amp; Rate'!$B$6&lt;=AG7,1,0)</f>
        <v>0</v>
      </c>
      <c r="BV7">
        <v>66902.61</v>
      </c>
      <c r="BW7">
        <f>SUMPRODUCT(AH7:BA7,Labour!$B$2:$U$2)</f>
        <v>400</v>
      </c>
      <c r="BX7">
        <v>127</v>
      </c>
      <c r="BY7">
        <f t="shared" si="1"/>
        <v>527</v>
      </c>
      <c r="BZ7">
        <f>SUMPRODUCT(AH7:BA7,Labour!$B$3:$U$3)</f>
        <v>273459.23099999997</v>
      </c>
      <c r="CA7">
        <f>SUMPRODUCT(BB7:BU7,'Component $'!$B$10:$U$10)</f>
        <v>128208.09920000001</v>
      </c>
      <c r="CB7">
        <f>SUMPRODUCT(BB7:BU7,'Component $'!$B$9:$U$9)</f>
        <v>21147.199199999999</v>
      </c>
      <c r="CC7">
        <f>SUMPRODUCT(BB7:BU7,'Component $'!$B$6:$U$6)</f>
        <v>69850.899999999994</v>
      </c>
      <c r="CD7">
        <f>SUMPRODUCT(BB7:BU7,'Component $'!$B$8:$U$8)</f>
        <v>37210</v>
      </c>
      <c r="CE7">
        <f t="shared" si="0"/>
        <v>401667.33019999997</v>
      </c>
    </row>
    <row r="8" spans="1:83" x14ac:dyDescent="0.25">
      <c r="A8">
        <v>829</v>
      </c>
      <c r="B8">
        <v>1</v>
      </c>
      <c r="C8">
        <v>1</v>
      </c>
      <c r="D8">
        <v>1</v>
      </c>
      <c r="E8">
        <v>1</v>
      </c>
      <c r="F8">
        <v>1</v>
      </c>
      <c r="G8">
        <v>0.5</v>
      </c>
      <c r="H8">
        <v>6.9767441860465115E-2</v>
      </c>
      <c r="I8">
        <v>3.4883720930232558E-2</v>
      </c>
      <c r="J8">
        <v>360</v>
      </c>
      <c r="K8">
        <v>1.5123316666666666</v>
      </c>
      <c r="L8">
        <v>1.5123316666666666</v>
      </c>
      <c r="M8">
        <v>0.7285611111111111</v>
      </c>
      <c r="N8">
        <v>0.7285611111111111</v>
      </c>
      <c r="O8">
        <v>0.35297000000000001</v>
      </c>
      <c r="P8">
        <v>0.39662433333333336</v>
      </c>
      <c r="Q8">
        <v>1.0433083333333333</v>
      </c>
      <c r="R8">
        <v>0.30641062499999999</v>
      </c>
      <c r="S8">
        <v>4.4081250000000002E-2</v>
      </c>
      <c r="T8">
        <v>0.71031250000000001</v>
      </c>
      <c r="U8">
        <v>1.26041</v>
      </c>
      <c r="V8">
        <v>0.52701500000000001</v>
      </c>
      <c r="W8">
        <v>0.78923611111111114</v>
      </c>
      <c r="X8">
        <v>0.67225999999999997</v>
      </c>
      <c r="Y8">
        <v>0.18215000000000001</v>
      </c>
      <c r="Z8">
        <v>0.68977611111111115</v>
      </c>
      <c r="AA8">
        <v>1.0433083333333333</v>
      </c>
      <c r="AB8">
        <v>1.0433083333333333</v>
      </c>
      <c r="AC8">
        <v>0.52809349999999999</v>
      </c>
      <c r="AD8">
        <v>0.14952142857142858</v>
      </c>
      <c r="AE8">
        <v>8.2244999999999999E-2</v>
      </c>
      <c r="AF8">
        <v>0.11749285714285715</v>
      </c>
      <c r="AG8">
        <v>0.6852651666666667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2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 s="2">
        <f>IF('Rules &amp; Rate'!$B$2&lt;=K8,1,0)</f>
        <v>1</v>
      </c>
      <c r="BC8" s="2">
        <f>IF('Rules &amp; Rate'!$B$2&lt;=L8,1,0)</f>
        <v>1</v>
      </c>
      <c r="BD8" s="2">
        <f>IF('Rules &amp; Rate'!$B$2&lt;=N8,1,0)</f>
        <v>1</v>
      </c>
      <c r="BE8" s="2">
        <f>IF('Rules &amp; Rate'!$B$2&lt;=N8,1,0)</f>
        <v>1</v>
      </c>
      <c r="BF8" s="2">
        <f>IF('Rules &amp; Rate'!$B$3&lt;=O8,1,0)</f>
        <v>0</v>
      </c>
      <c r="BG8" s="2">
        <f>IF('Rules &amp; Rate'!$B$3&lt;=P8,1,0)</f>
        <v>0</v>
      </c>
      <c r="BH8">
        <f>IF('Rules &amp; Rate'!$B$2&lt;=R8,1,0)</f>
        <v>0</v>
      </c>
      <c r="BI8">
        <f>IF('Rules &amp; Rate'!$B$2&lt;=S8,1,0)</f>
        <v>0</v>
      </c>
      <c r="BJ8">
        <f>IF('Rules &amp; Rate'!$B$2&lt;=T8,1,0)</f>
        <v>1</v>
      </c>
      <c r="BK8">
        <f>IF('Rules &amp; Rate'!$B$2&lt;=U8,1,0)</f>
        <v>1</v>
      </c>
      <c r="BL8">
        <f>IF('Rules &amp; Rate'!$B$4&lt;=V8,1,0)</f>
        <v>0</v>
      </c>
      <c r="BM8">
        <f>IF('Rules &amp; Rate'!$B$4&lt;=W8,1,0)</f>
        <v>1</v>
      </c>
      <c r="BN8">
        <f>IF('Rules &amp; Rate'!$B$5&lt;=X8,1,0)</f>
        <v>0</v>
      </c>
      <c r="BO8">
        <f>IF('Rules &amp; Rate'!$B$3&lt;=Y8,1,0)</f>
        <v>0</v>
      </c>
      <c r="BP8">
        <f>IF('Rules &amp; Rate'!$B$3&lt;=Z8,1,0)</f>
        <v>1</v>
      </c>
      <c r="BQ8">
        <f>IF('Rules &amp; Rate'!$B$2&lt;=AD8,1,0)</f>
        <v>0</v>
      </c>
      <c r="BR8">
        <f>IF('Rules &amp; Rate'!$B$2&lt;=AE8,1,0)</f>
        <v>0</v>
      </c>
      <c r="BS8">
        <f>IF('Rules &amp; Rate'!$B$2&lt;=AF8,1,0)</f>
        <v>0</v>
      </c>
      <c r="BT8">
        <f>IF('Rules &amp; Rate'!$B$2&lt;=AG8,1,0)</f>
        <v>1</v>
      </c>
      <c r="BU8">
        <f>IF('Rules &amp; Rate'!$B$6&lt;=AG8,1,0)</f>
        <v>0</v>
      </c>
      <c r="BV8">
        <v>62598.5</v>
      </c>
      <c r="BW8">
        <f>SUMPRODUCT(AH8:BA8,Labour!$B$2:$U$2)</f>
        <v>382</v>
      </c>
      <c r="BX8">
        <v>141</v>
      </c>
      <c r="BY8">
        <f t="shared" si="1"/>
        <v>523</v>
      </c>
      <c r="BZ8">
        <f>SUMPRODUCT(AH8:BA8,Labour!$B$3:$U$3)</f>
        <v>254613.23099999997</v>
      </c>
      <c r="CA8">
        <f>SUMPRODUCT(BB8:BU8,'Component $'!$B$10:$U$10)</f>
        <v>231167.77639999997</v>
      </c>
      <c r="CB8">
        <f>SUMPRODUCT(BB8:BU8,'Component $'!$B$9:$U$9)</f>
        <v>22618.9764</v>
      </c>
      <c r="CC8">
        <f>SUMPRODUCT(BB8:BU8,'Component $'!$B$6:$U$6)</f>
        <v>141748.79999999999</v>
      </c>
      <c r="CD8">
        <f>SUMPRODUCT(BB8:BU8,'Component $'!$B$8:$U$8)</f>
        <v>66800</v>
      </c>
      <c r="CE8">
        <f t="shared" si="0"/>
        <v>485781.00739999994</v>
      </c>
    </row>
    <row r="9" spans="1:83" x14ac:dyDescent="0.25">
      <c r="A9">
        <v>830</v>
      </c>
      <c r="B9">
        <v>1</v>
      </c>
      <c r="C9">
        <v>1</v>
      </c>
      <c r="D9">
        <v>1</v>
      </c>
      <c r="E9">
        <v>1</v>
      </c>
      <c r="F9">
        <v>1</v>
      </c>
      <c r="G9">
        <v>0.5</v>
      </c>
      <c r="H9">
        <v>0</v>
      </c>
      <c r="I9">
        <v>0</v>
      </c>
      <c r="J9">
        <v>0</v>
      </c>
      <c r="K9">
        <v>1.5782779166666667</v>
      </c>
      <c r="L9">
        <v>1.5782779166666667</v>
      </c>
      <c r="M9">
        <v>0.74672000000000005</v>
      </c>
      <c r="N9">
        <v>0.74672000000000005</v>
      </c>
      <c r="O9">
        <v>4.4828571428571426E-2</v>
      </c>
      <c r="P9">
        <v>0.40586899999999998</v>
      </c>
      <c r="Q9">
        <v>1.0600778333333334</v>
      </c>
      <c r="R9">
        <v>0.44502312500000002</v>
      </c>
      <c r="S9">
        <v>0.44551687499999998</v>
      </c>
      <c r="T9">
        <v>8.5050000000000004E-3</v>
      </c>
      <c r="U9">
        <v>1.2176070000000001</v>
      </c>
      <c r="V9">
        <v>0.94872888888888884</v>
      </c>
      <c r="W9">
        <v>0.63883166666666669</v>
      </c>
      <c r="X9">
        <v>4.4828571428571426E-2</v>
      </c>
      <c r="Y9">
        <v>0.38140944444444447</v>
      </c>
      <c r="Z9">
        <v>0.61380944444444441</v>
      </c>
      <c r="AA9">
        <v>1.0600778333333334</v>
      </c>
      <c r="AB9">
        <v>1.0600778333333334</v>
      </c>
      <c r="AC9">
        <v>6.1405000000000001E-2</v>
      </c>
      <c r="AD9">
        <v>8.9521428571428571E-2</v>
      </c>
      <c r="AE9">
        <v>0.3089035</v>
      </c>
      <c r="AF9">
        <v>8.9521428571428571E-2</v>
      </c>
      <c r="AG9">
        <v>0.40586899999999998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2</v>
      </c>
      <c r="AO9">
        <v>0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 s="2">
        <f>IF('Rules &amp; Rate'!$B$2&lt;=K9,1,0)</f>
        <v>1</v>
      </c>
      <c r="BC9" s="2">
        <f>IF('Rules &amp; Rate'!$B$2&lt;=L9,1,0)</f>
        <v>1</v>
      </c>
      <c r="BD9" s="2">
        <f>IF('Rules &amp; Rate'!$B$2&lt;=N9,1,0)</f>
        <v>1</v>
      </c>
      <c r="BE9" s="2">
        <f>IF('Rules &amp; Rate'!$B$2&lt;=N9,1,0)</f>
        <v>1</v>
      </c>
      <c r="BF9" s="2">
        <f>IF('Rules &amp; Rate'!$B$3&lt;=O9,1,0)</f>
        <v>0</v>
      </c>
      <c r="BG9" s="2">
        <f>IF('Rules &amp; Rate'!$B$3&lt;=P9,1,0)</f>
        <v>0</v>
      </c>
      <c r="BH9">
        <f>IF('Rules &amp; Rate'!$B$2&lt;=R9,1,0)</f>
        <v>0</v>
      </c>
      <c r="BI9">
        <f>IF('Rules &amp; Rate'!$B$2&lt;=S9,1,0)</f>
        <v>0</v>
      </c>
      <c r="BJ9">
        <f>IF('Rules &amp; Rate'!$B$2&lt;=T9,1,0)</f>
        <v>0</v>
      </c>
      <c r="BK9">
        <f>IF('Rules &amp; Rate'!$B$2&lt;=U9,1,0)</f>
        <v>1</v>
      </c>
      <c r="BL9">
        <f>IF('Rules &amp; Rate'!$B$4&lt;=V9,1,0)</f>
        <v>1</v>
      </c>
      <c r="BM9">
        <f>IF('Rules &amp; Rate'!$B$4&lt;=W9,1,0)</f>
        <v>0</v>
      </c>
      <c r="BN9">
        <f>IF('Rules &amp; Rate'!$B$5&lt;=X9,1,0)</f>
        <v>0</v>
      </c>
      <c r="BO9">
        <f>IF('Rules &amp; Rate'!$B$3&lt;=Y9,1,0)</f>
        <v>0</v>
      </c>
      <c r="BP9">
        <f>IF('Rules &amp; Rate'!$B$3&lt;=Z9,1,0)</f>
        <v>1</v>
      </c>
      <c r="BQ9">
        <f>IF('Rules &amp; Rate'!$B$2&lt;=AD9,1,0)</f>
        <v>0</v>
      </c>
      <c r="BR9">
        <f>IF('Rules &amp; Rate'!$B$2&lt;=AE9,1,0)</f>
        <v>0</v>
      </c>
      <c r="BS9">
        <f>IF('Rules &amp; Rate'!$B$2&lt;=AF9,1,0)</f>
        <v>0</v>
      </c>
      <c r="BT9">
        <f>IF('Rules &amp; Rate'!$B$2&lt;=AG9,1,0)</f>
        <v>0</v>
      </c>
      <c r="BU9">
        <f>IF('Rules &amp; Rate'!$B$6&lt;=AG9,1,0)</f>
        <v>0</v>
      </c>
      <c r="BV9">
        <v>63604.67</v>
      </c>
      <c r="BW9">
        <f>SUMPRODUCT(AH9:BA9,Labour!$B$2:$U$2)</f>
        <v>370</v>
      </c>
      <c r="BX9">
        <v>186</v>
      </c>
      <c r="BY9">
        <f t="shared" si="1"/>
        <v>556</v>
      </c>
      <c r="BZ9">
        <f>SUMPRODUCT(AH9:BA9,Labour!$B$3:$U$3)</f>
        <v>242348.255</v>
      </c>
      <c r="CA9">
        <f>SUMPRODUCT(BB9:BU9,'Component $'!$B$10:$U$10)</f>
        <v>210888.02499999999</v>
      </c>
      <c r="CB9">
        <f>SUMPRODUCT(BB9:BU9,'Component $'!$B$9:$U$9)</f>
        <v>19616.174999999999</v>
      </c>
      <c r="CC9">
        <f>SUMPRODUCT(BB9:BU9,'Component $'!$B$6:$U$6)</f>
        <v>136730.85</v>
      </c>
      <c r="CD9">
        <f>SUMPRODUCT(BB9:BU9,'Component $'!$B$8:$U$8)</f>
        <v>54541</v>
      </c>
      <c r="CE9">
        <f t="shared" si="0"/>
        <v>453236.28</v>
      </c>
    </row>
    <row r="10" spans="1:83" x14ac:dyDescent="0.25">
      <c r="A10">
        <v>831</v>
      </c>
      <c r="B10">
        <v>1</v>
      </c>
      <c r="C10">
        <v>1</v>
      </c>
      <c r="D10">
        <v>1</v>
      </c>
      <c r="E10">
        <v>1</v>
      </c>
      <c r="F10">
        <v>1</v>
      </c>
      <c r="G10">
        <v>0.5</v>
      </c>
      <c r="H10">
        <v>0</v>
      </c>
      <c r="I10">
        <v>0</v>
      </c>
      <c r="J10">
        <v>0</v>
      </c>
      <c r="K10">
        <v>0.40910958333333336</v>
      </c>
      <c r="L10">
        <v>0.40910958333333336</v>
      </c>
      <c r="M10">
        <v>0.63515861111111116</v>
      </c>
      <c r="N10">
        <v>0.63515861111111116</v>
      </c>
      <c r="O10">
        <v>0.36870619047619047</v>
      </c>
      <c r="Q10">
        <v>0.16364383333333332</v>
      </c>
      <c r="R10">
        <v>2.6668750000000001E-2</v>
      </c>
      <c r="S10">
        <v>8.8531250000000006E-2</v>
      </c>
      <c r="T10">
        <v>1.1432855</v>
      </c>
      <c r="U10">
        <v>1.1432855</v>
      </c>
      <c r="V10">
        <v>0.54547944444444441</v>
      </c>
      <c r="W10">
        <v>0.54547944444444441</v>
      </c>
      <c r="X10">
        <v>0.46755380952380954</v>
      </c>
      <c r="Y10">
        <v>0.54547944444444441</v>
      </c>
      <c r="AA10">
        <v>0.99901616666666671</v>
      </c>
      <c r="AB10">
        <v>0.99901616666666671</v>
      </c>
      <c r="AC10">
        <v>7.0824999999999999E-2</v>
      </c>
      <c r="AD10">
        <v>0.37989499999999998</v>
      </c>
      <c r="AE10">
        <v>7.0824999999999999E-2</v>
      </c>
      <c r="AF10">
        <v>0.14987142857142857</v>
      </c>
      <c r="AG10">
        <v>0.51296716666666664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4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 s="2">
        <f>IF('Rules &amp; Rate'!$B$2&lt;=K10,1,0)</f>
        <v>0</v>
      </c>
      <c r="BC10" s="2">
        <f>IF('Rules &amp; Rate'!$B$2&lt;=L10,1,0)</f>
        <v>0</v>
      </c>
      <c r="BD10" s="2">
        <f>IF('Rules &amp; Rate'!$B$2&lt;=N10,1,0)</f>
        <v>0</v>
      </c>
      <c r="BE10" s="2">
        <f>IF('Rules &amp; Rate'!$B$2&lt;=N10,1,0)</f>
        <v>0</v>
      </c>
      <c r="BF10" s="2">
        <f>IF('Rules &amp; Rate'!$B$3&lt;=O10,1,0)</f>
        <v>0</v>
      </c>
      <c r="BG10" s="2">
        <f>IF('Rules &amp; Rate'!$B$3&lt;=P10,1,0)</f>
        <v>0</v>
      </c>
      <c r="BH10">
        <f>IF('Rules &amp; Rate'!$B$2&lt;=R10,1,0)</f>
        <v>0</v>
      </c>
      <c r="BI10">
        <f>IF('Rules &amp; Rate'!$B$2&lt;=S10,1,0)</f>
        <v>0</v>
      </c>
      <c r="BJ10">
        <f>IF('Rules &amp; Rate'!$B$2&lt;=T10,1,0)</f>
        <v>1</v>
      </c>
      <c r="BK10">
        <f>IF('Rules &amp; Rate'!$B$2&lt;=U10,1,0)</f>
        <v>1</v>
      </c>
      <c r="BL10">
        <f>IF('Rules &amp; Rate'!$B$4&lt;=V10,1,0)</f>
        <v>0</v>
      </c>
      <c r="BM10">
        <f>IF('Rules &amp; Rate'!$B$4&lt;=W10,1,0)</f>
        <v>0</v>
      </c>
      <c r="BN10">
        <f>IF('Rules &amp; Rate'!$B$5&lt;=X10,1,0)</f>
        <v>0</v>
      </c>
      <c r="BO10">
        <f>IF('Rules &amp; Rate'!$B$3&lt;=Y10,1,0)</f>
        <v>1</v>
      </c>
      <c r="BP10">
        <f>IF('Rules &amp; Rate'!$B$3&lt;=Z10,1,0)</f>
        <v>0</v>
      </c>
      <c r="BQ10">
        <f>IF('Rules &amp; Rate'!$B$2&lt;=AD10,1,0)</f>
        <v>0</v>
      </c>
      <c r="BR10">
        <f>IF('Rules &amp; Rate'!$B$2&lt;=AE10,1,0)</f>
        <v>0</v>
      </c>
      <c r="BS10">
        <f>IF('Rules &amp; Rate'!$B$2&lt;=AF10,1,0)</f>
        <v>0</v>
      </c>
      <c r="BT10">
        <f>IF('Rules &amp; Rate'!$B$2&lt;=AG10,1,0)</f>
        <v>0</v>
      </c>
      <c r="BU10">
        <f>IF('Rules &amp; Rate'!$B$6&lt;=AG10,1,0)</f>
        <v>0</v>
      </c>
      <c r="BV10">
        <v>59940.97</v>
      </c>
      <c r="BW10">
        <f>SUMPRODUCT(AH10:BA10,Labour!$B$2:$U$2)</f>
        <v>394</v>
      </c>
      <c r="BX10">
        <v>138</v>
      </c>
      <c r="BY10">
        <f t="shared" si="1"/>
        <v>532</v>
      </c>
      <c r="BZ10">
        <f>SUMPRODUCT(AH10:BA10,Labour!$B$3:$U$3)</f>
        <v>267177.23099999997</v>
      </c>
      <c r="CA10">
        <f>SUMPRODUCT(BB10:BU10,'Component $'!$B$10:$U$10)</f>
        <v>41478.19</v>
      </c>
      <c r="CB10">
        <f>SUMPRODUCT(BB10:BU10,'Component $'!$B$9:$U$9)</f>
        <v>12067.289999999999</v>
      </c>
      <c r="CC10">
        <f>SUMPRODUCT(BB10:BU10,'Component $'!$B$6:$U$6)</f>
        <v>20316.900000000001</v>
      </c>
      <c r="CD10">
        <f>SUMPRODUCT(BB10:BU10,'Component $'!$B$8:$U$8)</f>
        <v>9094</v>
      </c>
      <c r="CE10">
        <f t="shared" si="0"/>
        <v>308655.42099999997</v>
      </c>
    </row>
    <row r="11" spans="1:83" x14ac:dyDescent="0.25">
      <c r="A11">
        <v>832</v>
      </c>
      <c r="B11">
        <v>1</v>
      </c>
      <c r="C11">
        <v>1</v>
      </c>
      <c r="D11">
        <v>2</v>
      </c>
      <c r="E11">
        <v>1</v>
      </c>
      <c r="F11">
        <v>2</v>
      </c>
      <c r="G11">
        <v>0.7</v>
      </c>
      <c r="H11">
        <v>0.35852713178294576</v>
      </c>
      <c r="I11">
        <v>0.25096899224806202</v>
      </c>
      <c r="J11">
        <v>1850</v>
      </c>
      <c r="K11">
        <v>1.6036858333333333</v>
      </c>
      <c r="L11">
        <v>1.6036858333333333</v>
      </c>
      <c r="M11">
        <v>0.77221111111111107</v>
      </c>
      <c r="N11">
        <v>0.77221111111111107</v>
      </c>
      <c r="O11">
        <v>0.23825714285714286</v>
      </c>
      <c r="P11">
        <v>0.43589050000000001</v>
      </c>
      <c r="Q11">
        <v>1.0651798333333333</v>
      </c>
      <c r="R11">
        <v>0.5074225</v>
      </c>
      <c r="S11">
        <v>0.44981624999999997</v>
      </c>
      <c r="T11">
        <v>0.33622800000000003</v>
      </c>
      <c r="U11">
        <v>0.33622800000000003</v>
      </c>
      <c r="V11">
        <v>0.10051111111111111</v>
      </c>
      <c r="W11">
        <v>0.15101666666666666</v>
      </c>
      <c r="X11">
        <v>0.31245523809523812</v>
      </c>
      <c r="Y11">
        <v>0.10051111111111111</v>
      </c>
      <c r="Z11">
        <v>0.15101666666666666</v>
      </c>
      <c r="AA11">
        <v>1.0651798333333333</v>
      </c>
      <c r="AB11">
        <v>1.0651798333333333</v>
      </c>
      <c r="AC11">
        <v>0.259158</v>
      </c>
      <c r="AD11">
        <v>0.19416428571428571</v>
      </c>
      <c r="AE11">
        <v>0.28062799999999999</v>
      </c>
      <c r="AF11">
        <v>0.19416428571428571</v>
      </c>
      <c r="AG11">
        <v>0.51355550000000005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2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 s="2">
        <f>IF('Rules &amp; Rate'!$B$2&lt;=K11,1,0)</f>
        <v>1</v>
      </c>
      <c r="BC11" s="2">
        <f>IF('Rules &amp; Rate'!$B$2&lt;=L11,1,0)</f>
        <v>1</v>
      </c>
      <c r="BD11" s="2">
        <f>IF('Rules &amp; Rate'!$B$2&lt;=N11,1,0)</f>
        <v>1</v>
      </c>
      <c r="BE11" s="2">
        <f>IF('Rules &amp; Rate'!$B$2&lt;=N11,1,0)</f>
        <v>1</v>
      </c>
      <c r="BF11" s="2">
        <f>IF('Rules &amp; Rate'!$B$3&lt;=O11,1,0)</f>
        <v>0</v>
      </c>
      <c r="BG11" s="2">
        <f>IF('Rules &amp; Rate'!$B$3&lt;=P11,1,0)</f>
        <v>0</v>
      </c>
      <c r="BH11">
        <f>IF('Rules &amp; Rate'!$B$2&lt;=R11,1,0)</f>
        <v>0</v>
      </c>
      <c r="BI11">
        <f>IF('Rules &amp; Rate'!$B$2&lt;=S11,1,0)</f>
        <v>0</v>
      </c>
      <c r="BJ11">
        <f>IF('Rules &amp; Rate'!$B$2&lt;=T11,1,0)</f>
        <v>0</v>
      </c>
      <c r="BK11">
        <f>IF('Rules &amp; Rate'!$B$2&lt;=U11,1,0)</f>
        <v>0</v>
      </c>
      <c r="BL11">
        <f>IF('Rules &amp; Rate'!$B$4&lt;=V11,1,0)</f>
        <v>0</v>
      </c>
      <c r="BM11">
        <f>IF('Rules &amp; Rate'!$B$4&lt;=W11,1,0)</f>
        <v>0</v>
      </c>
      <c r="BN11">
        <f>IF('Rules &amp; Rate'!$B$5&lt;=X11,1,0)</f>
        <v>0</v>
      </c>
      <c r="BO11">
        <f>IF('Rules &amp; Rate'!$B$3&lt;=Y11,1,0)</f>
        <v>0</v>
      </c>
      <c r="BP11">
        <f>IF('Rules &amp; Rate'!$B$3&lt;=Z11,1,0)</f>
        <v>0</v>
      </c>
      <c r="BQ11">
        <f>IF('Rules &amp; Rate'!$B$2&lt;=AD11,1,0)</f>
        <v>0</v>
      </c>
      <c r="BR11">
        <f>IF('Rules &amp; Rate'!$B$2&lt;=AE11,1,0)</f>
        <v>0</v>
      </c>
      <c r="BS11">
        <f>IF('Rules &amp; Rate'!$B$2&lt;=AF11,1,0)</f>
        <v>0</v>
      </c>
      <c r="BT11">
        <f>IF('Rules &amp; Rate'!$B$2&lt;=AG11,1,0)</f>
        <v>0</v>
      </c>
      <c r="BU11">
        <f>IF('Rules &amp; Rate'!$B$6&lt;=AG11,1,0)</f>
        <v>0</v>
      </c>
      <c r="BV11">
        <v>63857.72</v>
      </c>
      <c r="BW11">
        <f>SUMPRODUCT(AH11:BA11,Labour!$B$2:$U$2)</f>
        <v>382</v>
      </c>
      <c r="BX11">
        <v>127</v>
      </c>
      <c r="BY11">
        <f t="shared" si="1"/>
        <v>509</v>
      </c>
      <c r="BZ11">
        <f>SUMPRODUCT(AH11:BA11,Labour!$B$3:$U$3)</f>
        <v>254613.23099999997</v>
      </c>
      <c r="CA11">
        <f>SUMPRODUCT(BB11:BU11,'Component $'!$B$10:$U$10)</f>
        <v>20970.68</v>
      </c>
      <c r="CB11">
        <f>SUMPRODUCT(BB11:BU11,'Component $'!$B$9:$U$9)</f>
        <v>2982.7799999999997</v>
      </c>
      <c r="CC11">
        <f>SUMPRODUCT(BB11:BU11,'Component $'!$B$6:$U$6)</f>
        <v>1393.9</v>
      </c>
      <c r="CD11">
        <f>SUMPRODUCT(BB11:BU11,'Component $'!$B$8:$U$8)</f>
        <v>16594</v>
      </c>
      <c r="CE11">
        <f t="shared" si="0"/>
        <v>275583.91099999996</v>
      </c>
    </row>
    <row r="12" spans="1:83" x14ac:dyDescent="0.25">
      <c r="A12">
        <v>833</v>
      </c>
      <c r="B12">
        <v>2</v>
      </c>
      <c r="C12">
        <v>0</v>
      </c>
      <c r="D12">
        <v>2</v>
      </c>
      <c r="E12">
        <v>2</v>
      </c>
      <c r="F12">
        <v>1</v>
      </c>
      <c r="G12">
        <v>0.7</v>
      </c>
      <c r="H12">
        <v>0.59883720930232553</v>
      </c>
      <c r="I12">
        <v>0.41918604651162783</v>
      </c>
      <c r="J12">
        <v>3090</v>
      </c>
      <c r="K12">
        <v>0.66243916666666669</v>
      </c>
      <c r="L12">
        <v>0.68918374999999998</v>
      </c>
      <c r="M12">
        <v>0.25958805555555553</v>
      </c>
      <c r="N12">
        <v>0.25958805555555553</v>
      </c>
      <c r="O12">
        <v>0.40323190476190474</v>
      </c>
      <c r="P12">
        <v>0.27579316666666664</v>
      </c>
      <c r="Q12">
        <v>0.96806933333333334</v>
      </c>
      <c r="R12">
        <v>0.63740437500000002</v>
      </c>
      <c r="S12">
        <v>0.63740437500000002</v>
      </c>
      <c r="T12">
        <v>0.63506399999999996</v>
      </c>
      <c r="U12">
        <v>0.63506399999999996</v>
      </c>
      <c r="V12">
        <v>0.30549833333333332</v>
      </c>
      <c r="W12">
        <v>0.37379833333333334</v>
      </c>
      <c r="X12">
        <v>0.63024904761904765</v>
      </c>
      <c r="Y12">
        <v>0.26573166666666664</v>
      </c>
      <c r="Z12">
        <v>0.25187611111111113</v>
      </c>
      <c r="AA12">
        <v>0.96806933333333334</v>
      </c>
      <c r="AB12">
        <v>0.96806933333333334</v>
      </c>
      <c r="AC12">
        <v>0.36743350000000002</v>
      </c>
      <c r="AD12">
        <v>0.1069</v>
      </c>
      <c r="AE12">
        <v>0.138075</v>
      </c>
      <c r="AF12">
        <v>0.28698571428571429</v>
      </c>
      <c r="AG12">
        <v>0.48929250000000002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2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 s="2">
        <f>IF('Rules &amp; Rate'!$B$2&lt;=K12,1,0)</f>
        <v>1</v>
      </c>
      <c r="BC12" s="2">
        <f>IF('Rules &amp; Rate'!$B$2&lt;=L12,1,0)</f>
        <v>1</v>
      </c>
      <c r="BD12" s="2">
        <f>IF('Rules &amp; Rate'!$B$2&lt;=N12,1,0)</f>
        <v>0</v>
      </c>
      <c r="BE12" s="2">
        <f>IF('Rules &amp; Rate'!$B$2&lt;=N12,1,0)</f>
        <v>0</v>
      </c>
      <c r="BF12" s="2">
        <f>IF('Rules &amp; Rate'!$B$3&lt;=O12,1,0)</f>
        <v>0</v>
      </c>
      <c r="BG12" s="2">
        <f>IF('Rules &amp; Rate'!$B$3&lt;=P12,1,0)</f>
        <v>0</v>
      </c>
      <c r="BH12">
        <f>IF('Rules &amp; Rate'!$B$2&lt;=R12,1,0)</f>
        <v>0</v>
      </c>
      <c r="BI12">
        <f>IF('Rules &amp; Rate'!$B$2&lt;=S12,1,0)</f>
        <v>0</v>
      </c>
      <c r="BJ12">
        <f>IF('Rules &amp; Rate'!$B$2&lt;=T12,1,0)</f>
        <v>0</v>
      </c>
      <c r="BK12">
        <f>IF('Rules &amp; Rate'!$B$2&lt;=U12,1,0)</f>
        <v>0</v>
      </c>
      <c r="BL12">
        <f>IF('Rules &amp; Rate'!$B$4&lt;=V12,1,0)</f>
        <v>0</v>
      </c>
      <c r="BM12">
        <f>IF('Rules &amp; Rate'!$B$4&lt;=W12,1,0)</f>
        <v>0</v>
      </c>
      <c r="BN12">
        <f>IF('Rules &amp; Rate'!$B$5&lt;=X12,1,0)</f>
        <v>0</v>
      </c>
      <c r="BO12">
        <f>IF('Rules &amp; Rate'!$B$3&lt;=Y12,1,0)</f>
        <v>0</v>
      </c>
      <c r="BP12">
        <f>IF('Rules &amp; Rate'!$B$3&lt;=Z12,1,0)</f>
        <v>0</v>
      </c>
      <c r="BQ12">
        <f>IF('Rules &amp; Rate'!$B$2&lt;=AD12,1,0)</f>
        <v>0</v>
      </c>
      <c r="BR12">
        <f>IF('Rules &amp; Rate'!$B$2&lt;=AE12,1,0)</f>
        <v>0</v>
      </c>
      <c r="BS12">
        <f>IF('Rules &amp; Rate'!$B$2&lt;=AF12,1,0)</f>
        <v>0</v>
      </c>
      <c r="BT12">
        <f>IF('Rules &amp; Rate'!$B$2&lt;=AG12,1,0)</f>
        <v>0</v>
      </c>
      <c r="BU12">
        <f>IF('Rules &amp; Rate'!$B$6&lt;=AG12,1,0)</f>
        <v>0</v>
      </c>
      <c r="BV12">
        <v>58084.160000000003</v>
      </c>
      <c r="BW12">
        <f>SUMPRODUCT(AH12:BA12,Labour!$B$2:$U$2)</f>
        <v>382</v>
      </c>
      <c r="BX12">
        <v>101</v>
      </c>
      <c r="BY12">
        <f t="shared" si="1"/>
        <v>483</v>
      </c>
      <c r="BZ12">
        <f>SUMPRODUCT(AH12:BA12,Labour!$B$3:$U$3)</f>
        <v>254613.23099999997</v>
      </c>
      <c r="CA12">
        <f>SUMPRODUCT(BB12:BU12,'Component $'!$B$10:$U$10)</f>
        <v>9715.39</v>
      </c>
      <c r="CB12">
        <f>SUMPRODUCT(BB12:BU12,'Component $'!$B$9:$U$9)</f>
        <v>1491.3899999999999</v>
      </c>
      <c r="CC12">
        <f>SUMPRODUCT(BB12:BU12,'Component $'!$B$6:$U$6)</f>
        <v>724</v>
      </c>
      <c r="CD12">
        <f>SUMPRODUCT(BB12:BU12,'Component $'!$B$8:$U$8)</f>
        <v>7500</v>
      </c>
      <c r="CE12">
        <f t="shared" si="0"/>
        <v>264328.62099999998</v>
      </c>
    </row>
    <row r="13" spans="1:83" x14ac:dyDescent="0.25">
      <c r="A13">
        <v>834</v>
      </c>
      <c r="B13">
        <v>1</v>
      </c>
      <c r="C13">
        <v>2</v>
      </c>
      <c r="D13">
        <v>2</v>
      </c>
      <c r="E13">
        <v>2</v>
      </c>
      <c r="F13">
        <v>2</v>
      </c>
      <c r="G13">
        <v>0.9</v>
      </c>
      <c r="H13">
        <v>0.40116279069767441</v>
      </c>
      <c r="I13">
        <v>0.36104651162790696</v>
      </c>
      <c r="J13">
        <v>2070</v>
      </c>
      <c r="K13">
        <v>1.63657875</v>
      </c>
      <c r="L13">
        <v>1.63657875</v>
      </c>
      <c r="M13">
        <v>0.69945555555555561</v>
      </c>
      <c r="O13">
        <v>0.16896190476190476</v>
      </c>
      <c r="P13">
        <v>0.38261666666666666</v>
      </c>
      <c r="Q13">
        <v>1.0275835</v>
      </c>
      <c r="R13">
        <v>3.3075E-2</v>
      </c>
      <c r="S13">
        <v>3.3075E-2</v>
      </c>
      <c r="T13">
        <v>1.328568</v>
      </c>
      <c r="U13">
        <v>1.23262</v>
      </c>
      <c r="V13">
        <v>0.32742500000000002</v>
      </c>
      <c r="W13">
        <v>5.8238888888888889E-2</v>
      </c>
      <c r="X13">
        <v>0.16896190476190476</v>
      </c>
      <c r="Y13">
        <v>0.37725833333333331</v>
      </c>
      <c r="Z13">
        <v>5.8238888888888889E-2</v>
      </c>
      <c r="AA13">
        <v>1.0275835</v>
      </c>
      <c r="AB13">
        <v>1.0275835</v>
      </c>
      <c r="AC13">
        <v>0.38743250000000001</v>
      </c>
      <c r="AD13">
        <v>0.21232857142857142</v>
      </c>
      <c r="AE13">
        <v>0.19563</v>
      </c>
      <c r="AF13">
        <v>0.24420714285714284</v>
      </c>
      <c r="AG13">
        <v>0.38261666666666666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2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 s="2">
        <f>IF('Rules &amp; Rate'!$B$2&lt;=K13,1,0)</f>
        <v>1</v>
      </c>
      <c r="BC13" s="2">
        <f>IF('Rules &amp; Rate'!$B$2&lt;=L13,1,0)</f>
        <v>1</v>
      </c>
      <c r="BD13" s="2">
        <f>IF('Rules &amp; Rate'!$B$2&lt;=N13,1,0)</f>
        <v>0</v>
      </c>
      <c r="BE13" s="2">
        <f>IF('Rules &amp; Rate'!$B$2&lt;=N13,1,0)</f>
        <v>0</v>
      </c>
      <c r="BF13" s="2">
        <f>IF('Rules &amp; Rate'!$B$3&lt;=O13,1,0)</f>
        <v>0</v>
      </c>
      <c r="BG13" s="2">
        <f>IF('Rules &amp; Rate'!$B$3&lt;=P13,1,0)</f>
        <v>0</v>
      </c>
      <c r="BH13">
        <f>IF('Rules &amp; Rate'!$B$2&lt;=R13,1,0)</f>
        <v>0</v>
      </c>
      <c r="BI13">
        <f>IF('Rules &amp; Rate'!$B$2&lt;=S13,1,0)</f>
        <v>0</v>
      </c>
      <c r="BJ13">
        <f>IF('Rules &amp; Rate'!$B$2&lt;=T13,1,0)</f>
        <v>1</v>
      </c>
      <c r="BK13">
        <f>IF('Rules &amp; Rate'!$B$2&lt;=U13,1,0)</f>
        <v>1</v>
      </c>
      <c r="BL13">
        <f>IF('Rules &amp; Rate'!$B$4&lt;=V13,1,0)</f>
        <v>0</v>
      </c>
      <c r="BM13">
        <f>IF('Rules &amp; Rate'!$B$4&lt;=W13,1,0)</f>
        <v>0</v>
      </c>
      <c r="BN13">
        <f>IF('Rules &amp; Rate'!$B$5&lt;=X13,1,0)</f>
        <v>0</v>
      </c>
      <c r="BO13">
        <f>IF('Rules &amp; Rate'!$B$3&lt;=Y13,1,0)</f>
        <v>0</v>
      </c>
      <c r="BP13">
        <f>IF('Rules &amp; Rate'!$B$3&lt;=Z13,1,0)</f>
        <v>0</v>
      </c>
      <c r="BQ13">
        <f>IF('Rules &amp; Rate'!$B$2&lt;=AD13,1,0)</f>
        <v>0</v>
      </c>
      <c r="BR13">
        <f>IF('Rules &amp; Rate'!$B$2&lt;=AE13,1,0)</f>
        <v>0</v>
      </c>
      <c r="BS13">
        <f>IF('Rules &amp; Rate'!$B$2&lt;=AF13,1,0)</f>
        <v>0</v>
      </c>
      <c r="BT13">
        <f>IF('Rules &amp; Rate'!$B$2&lt;=AG13,1,0)</f>
        <v>0</v>
      </c>
      <c r="BU13">
        <f>IF('Rules &amp; Rate'!$B$6&lt;=AG13,1,0)</f>
        <v>0</v>
      </c>
      <c r="BV13">
        <v>61655.01</v>
      </c>
      <c r="BW13">
        <f>SUMPRODUCT(AH13:BA13,Labour!$B$2:$U$2)</f>
        <v>382</v>
      </c>
      <c r="BX13">
        <v>155</v>
      </c>
      <c r="BY13">
        <f t="shared" si="1"/>
        <v>537</v>
      </c>
      <c r="BZ13">
        <f>SUMPRODUCT(AH13:BA13,Labour!$B$3:$U$3)</f>
        <v>254613.23099999997</v>
      </c>
      <c r="CA13">
        <f>SUMPRODUCT(BB13:BU13,'Component $'!$B$10:$U$10)</f>
        <v>20970.68</v>
      </c>
      <c r="CB13">
        <f>SUMPRODUCT(BB13:BU13,'Component $'!$B$9:$U$9)</f>
        <v>2982.7799999999997</v>
      </c>
      <c r="CC13">
        <f>SUMPRODUCT(BB13:BU13,'Component $'!$B$6:$U$6)</f>
        <v>1393.9</v>
      </c>
      <c r="CD13">
        <f>SUMPRODUCT(BB13:BU13,'Component $'!$B$8:$U$8)</f>
        <v>16594</v>
      </c>
      <c r="CE13">
        <f t="shared" si="0"/>
        <v>275583.91099999996</v>
      </c>
    </row>
    <row r="14" spans="1:83" x14ac:dyDescent="0.25">
      <c r="A14">
        <v>835</v>
      </c>
      <c r="B14">
        <v>2</v>
      </c>
      <c r="C14">
        <v>1</v>
      </c>
      <c r="D14">
        <v>1</v>
      </c>
      <c r="E14">
        <v>1</v>
      </c>
      <c r="F14">
        <v>1</v>
      </c>
      <c r="G14">
        <v>0.6</v>
      </c>
      <c r="H14">
        <v>0.14534883720930233</v>
      </c>
      <c r="I14">
        <v>8.7209302325581398E-2</v>
      </c>
      <c r="J14">
        <v>750</v>
      </c>
      <c r="K14">
        <v>1.6291616666666666</v>
      </c>
      <c r="L14">
        <v>1.6291616666666666</v>
      </c>
      <c r="M14">
        <v>0.19674166666666668</v>
      </c>
      <c r="N14">
        <v>0.19674166666666668</v>
      </c>
      <c r="O14">
        <v>0.29251428571428573</v>
      </c>
      <c r="P14">
        <v>0.37267650000000002</v>
      </c>
      <c r="Q14">
        <v>1.0348156666666666</v>
      </c>
      <c r="R14">
        <v>0.63263124999999998</v>
      </c>
      <c r="S14">
        <v>0.93949562499999995</v>
      </c>
      <c r="T14">
        <v>0.21010000000000001</v>
      </c>
      <c r="U14">
        <v>1.214486</v>
      </c>
      <c r="V14">
        <v>0.46955000000000002</v>
      </c>
      <c r="W14">
        <v>0.11968333333333334</v>
      </c>
      <c r="X14">
        <v>0.29251428571428573</v>
      </c>
      <c r="Y14">
        <v>1.2422550000000001</v>
      </c>
      <c r="Z14">
        <v>0.11968333333333334</v>
      </c>
      <c r="AA14">
        <v>1.0348156666666666</v>
      </c>
      <c r="AB14">
        <v>1.0348156666666666</v>
      </c>
      <c r="AC14">
        <v>0.309195</v>
      </c>
      <c r="AD14">
        <v>0.4735785714285714</v>
      </c>
      <c r="AE14">
        <v>0.227295</v>
      </c>
      <c r="AF14">
        <v>0.23480000000000001</v>
      </c>
      <c r="AG14">
        <v>0.37267650000000002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3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 s="2">
        <f>IF('Rules &amp; Rate'!$B$2&lt;=K14,1,0)</f>
        <v>1</v>
      </c>
      <c r="BC14" s="2">
        <f>IF('Rules &amp; Rate'!$B$2&lt;=L14,1,0)</f>
        <v>1</v>
      </c>
      <c r="BD14" s="2">
        <f>IF('Rules &amp; Rate'!$B$2&lt;=N14,1,0)</f>
        <v>0</v>
      </c>
      <c r="BE14" s="2">
        <f>IF('Rules &amp; Rate'!$B$2&lt;=N14,1,0)</f>
        <v>0</v>
      </c>
      <c r="BF14" s="2">
        <f>IF('Rules &amp; Rate'!$B$3&lt;=O14,1,0)</f>
        <v>0</v>
      </c>
      <c r="BG14" s="2">
        <f>IF('Rules &amp; Rate'!$B$3&lt;=P14,1,0)</f>
        <v>0</v>
      </c>
      <c r="BH14">
        <f>IF('Rules &amp; Rate'!$B$2&lt;=R14,1,0)</f>
        <v>0</v>
      </c>
      <c r="BI14">
        <f>IF('Rules &amp; Rate'!$B$2&lt;=S14,1,0)</f>
        <v>1</v>
      </c>
      <c r="BJ14">
        <f>IF('Rules &amp; Rate'!$B$2&lt;=T14,1,0)</f>
        <v>0</v>
      </c>
      <c r="BK14">
        <f>IF('Rules &amp; Rate'!$B$2&lt;=U14,1,0)</f>
        <v>1</v>
      </c>
      <c r="BL14">
        <f>IF('Rules &amp; Rate'!$B$4&lt;=V14,1,0)</f>
        <v>0</v>
      </c>
      <c r="BM14">
        <f>IF('Rules &amp; Rate'!$B$4&lt;=W14,1,0)</f>
        <v>0</v>
      </c>
      <c r="BN14">
        <f>IF('Rules &amp; Rate'!$B$5&lt;=X14,1,0)</f>
        <v>0</v>
      </c>
      <c r="BO14">
        <f>IF('Rules &amp; Rate'!$B$3&lt;=Y14,1,0)</f>
        <v>1</v>
      </c>
      <c r="BP14">
        <f>IF('Rules &amp; Rate'!$B$3&lt;=Z14,1,0)</f>
        <v>0</v>
      </c>
      <c r="BQ14">
        <f>IF('Rules &amp; Rate'!$B$2&lt;=AD14,1,0)</f>
        <v>0</v>
      </c>
      <c r="BR14">
        <f>IF('Rules &amp; Rate'!$B$2&lt;=AE14,1,0)</f>
        <v>0</v>
      </c>
      <c r="BS14">
        <f>IF('Rules &amp; Rate'!$B$2&lt;=AF14,1,0)</f>
        <v>0</v>
      </c>
      <c r="BT14">
        <f>IF('Rules &amp; Rate'!$B$2&lt;=AG14,1,0)</f>
        <v>0</v>
      </c>
      <c r="BU14">
        <f>IF('Rules &amp; Rate'!$B$6&lt;=AG14,1,0)</f>
        <v>0</v>
      </c>
      <c r="BV14">
        <v>62061.74</v>
      </c>
      <c r="BW14">
        <f>SUMPRODUCT(AH14:BA14,Labour!$B$2:$U$2)</f>
        <v>388</v>
      </c>
      <c r="BX14">
        <v>184</v>
      </c>
      <c r="BY14">
        <f t="shared" si="1"/>
        <v>572</v>
      </c>
      <c r="BZ14">
        <f>SUMPRODUCT(AH14:BA14,Labour!$B$3:$U$3)</f>
        <v>260895.23099999997</v>
      </c>
      <c r="CA14">
        <f>SUMPRODUCT(BB14:BU14,'Component $'!$B$10:$U$10)</f>
        <v>73087.573000000004</v>
      </c>
      <c r="CB14">
        <f>SUMPRODUCT(BB14:BU14,'Component $'!$B$9:$U$9)</f>
        <v>16216.623</v>
      </c>
      <c r="CC14">
        <f>SUMPRODUCT(BB14:BU14,'Component $'!$B$6:$U$6)</f>
        <v>24922.95</v>
      </c>
      <c r="CD14">
        <f>SUMPRODUCT(BB14:BU14,'Component $'!$B$8:$U$8)</f>
        <v>31948</v>
      </c>
      <c r="CE14">
        <f t="shared" si="0"/>
        <v>333982.804</v>
      </c>
    </row>
    <row r="15" spans="1:83" x14ac:dyDescent="0.25">
      <c r="A15">
        <v>836</v>
      </c>
      <c r="B15">
        <v>1</v>
      </c>
      <c r="C15">
        <v>1</v>
      </c>
      <c r="D15">
        <v>1</v>
      </c>
      <c r="E15">
        <v>2</v>
      </c>
      <c r="F15">
        <v>1</v>
      </c>
      <c r="G15">
        <v>0.6</v>
      </c>
      <c r="H15">
        <v>0.16666666666666666</v>
      </c>
      <c r="I15">
        <v>9.9999999999999992E-2</v>
      </c>
      <c r="J15">
        <v>860</v>
      </c>
      <c r="K15">
        <v>1.5946987500000001</v>
      </c>
      <c r="L15">
        <v>1.5946987500000001</v>
      </c>
      <c r="M15">
        <v>0.70133916666666662</v>
      </c>
      <c r="N15">
        <v>0.70133916666666662</v>
      </c>
      <c r="O15">
        <v>0.47765285714285716</v>
      </c>
      <c r="P15">
        <v>0.26704749999999999</v>
      </c>
      <c r="R15">
        <v>0.62691937499999995</v>
      </c>
      <c r="S15">
        <v>0.54403812500000004</v>
      </c>
      <c r="T15">
        <v>9.6200000000000001E-3</v>
      </c>
      <c r="U15">
        <v>0.38747549999999997</v>
      </c>
      <c r="V15">
        <v>6.5183333333333329E-2</v>
      </c>
      <c r="W15">
        <v>4.3255555555555554E-2</v>
      </c>
      <c r="X15">
        <v>0.47765285714285716</v>
      </c>
      <c r="Y15">
        <v>6.5183333333333329E-2</v>
      </c>
      <c r="Z15">
        <v>4.3255555555555554E-2</v>
      </c>
      <c r="AA15">
        <v>1.0178688333333332</v>
      </c>
      <c r="AB15">
        <v>1.0178688333333332</v>
      </c>
      <c r="AC15">
        <v>0.80114249999999998</v>
      </c>
      <c r="AD15">
        <v>0.15507857142857143</v>
      </c>
      <c r="AE15">
        <v>0.55516049999999995</v>
      </c>
      <c r="AF15">
        <v>0.15507857142857143</v>
      </c>
      <c r="AG15">
        <v>0.58585566666666666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2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 s="2">
        <f>IF('Rules &amp; Rate'!$B$2&lt;=K15,1,0)</f>
        <v>1</v>
      </c>
      <c r="BC15" s="2">
        <f>IF('Rules &amp; Rate'!$B$2&lt;=L15,1,0)</f>
        <v>1</v>
      </c>
      <c r="BD15" s="2">
        <f>IF('Rules &amp; Rate'!$B$2&lt;=N15,1,0)</f>
        <v>1</v>
      </c>
      <c r="BE15" s="2">
        <f>IF('Rules &amp; Rate'!$B$2&lt;=N15,1,0)</f>
        <v>1</v>
      </c>
      <c r="BF15" s="2">
        <f>IF('Rules &amp; Rate'!$B$3&lt;=O15,1,0)</f>
        <v>0</v>
      </c>
      <c r="BG15" s="2">
        <f>IF('Rules &amp; Rate'!$B$3&lt;=P15,1,0)</f>
        <v>0</v>
      </c>
      <c r="BH15">
        <f>IF('Rules &amp; Rate'!$B$2&lt;=R15,1,0)</f>
        <v>0</v>
      </c>
      <c r="BI15">
        <f>IF('Rules &amp; Rate'!$B$2&lt;=S15,1,0)</f>
        <v>0</v>
      </c>
      <c r="BJ15">
        <f>IF('Rules &amp; Rate'!$B$2&lt;=T15,1,0)</f>
        <v>0</v>
      </c>
      <c r="BK15">
        <f>IF('Rules &amp; Rate'!$B$2&lt;=U15,1,0)</f>
        <v>0</v>
      </c>
      <c r="BL15">
        <f>IF('Rules &amp; Rate'!$B$4&lt;=V15,1,0)</f>
        <v>0</v>
      </c>
      <c r="BM15">
        <f>IF('Rules &amp; Rate'!$B$4&lt;=W15,1,0)</f>
        <v>0</v>
      </c>
      <c r="BN15">
        <f>IF('Rules &amp; Rate'!$B$5&lt;=X15,1,0)</f>
        <v>0</v>
      </c>
      <c r="BO15">
        <f>IF('Rules &amp; Rate'!$B$3&lt;=Y15,1,0)</f>
        <v>0</v>
      </c>
      <c r="BP15">
        <f>IF('Rules &amp; Rate'!$B$3&lt;=Z15,1,0)</f>
        <v>0</v>
      </c>
      <c r="BQ15">
        <f>IF('Rules &amp; Rate'!$B$2&lt;=AD15,1,0)</f>
        <v>0</v>
      </c>
      <c r="BR15">
        <f>IF('Rules &amp; Rate'!$B$2&lt;=AE15,1,0)</f>
        <v>0</v>
      </c>
      <c r="BS15">
        <f>IF('Rules &amp; Rate'!$B$2&lt;=AF15,1,0)</f>
        <v>0</v>
      </c>
      <c r="BT15">
        <f>IF('Rules &amp; Rate'!$B$2&lt;=AG15,1,0)</f>
        <v>0</v>
      </c>
      <c r="BU15">
        <f>IF('Rules &amp; Rate'!$B$6&lt;=AG15,1,0)</f>
        <v>0</v>
      </c>
      <c r="BV15">
        <v>61073.31</v>
      </c>
      <c r="BW15">
        <f>SUMPRODUCT(AH15:BA15,Labour!$B$2:$U$2)</f>
        <v>382</v>
      </c>
      <c r="BX15">
        <v>187</v>
      </c>
      <c r="BY15">
        <f t="shared" si="1"/>
        <v>569</v>
      </c>
      <c r="BZ15">
        <f>SUMPRODUCT(AH15:BA15,Labour!$B$3:$U$3)</f>
        <v>254613.23099999997</v>
      </c>
      <c r="CA15">
        <f>SUMPRODUCT(BB15:BU15,'Component $'!$B$10:$U$10)</f>
        <v>20970.68</v>
      </c>
      <c r="CB15">
        <f>SUMPRODUCT(BB15:BU15,'Component $'!$B$9:$U$9)</f>
        <v>2982.7799999999997</v>
      </c>
      <c r="CC15">
        <f>SUMPRODUCT(BB15:BU15,'Component $'!$B$6:$U$6)</f>
        <v>1393.9</v>
      </c>
      <c r="CD15">
        <f>SUMPRODUCT(BB15:BU15,'Component $'!$B$8:$U$8)</f>
        <v>16594</v>
      </c>
      <c r="CE15">
        <f t="shared" si="0"/>
        <v>275583.91099999996</v>
      </c>
    </row>
    <row r="16" spans="1:83" x14ac:dyDescent="0.25">
      <c r="A16">
        <v>837</v>
      </c>
      <c r="B16">
        <v>1</v>
      </c>
      <c r="C16">
        <v>0</v>
      </c>
      <c r="D16">
        <v>2</v>
      </c>
      <c r="E16">
        <v>2</v>
      </c>
      <c r="F16">
        <v>1</v>
      </c>
      <c r="G16">
        <v>0.6</v>
      </c>
      <c r="H16">
        <v>0.67829457364341084</v>
      </c>
      <c r="I16">
        <v>0.40697674418604651</v>
      </c>
      <c r="J16">
        <v>3500</v>
      </c>
      <c r="K16">
        <v>1.6071016666666667</v>
      </c>
      <c r="L16">
        <v>1.6071016666666667</v>
      </c>
      <c r="M16">
        <v>0.76423444444444444</v>
      </c>
      <c r="N16">
        <v>0.76423444444444444</v>
      </c>
      <c r="O16">
        <v>0.32863142857142857</v>
      </c>
      <c r="P16">
        <v>0.41026816666666666</v>
      </c>
      <c r="Q16">
        <v>1.028302</v>
      </c>
      <c r="R16">
        <v>0.24324375000000001</v>
      </c>
      <c r="S16">
        <v>2.1662500000000001E-2</v>
      </c>
      <c r="T16">
        <v>0.29506300000000002</v>
      </c>
      <c r="U16">
        <v>0.29506300000000002</v>
      </c>
      <c r="V16">
        <v>0.80597944444444447</v>
      </c>
      <c r="W16">
        <v>0.20572222222222222</v>
      </c>
      <c r="X16">
        <v>0.68759000000000003</v>
      </c>
      <c r="Y16">
        <v>0.13994999999999999</v>
      </c>
      <c r="Z16">
        <v>0.52698111111111112</v>
      </c>
      <c r="AA16">
        <v>1.028302</v>
      </c>
      <c r="AB16">
        <v>1.028302</v>
      </c>
      <c r="AC16">
        <v>0.39587299999999997</v>
      </c>
      <c r="AD16">
        <v>0.4929257142857143</v>
      </c>
      <c r="AE16">
        <v>0.14704999999999999</v>
      </c>
      <c r="AF16">
        <v>0.35835714285714287</v>
      </c>
      <c r="AG16">
        <v>0.41026816666666666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2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 s="2">
        <f>IF('Rules &amp; Rate'!$B$2&lt;=K16,1,0)</f>
        <v>1</v>
      </c>
      <c r="BC16" s="2">
        <f>IF('Rules &amp; Rate'!$B$2&lt;=L16,1,0)</f>
        <v>1</v>
      </c>
      <c r="BD16" s="2">
        <f>IF('Rules &amp; Rate'!$B$2&lt;=N16,1,0)</f>
        <v>1</v>
      </c>
      <c r="BE16" s="2">
        <f>IF('Rules &amp; Rate'!$B$2&lt;=N16,1,0)</f>
        <v>1</v>
      </c>
      <c r="BF16" s="2">
        <f>IF('Rules &amp; Rate'!$B$3&lt;=O16,1,0)</f>
        <v>0</v>
      </c>
      <c r="BG16" s="2">
        <f>IF('Rules &amp; Rate'!$B$3&lt;=P16,1,0)</f>
        <v>0</v>
      </c>
      <c r="BH16">
        <f>IF('Rules &amp; Rate'!$B$2&lt;=R16,1,0)</f>
        <v>0</v>
      </c>
      <c r="BI16">
        <f>IF('Rules &amp; Rate'!$B$2&lt;=S16,1,0)</f>
        <v>0</v>
      </c>
      <c r="BJ16">
        <f>IF('Rules &amp; Rate'!$B$2&lt;=T16,1,0)</f>
        <v>0</v>
      </c>
      <c r="BK16">
        <f>IF('Rules &amp; Rate'!$B$2&lt;=U16,1,0)</f>
        <v>0</v>
      </c>
      <c r="BL16">
        <f>IF('Rules &amp; Rate'!$B$4&lt;=V16,1,0)</f>
        <v>1</v>
      </c>
      <c r="BM16">
        <f>IF('Rules &amp; Rate'!$B$4&lt;=W16,1,0)</f>
        <v>0</v>
      </c>
      <c r="BN16">
        <f>IF('Rules &amp; Rate'!$B$5&lt;=X16,1,0)</f>
        <v>0</v>
      </c>
      <c r="BO16">
        <f>IF('Rules &amp; Rate'!$B$3&lt;=Y16,1,0)</f>
        <v>0</v>
      </c>
      <c r="BP16">
        <f>IF('Rules &amp; Rate'!$B$3&lt;=Z16,1,0)</f>
        <v>1</v>
      </c>
      <c r="BQ16">
        <f>IF('Rules &amp; Rate'!$B$2&lt;=AD16,1,0)</f>
        <v>0</v>
      </c>
      <c r="BR16">
        <f>IF('Rules &amp; Rate'!$B$2&lt;=AE16,1,0)</f>
        <v>0</v>
      </c>
      <c r="BS16">
        <f>IF('Rules &amp; Rate'!$B$2&lt;=AF16,1,0)</f>
        <v>0</v>
      </c>
      <c r="BT16">
        <f>IF('Rules &amp; Rate'!$B$2&lt;=AG16,1,0)</f>
        <v>0</v>
      </c>
      <c r="BU16">
        <f>IF('Rules &amp; Rate'!$B$6&lt;=AG16,1,0)</f>
        <v>0</v>
      </c>
      <c r="BV16">
        <v>61612.92</v>
      </c>
      <c r="BW16">
        <f>SUMPRODUCT(AH16:BA16,Labour!$B$2:$U$2)</f>
        <v>382</v>
      </c>
      <c r="BX16">
        <v>105</v>
      </c>
      <c r="BY16">
        <f t="shared" si="1"/>
        <v>487</v>
      </c>
      <c r="BZ16">
        <f>SUMPRODUCT(AH16:BA16,Labour!$B$3:$U$3)</f>
        <v>254613.23099999997</v>
      </c>
      <c r="CA16">
        <f>SUMPRODUCT(BB16:BU16,'Component $'!$B$10:$U$10)</f>
        <v>205260.37999999998</v>
      </c>
      <c r="CB16">
        <f>SUMPRODUCT(BB16:BU16,'Component $'!$B$9:$U$9)</f>
        <v>18870.48</v>
      </c>
      <c r="CC16">
        <f>SUMPRODUCT(BB16:BU16,'Component $'!$B$6:$U$6)</f>
        <v>136395.9</v>
      </c>
      <c r="CD16">
        <f>SUMPRODUCT(BB16:BU16,'Component $'!$B$8:$U$8)</f>
        <v>49994</v>
      </c>
      <c r="CE16">
        <f t="shared" si="0"/>
        <v>459873.61099999992</v>
      </c>
    </row>
    <row r="17" spans="1:83" x14ac:dyDescent="0.25">
      <c r="A17">
        <v>838</v>
      </c>
      <c r="B17">
        <v>1</v>
      </c>
      <c r="C17">
        <v>0</v>
      </c>
      <c r="D17">
        <v>1</v>
      </c>
      <c r="E17">
        <v>1</v>
      </c>
      <c r="F17">
        <v>1</v>
      </c>
      <c r="G17">
        <v>0.4</v>
      </c>
      <c r="H17">
        <v>6.9767441860465115E-2</v>
      </c>
      <c r="I17">
        <v>2.7906976744186046E-2</v>
      </c>
      <c r="J17">
        <v>360</v>
      </c>
      <c r="K17">
        <v>1.6641645833333334</v>
      </c>
      <c r="L17">
        <v>1.6641645833333334</v>
      </c>
      <c r="M17">
        <v>0.35920249999999998</v>
      </c>
      <c r="N17">
        <v>0.78033722222222224</v>
      </c>
      <c r="O17">
        <v>1.7957142857142856E-2</v>
      </c>
      <c r="P17">
        <v>0.42449416666666667</v>
      </c>
      <c r="Q17">
        <v>1.058343</v>
      </c>
      <c r="R17">
        <v>0.65155624999999995</v>
      </c>
      <c r="S17">
        <v>0.29656250000000001</v>
      </c>
      <c r="T17">
        <v>0.46473999999999999</v>
      </c>
      <c r="U17">
        <v>1.4915195000000001</v>
      </c>
      <c r="V17">
        <v>1.4149805555555555</v>
      </c>
      <c r="W17">
        <v>1.4149805555555555</v>
      </c>
      <c r="X17">
        <v>0.44260952380952379</v>
      </c>
      <c r="Y17">
        <v>1.4149805555555555</v>
      </c>
      <c r="Z17">
        <v>1.3937533333333334</v>
      </c>
      <c r="AA17">
        <v>1.058343</v>
      </c>
      <c r="AB17">
        <v>1.058343</v>
      </c>
      <c r="AC17">
        <v>0.26087500000000002</v>
      </c>
      <c r="AD17">
        <v>0.12330714285714285</v>
      </c>
      <c r="AE17">
        <v>0.172515</v>
      </c>
      <c r="AF17">
        <v>0.12330714285714285</v>
      </c>
      <c r="AG17">
        <v>0.42449416666666667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2</v>
      </c>
      <c r="AO17">
        <v>0</v>
      </c>
      <c r="AP17">
        <v>1</v>
      </c>
      <c r="AQ17">
        <v>1</v>
      </c>
      <c r="AR17">
        <v>1</v>
      </c>
      <c r="AS17">
        <v>0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 s="2">
        <f>IF('Rules &amp; Rate'!$B$2&lt;=K17,1,0)</f>
        <v>1</v>
      </c>
      <c r="BC17" s="2">
        <f>IF('Rules &amp; Rate'!$B$2&lt;=L17,1,0)</f>
        <v>1</v>
      </c>
      <c r="BD17" s="2">
        <f>IF('Rules &amp; Rate'!$B$2&lt;=N17,1,0)</f>
        <v>1</v>
      </c>
      <c r="BE17" s="2">
        <f>IF('Rules &amp; Rate'!$B$2&lt;=N17,1,0)</f>
        <v>1</v>
      </c>
      <c r="BF17" s="2">
        <f>IF('Rules &amp; Rate'!$B$3&lt;=O17,1,0)</f>
        <v>0</v>
      </c>
      <c r="BG17" s="2">
        <f>IF('Rules &amp; Rate'!$B$3&lt;=P17,1,0)</f>
        <v>0</v>
      </c>
      <c r="BH17">
        <f>IF('Rules &amp; Rate'!$B$2&lt;=R17,1,0)</f>
        <v>1</v>
      </c>
      <c r="BI17">
        <f>IF('Rules &amp; Rate'!$B$2&lt;=S17,1,0)</f>
        <v>0</v>
      </c>
      <c r="BJ17">
        <f>IF('Rules &amp; Rate'!$B$2&lt;=T17,1,0)</f>
        <v>0</v>
      </c>
      <c r="BK17">
        <f>IF('Rules &amp; Rate'!$B$2&lt;=U17,1,0)</f>
        <v>1</v>
      </c>
      <c r="BL17">
        <f>IF('Rules &amp; Rate'!$B$4&lt;=V17,1,0)</f>
        <v>1</v>
      </c>
      <c r="BM17">
        <f>IF('Rules &amp; Rate'!$B$4&lt;=W17,1,0)</f>
        <v>1</v>
      </c>
      <c r="BN17">
        <f>IF('Rules &amp; Rate'!$B$5&lt;=X17,1,0)</f>
        <v>0</v>
      </c>
      <c r="BO17">
        <f>IF('Rules &amp; Rate'!$B$3&lt;=Y17,1,0)</f>
        <v>1</v>
      </c>
      <c r="BP17">
        <f>IF('Rules &amp; Rate'!$B$3&lt;=Z17,1,0)</f>
        <v>1</v>
      </c>
      <c r="BQ17">
        <f>IF('Rules &amp; Rate'!$B$2&lt;=AD17,1,0)</f>
        <v>0</v>
      </c>
      <c r="BR17">
        <f>IF('Rules &amp; Rate'!$B$2&lt;=AE17,1,0)</f>
        <v>0</v>
      </c>
      <c r="BS17">
        <f>IF('Rules &amp; Rate'!$B$2&lt;=AF17,1,0)</f>
        <v>0</v>
      </c>
      <c r="BT17">
        <f>IF('Rules &amp; Rate'!$B$2&lt;=AG17,1,0)</f>
        <v>0</v>
      </c>
      <c r="BU17">
        <f>IF('Rules &amp; Rate'!$B$6&lt;=AG17,1,0)</f>
        <v>0</v>
      </c>
      <c r="BV17">
        <v>63478.48</v>
      </c>
      <c r="BW17">
        <f>SUMPRODUCT(AH17:BA17,Labour!$B$2:$U$2)</f>
        <v>322</v>
      </c>
      <c r="BX17">
        <v>99</v>
      </c>
      <c r="BY17">
        <f t="shared" si="1"/>
        <v>421</v>
      </c>
      <c r="BZ17">
        <f>SUMPRODUCT(AH17:BA17,Labour!$B$3:$U$3)</f>
        <v>225868.26500000001</v>
      </c>
      <c r="CA17">
        <f>SUMPRODUCT(BB17:BU17,'Component $'!$B$10:$U$10)</f>
        <v>422699.36300000001</v>
      </c>
      <c r="CB17">
        <f>SUMPRODUCT(BB17:BU17,'Component $'!$B$9:$U$9)</f>
        <v>38907.512999999999</v>
      </c>
      <c r="CC17">
        <f>SUMPRODUCT(BB17:BU17,'Component $'!$B$6:$U$6)</f>
        <v>275949.84999999998</v>
      </c>
      <c r="CD17">
        <f>SUMPRODUCT(BB17:BU17,'Component $'!$B$8:$U$8)</f>
        <v>107842</v>
      </c>
      <c r="CE17">
        <f t="shared" si="0"/>
        <v>648567.62800000003</v>
      </c>
    </row>
    <row r="18" spans="1:83" x14ac:dyDescent="0.25">
      <c r="A18">
        <v>839</v>
      </c>
      <c r="B18">
        <v>2</v>
      </c>
      <c r="C18">
        <v>1</v>
      </c>
      <c r="D18">
        <v>2</v>
      </c>
      <c r="E18">
        <v>2</v>
      </c>
      <c r="F18">
        <v>2</v>
      </c>
      <c r="G18">
        <v>0.9</v>
      </c>
      <c r="H18">
        <v>0.76550387596899228</v>
      </c>
      <c r="I18">
        <v>0.68895348837209303</v>
      </c>
      <c r="J18">
        <v>3950</v>
      </c>
      <c r="K18">
        <v>1.5707912500000001</v>
      </c>
      <c r="L18">
        <v>1.5707912500000001</v>
      </c>
      <c r="M18">
        <v>0.29126999999999997</v>
      </c>
      <c r="N18">
        <v>0.29126999999999997</v>
      </c>
      <c r="O18">
        <v>0.4590009523809524</v>
      </c>
      <c r="P18">
        <v>0.26532516666666667</v>
      </c>
      <c r="Q18">
        <v>1.0351723333333334</v>
      </c>
      <c r="R18">
        <v>0.55203875000000002</v>
      </c>
      <c r="S18">
        <v>6.9662500000000002E-2</v>
      </c>
      <c r="T18">
        <v>1.3036395000000001</v>
      </c>
      <c r="U18">
        <v>0.79597549999999995</v>
      </c>
      <c r="V18">
        <v>0.36094555555555558</v>
      </c>
      <c r="W18">
        <v>0.35133444444444445</v>
      </c>
      <c r="X18">
        <v>0.54414380952380947</v>
      </c>
      <c r="Y18">
        <v>0.14074999999999999</v>
      </c>
      <c r="Z18">
        <v>0.5793233333333333</v>
      </c>
      <c r="AA18">
        <v>1.0351723333333334</v>
      </c>
      <c r="AB18">
        <v>1.0351723333333334</v>
      </c>
      <c r="AC18">
        <v>0.306836</v>
      </c>
      <c r="AD18">
        <v>0.24573571428571428</v>
      </c>
      <c r="AE18">
        <v>0.57943100000000003</v>
      </c>
      <c r="AF18">
        <v>7.9614285714285721E-2</v>
      </c>
      <c r="AG18">
        <v>0.14721033333333333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2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 s="2">
        <f>IF('Rules &amp; Rate'!$B$2&lt;=K18,1,0)</f>
        <v>1</v>
      </c>
      <c r="BC18" s="2">
        <f>IF('Rules &amp; Rate'!$B$2&lt;=L18,1,0)</f>
        <v>1</v>
      </c>
      <c r="BD18" s="2">
        <f>IF('Rules &amp; Rate'!$B$2&lt;=N18,1,0)</f>
        <v>0</v>
      </c>
      <c r="BE18" s="2">
        <f>IF('Rules &amp; Rate'!$B$2&lt;=N18,1,0)</f>
        <v>0</v>
      </c>
      <c r="BF18" s="2">
        <f>IF('Rules &amp; Rate'!$B$3&lt;=O18,1,0)</f>
        <v>0</v>
      </c>
      <c r="BG18" s="2">
        <f>IF('Rules &amp; Rate'!$B$3&lt;=P18,1,0)</f>
        <v>0</v>
      </c>
      <c r="BH18">
        <f>IF('Rules &amp; Rate'!$B$2&lt;=R18,1,0)</f>
        <v>0</v>
      </c>
      <c r="BI18">
        <f>IF('Rules &amp; Rate'!$B$2&lt;=S18,1,0)</f>
        <v>0</v>
      </c>
      <c r="BJ18">
        <f>IF('Rules &amp; Rate'!$B$2&lt;=T18,1,0)</f>
        <v>1</v>
      </c>
      <c r="BK18">
        <f>IF('Rules &amp; Rate'!$B$2&lt;=U18,1,0)</f>
        <v>1</v>
      </c>
      <c r="BL18">
        <f>IF('Rules &amp; Rate'!$B$4&lt;=V18,1,0)</f>
        <v>0</v>
      </c>
      <c r="BM18">
        <f>IF('Rules &amp; Rate'!$B$4&lt;=W18,1,0)</f>
        <v>0</v>
      </c>
      <c r="BN18">
        <f>IF('Rules &amp; Rate'!$B$5&lt;=X18,1,0)</f>
        <v>0</v>
      </c>
      <c r="BO18">
        <f>IF('Rules &amp; Rate'!$B$3&lt;=Y18,1,0)</f>
        <v>0</v>
      </c>
      <c r="BP18">
        <f>IF('Rules &amp; Rate'!$B$3&lt;=Z18,1,0)</f>
        <v>1</v>
      </c>
      <c r="BQ18">
        <f>IF('Rules &amp; Rate'!$B$2&lt;=AD18,1,0)</f>
        <v>0</v>
      </c>
      <c r="BR18">
        <f>IF('Rules &amp; Rate'!$B$2&lt;=AE18,1,0)</f>
        <v>0</v>
      </c>
      <c r="BS18">
        <f>IF('Rules &amp; Rate'!$B$2&lt;=AF18,1,0)</f>
        <v>0</v>
      </c>
      <c r="BT18">
        <f>IF('Rules &amp; Rate'!$B$2&lt;=AG18,1,0)</f>
        <v>0</v>
      </c>
      <c r="BU18">
        <f>IF('Rules &amp; Rate'!$B$6&lt;=AG18,1,0)</f>
        <v>0</v>
      </c>
      <c r="BV18">
        <v>62036.54</v>
      </c>
      <c r="BW18">
        <f>SUMPRODUCT(AH18:BA18,Labour!$B$2:$U$2)</f>
        <v>382</v>
      </c>
      <c r="BX18">
        <v>170</v>
      </c>
      <c r="BY18">
        <f t="shared" si="1"/>
        <v>552</v>
      </c>
      <c r="BZ18">
        <f>SUMPRODUCT(AH18:BA18,Labour!$B$3:$U$3)</f>
        <v>254613.23099999997</v>
      </c>
      <c r="CA18">
        <f>SUMPRODUCT(BB18:BU18,'Component $'!$B$10:$U$10)</f>
        <v>51193.58</v>
      </c>
      <c r="CB18">
        <f>SUMPRODUCT(BB18:BU18,'Component $'!$B$9:$U$9)</f>
        <v>13558.68</v>
      </c>
      <c r="CC18">
        <f>SUMPRODUCT(BB18:BU18,'Component $'!$B$6:$U$6)</f>
        <v>21040.9</v>
      </c>
      <c r="CD18">
        <f>SUMPRODUCT(BB18:BU18,'Component $'!$B$8:$U$8)</f>
        <v>16594</v>
      </c>
      <c r="CE18">
        <f t="shared" si="0"/>
        <v>305806.81099999999</v>
      </c>
    </row>
    <row r="19" spans="1:83" x14ac:dyDescent="0.25">
      <c r="A19">
        <v>840</v>
      </c>
      <c r="B19">
        <v>1</v>
      </c>
      <c r="C19">
        <v>1</v>
      </c>
      <c r="D19">
        <v>2</v>
      </c>
      <c r="E19">
        <v>1</v>
      </c>
      <c r="F19">
        <v>1</v>
      </c>
      <c r="G19">
        <v>0.6</v>
      </c>
      <c r="H19">
        <v>0.19379844961240311</v>
      </c>
      <c r="I19">
        <v>0.11627906976744186</v>
      </c>
      <c r="J19">
        <v>1000</v>
      </c>
      <c r="L19">
        <v>0.78785416666666663</v>
      </c>
      <c r="M19">
        <v>0.68427166666666661</v>
      </c>
      <c r="N19">
        <v>0.68427166666666661</v>
      </c>
      <c r="O19">
        <v>0.2497304761904762</v>
      </c>
      <c r="P19">
        <v>0.31514166666666665</v>
      </c>
      <c r="Q19">
        <v>0.99860533333333334</v>
      </c>
      <c r="R19">
        <v>0.16122500000000001</v>
      </c>
      <c r="S19">
        <v>0.27956874999999998</v>
      </c>
      <c r="T19">
        <v>1.3053794999999999</v>
      </c>
      <c r="U19">
        <v>0.74488949999999998</v>
      </c>
      <c r="V19">
        <v>0.20477222222222222</v>
      </c>
      <c r="W19">
        <v>7.3355555555555549E-2</v>
      </c>
      <c r="X19">
        <v>0.76897809523809524</v>
      </c>
      <c r="Y19">
        <v>0.20477222222222222</v>
      </c>
      <c r="Z19">
        <v>7.3355555555555549E-2</v>
      </c>
      <c r="AA19">
        <v>0.99860533333333334</v>
      </c>
      <c r="AB19">
        <v>0.99860533333333334</v>
      </c>
      <c r="AC19">
        <v>8.2059999999999994E-2</v>
      </c>
      <c r="AD19">
        <v>0.15488571428571429</v>
      </c>
      <c r="AE19">
        <v>0.57965699999999998</v>
      </c>
      <c r="AF19">
        <v>0.32053571428571431</v>
      </c>
      <c r="AG19">
        <v>0.49489716666666667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2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 s="2">
        <f>IF('Rules &amp; Rate'!$B$2&lt;=K19,1,0)</f>
        <v>0</v>
      </c>
      <c r="BC19" s="2">
        <f>IF('Rules &amp; Rate'!$B$2&lt;=L19,1,0)</f>
        <v>1</v>
      </c>
      <c r="BD19" s="2">
        <f>IF('Rules &amp; Rate'!$B$2&lt;=N19,1,0)</f>
        <v>1</v>
      </c>
      <c r="BE19" s="2">
        <f>IF('Rules &amp; Rate'!$B$2&lt;=N19,1,0)</f>
        <v>1</v>
      </c>
      <c r="BF19" s="2">
        <f>IF('Rules &amp; Rate'!$B$3&lt;=O19,1,0)</f>
        <v>0</v>
      </c>
      <c r="BG19" s="2">
        <f>IF('Rules &amp; Rate'!$B$3&lt;=P19,1,0)</f>
        <v>0</v>
      </c>
      <c r="BH19">
        <f>IF('Rules &amp; Rate'!$B$2&lt;=R19,1,0)</f>
        <v>0</v>
      </c>
      <c r="BI19">
        <f>IF('Rules &amp; Rate'!$B$2&lt;=S19,1,0)</f>
        <v>0</v>
      </c>
      <c r="BJ19">
        <f>IF('Rules &amp; Rate'!$B$2&lt;=T19,1,0)</f>
        <v>1</v>
      </c>
      <c r="BK19">
        <f>IF('Rules &amp; Rate'!$B$2&lt;=U19,1,0)</f>
        <v>1</v>
      </c>
      <c r="BL19">
        <f>IF('Rules &amp; Rate'!$B$4&lt;=V19,1,0)</f>
        <v>0</v>
      </c>
      <c r="BM19">
        <f>IF('Rules &amp; Rate'!$B$4&lt;=W19,1,0)</f>
        <v>0</v>
      </c>
      <c r="BN19">
        <f>IF('Rules &amp; Rate'!$B$5&lt;=X19,1,0)</f>
        <v>1</v>
      </c>
      <c r="BO19">
        <f>IF('Rules &amp; Rate'!$B$3&lt;=Y19,1,0)</f>
        <v>0</v>
      </c>
      <c r="BP19">
        <f>IF('Rules &amp; Rate'!$B$3&lt;=Z19,1,0)</f>
        <v>0</v>
      </c>
      <c r="BQ19">
        <f>IF('Rules &amp; Rate'!$B$2&lt;=AD19,1,0)</f>
        <v>0</v>
      </c>
      <c r="BR19">
        <f>IF('Rules &amp; Rate'!$B$2&lt;=AE19,1,0)</f>
        <v>0</v>
      </c>
      <c r="BS19">
        <f>IF('Rules &amp; Rate'!$B$2&lt;=AF19,1,0)</f>
        <v>0</v>
      </c>
      <c r="BT19">
        <f>IF('Rules &amp; Rate'!$B$2&lt;=AG19,1,0)</f>
        <v>0</v>
      </c>
      <c r="BU19">
        <f>IF('Rules &amp; Rate'!$B$6&lt;=AG19,1,0)</f>
        <v>0</v>
      </c>
      <c r="BV19">
        <v>59839.02</v>
      </c>
      <c r="BW19">
        <f>SUMPRODUCT(AH19:BA19,Labour!$B$2:$U$2)</f>
        <v>382</v>
      </c>
      <c r="BX19">
        <v>146</v>
      </c>
      <c r="BY19">
        <f t="shared" si="1"/>
        <v>528</v>
      </c>
      <c r="BZ19">
        <f>SUMPRODUCT(AH19:BA19,Labour!$B$3:$U$3)</f>
        <v>254613.23099999997</v>
      </c>
      <c r="CA19">
        <f>SUMPRODUCT(BB19:BU19,'Component $'!$B$10:$U$10)</f>
        <v>65906.475000000006</v>
      </c>
      <c r="CB19">
        <f>SUMPRODUCT(BB19:BU19,'Component $'!$B$9:$U$9)</f>
        <v>4545.6749999999993</v>
      </c>
      <c r="CC19">
        <f>SUMPRODUCT(BB19:BU19,'Component $'!$B$6:$U$6)</f>
        <v>39422.800000000003</v>
      </c>
      <c r="CD19">
        <f>SUMPRODUCT(BB19:BU19,'Component $'!$B$8:$U$8)</f>
        <v>21938</v>
      </c>
      <c r="CE19">
        <f t="shared" si="0"/>
        <v>320519.70600000001</v>
      </c>
    </row>
    <row r="20" spans="1:83" x14ac:dyDescent="0.25">
      <c r="A20">
        <v>841</v>
      </c>
      <c r="B20">
        <v>1</v>
      </c>
      <c r="C20">
        <v>0</v>
      </c>
      <c r="D20">
        <v>1</v>
      </c>
      <c r="E20">
        <v>1</v>
      </c>
      <c r="F20">
        <v>1</v>
      </c>
      <c r="G20">
        <v>0.4</v>
      </c>
      <c r="H20">
        <v>0</v>
      </c>
      <c r="I20">
        <v>0</v>
      </c>
      <c r="J20">
        <v>0</v>
      </c>
      <c r="K20">
        <v>0.53639124999999999</v>
      </c>
      <c r="L20">
        <v>0.53639124999999999</v>
      </c>
      <c r="M20">
        <v>0.6628466666666667</v>
      </c>
      <c r="N20">
        <v>0.6628466666666667</v>
      </c>
      <c r="O20">
        <v>0.61301857142857141</v>
      </c>
      <c r="P20">
        <v>0.21455650000000001</v>
      </c>
      <c r="Q20">
        <v>0.21455650000000001</v>
      </c>
      <c r="R20">
        <v>9.2206250000000003E-2</v>
      </c>
      <c r="S20">
        <v>0.12142500000000001</v>
      </c>
      <c r="T20">
        <v>0.3725445</v>
      </c>
      <c r="U20">
        <v>0.44682949999999999</v>
      </c>
      <c r="V20">
        <v>0.97462000000000004</v>
      </c>
      <c r="W20">
        <v>1.135815</v>
      </c>
      <c r="X20">
        <v>0.61301857142857141</v>
      </c>
      <c r="Y20">
        <v>0.71518833333333331</v>
      </c>
      <c r="Z20">
        <v>0.71518833333333331</v>
      </c>
      <c r="AA20">
        <v>0.96809999999999996</v>
      </c>
      <c r="AB20">
        <v>0.96809999999999996</v>
      </c>
      <c r="AC20">
        <v>9.7140000000000004E-2</v>
      </c>
      <c r="AD20">
        <v>0.27532857142857142</v>
      </c>
      <c r="AE20">
        <v>0.27913450000000001</v>
      </c>
      <c r="AF20">
        <v>0.27532857142857142</v>
      </c>
      <c r="AG20">
        <v>0.21455650000000001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3</v>
      </c>
      <c r="AO20">
        <v>0</v>
      </c>
      <c r="AP20">
        <v>1</v>
      </c>
      <c r="AQ20">
        <v>1</v>
      </c>
      <c r="AR20">
        <v>1</v>
      </c>
      <c r="AS20">
        <v>0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 s="2">
        <f>IF('Rules &amp; Rate'!$B$2&lt;=K20,1,0)</f>
        <v>0</v>
      </c>
      <c r="BC20" s="2">
        <f>IF('Rules &amp; Rate'!$B$2&lt;=L20,1,0)</f>
        <v>0</v>
      </c>
      <c r="BD20" s="2">
        <f>IF('Rules &amp; Rate'!$B$2&lt;=N20,1,0)</f>
        <v>1</v>
      </c>
      <c r="BE20" s="2">
        <f>IF('Rules &amp; Rate'!$B$2&lt;=N20,1,0)</f>
        <v>1</v>
      </c>
      <c r="BF20" s="2">
        <f>IF('Rules &amp; Rate'!$B$3&lt;=O20,1,0)</f>
        <v>1</v>
      </c>
      <c r="BG20" s="2">
        <f>IF('Rules &amp; Rate'!$B$3&lt;=P20,1,0)</f>
        <v>0</v>
      </c>
      <c r="BH20">
        <f>IF('Rules &amp; Rate'!$B$2&lt;=R20,1,0)</f>
        <v>0</v>
      </c>
      <c r="BI20">
        <f>IF('Rules &amp; Rate'!$B$2&lt;=S20,1,0)</f>
        <v>0</v>
      </c>
      <c r="BJ20">
        <f>IF('Rules &amp; Rate'!$B$2&lt;=T20,1,0)</f>
        <v>0</v>
      </c>
      <c r="BK20">
        <f>IF('Rules &amp; Rate'!$B$2&lt;=U20,1,0)</f>
        <v>0</v>
      </c>
      <c r="BL20">
        <f>IF('Rules &amp; Rate'!$B$4&lt;=V20,1,0)</f>
        <v>1</v>
      </c>
      <c r="BM20">
        <f>IF('Rules &amp; Rate'!$B$4&lt;=W20,1,0)</f>
        <v>1</v>
      </c>
      <c r="BN20">
        <f>IF('Rules &amp; Rate'!$B$5&lt;=X20,1,0)</f>
        <v>0</v>
      </c>
      <c r="BO20">
        <f>IF('Rules &amp; Rate'!$B$3&lt;=Y20,1,0)</f>
        <v>1</v>
      </c>
      <c r="BP20">
        <f>IF('Rules &amp; Rate'!$B$3&lt;=Z20,1,0)</f>
        <v>1</v>
      </c>
      <c r="BQ20">
        <f>IF('Rules &amp; Rate'!$B$2&lt;=AD20,1,0)</f>
        <v>0</v>
      </c>
      <c r="BR20">
        <f>IF('Rules &amp; Rate'!$B$2&lt;=AE20,1,0)</f>
        <v>0</v>
      </c>
      <c r="BS20">
        <f>IF('Rules &amp; Rate'!$B$2&lt;=AF20,1,0)</f>
        <v>0</v>
      </c>
      <c r="BT20">
        <f>IF('Rules &amp; Rate'!$B$2&lt;=AG20,1,0)</f>
        <v>0</v>
      </c>
      <c r="BU20">
        <f>IF('Rules &amp; Rate'!$B$6&lt;=AG20,1,0)</f>
        <v>0</v>
      </c>
      <c r="BV20">
        <v>58086.01</v>
      </c>
      <c r="BW20">
        <f>SUMPRODUCT(AH20:BA20,Labour!$B$2:$U$2)</f>
        <v>328</v>
      </c>
      <c r="BX20">
        <v>122</v>
      </c>
      <c r="BY20">
        <f t="shared" si="1"/>
        <v>450</v>
      </c>
      <c r="BZ20">
        <f>SUMPRODUCT(AH20:BA20,Labour!$B$3:$U$3)</f>
        <v>232150.26499999996</v>
      </c>
      <c r="CA20">
        <f>SUMPRODUCT(BB20:BU20,'Component $'!$B$10:$U$10)</f>
        <v>410635.59</v>
      </c>
      <c r="CB20">
        <f>SUMPRODUCT(BB20:BU20,'Component $'!$B$9:$U$9)</f>
        <v>43842.69</v>
      </c>
      <c r="CC20">
        <f>SUMPRODUCT(BB20:BU20,'Component $'!$B$6:$U$6)</f>
        <v>290898.90000000002</v>
      </c>
      <c r="CD20">
        <f>SUMPRODUCT(BB20:BU20,'Component $'!$B$8:$U$8)</f>
        <v>75894</v>
      </c>
      <c r="CE20">
        <f t="shared" si="0"/>
        <v>642785.85499999998</v>
      </c>
    </row>
    <row r="21" spans="1:83" x14ac:dyDescent="0.25">
      <c r="A21">
        <v>842</v>
      </c>
      <c r="B21">
        <v>1</v>
      </c>
      <c r="C21">
        <v>0</v>
      </c>
      <c r="D21">
        <v>1</v>
      </c>
      <c r="E21">
        <v>1</v>
      </c>
      <c r="F21">
        <v>1</v>
      </c>
      <c r="G21">
        <v>0.4</v>
      </c>
      <c r="H21">
        <v>0</v>
      </c>
      <c r="I21">
        <v>0</v>
      </c>
      <c r="J21">
        <v>0</v>
      </c>
      <c r="K21">
        <v>0.43228541666666664</v>
      </c>
      <c r="L21">
        <v>0.43228541666666664</v>
      </c>
      <c r="M21">
        <v>0.59740027777777782</v>
      </c>
      <c r="N21">
        <v>0.59740027777777782</v>
      </c>
      <c r="O21">
        <v>0.2196595238095238</v>
      </c>
      <c r="P21">
        <v>0.89830866666666664</v>
      </c>
      <c r="Q21">
        <v>0.17291416666666667</v>
      </c>
      <c r="R21">
        <v>0.14578125</v>
      </c>
      <c r="S21">
        <v>0.14578125</v>
      </c>
      <c r="T21">
        <v>9.9100000000000004E-3</v>
      </c>
      <c r="U21">
        <v>0.90441700000000003</v>
      </c>
      <c r="V21">
        <v>5.7344444444444448E-2</v>
      </c>
      <c r="W21">
        <v>0.57638055555555556</v>
      </c>
      <c r="X21">
        <v>0.4940404761904762</v>
      </c>
      <c r="Y21">
        <v>0.57638055555555556</v>
      </c>
      <c r="Z21">
        <v>0.57638055555555556</v>
      </c>
      <c r="AA21">
        <v>0.89830866666666664</v>
      </c>
      <c r="AB21">
        <v>0.89830866666666664</v>
      </c>
      <c r="AC21">
        <v>8.4720000000000004E-2</v>
      </c>
      <c r="AD21">
        <v>0.16660714285714287</v>
      </c>
      <c r="AE21">
        <v>8.4720000000000004E-2</v>
      </c>
      <c r="AF21">
        <v>0.74106071428571429</v>
      </c>
      <c r="AG21">
        <v>0.89830866666666664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4</v>
      </c>
      <c r="AO21">
        <v>1</v>
      </c>
      <c r="AP21">
        <v>1</v>
      </c>
      <c r="AQ21">
        <v>1</v>
      </c>
      <c r="AR21">
        <v>1</v>
      </c>
      <c r="AS21">
        <v>0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 s="2">
        <f>IF('Rules &amp; Rate'!$B$2&lt;=K21,1,0)</f>
        <v>0</v>
      </c>
      <c r="BC21" s="2">
        <f>IF('Rules &amp; Rate'!$B$2&lt;=L21,1,0)</f>
        <v>0</v>
      </c>
      <c r="BD21" s="2">
        <f>IF('Rules &amp; Rate'!$B$2&lt;=N21,1,0)</f>
        <v>0</v>
      </c>
      <c r="BE21" s="2">
        <f>IF('Rules &amp; Rate'!$B$2&lt;=N21,1,0)</f>
        <v>0</v>
      </c>
      <c r="BF21" s="2">
        <f>IF('Rules &amp; Rate'!$B$3&lt;=O21,1,0)</f>
        <v>0</v>
      </c>
      <c r="BG21" s="2">
        <f>IF('Rules &amp; Rate'!$B$3&lt;=P21,1,0)</f>
        <v>1</v>
      </c>
      <c r="BH21">
        <f>IF('Rules &amp; Rate'!$B$2&lt;=R21,1,0)</f>
        <v>0</v>
      </c>
      <c r="BI21">
        <f>IF('Rules &amp; Rate'!$B$2&lt;=S21,1,0)</f>
        <v>0</v>
      </c>
      <c r="BJ21">
        <f>IF('Rules &amp; Rate'!$B$2&lt;=T21,1,0)</f>
        <v>0</v>
      </c>
      <c r="BK21">
        <f>IF('Rules &amp; Rate'!$B$2&lt;=U21,1,0)</f>
        <v>1</v>
      </c>
      <c r="BL21">
        <f>IF('Rules &amp; Rate'!$B$4&lt;=V21,1,0)</f>
        <v>0</v>
      </c>
      <c r="BM21">
        <f>IF('Rules &amp; Rate'!$B$4&lt;=W21,1,0)</f>
        <v>0</v>
      </c>
      <c r="BN21">
        <f>IF('Rules &amp; Rate'!$B$5&lt;=X21,1,0)</f>
        <v>0</v>
      </c>
      <c r="BO21">
        <f>IF('Rules &amp; Rate'!$B$3&lt;=Y21,1,0)</f>
        <v>1</v>
      </c>
      <c r="BP21">
        <f>IF('Rules &amp; Rate'!$B$3&lt;=Z21,1,0)</f>
        <v>1</v>
      </c>
      <c r="BQ21">
        <f>IF('Rules &amp; Rate'!$B$2&lt;=AD21,1,0)</f>
        <v>0</v>
      </c>
      <c r="BR21">
        <f>IF('Rules &amp; Rate'!$B$2&lt;=AE21,1,0)</f>
        <v>0</v>
      </c>
      <c r="BS21">
        <f>IF('Rules &amp; Rate'!$B$2&lt;=AF21,1,0)</f>
        <v>1</v>
      </c>
      <c r="BT21">
        <f>IF('Rules &amp; Rate'!$B$2&lt;=AG21,1,0)</f>
        <v>1</v>
      </c>
      <c r="BU21">
        <f>IF('Rules &amp; Rate'!$B$6&lt;=AG21,1,0)</f>
        <v>1</v>
      </c>
      <c r="BV21">
        <v>53901.38</v>
      </c>
      <c r="BW21">
        <f>SUMPRODUCT(AH21:BA21,Labour!$B$2:$U$2)</f>
        <v>346</v>
      </c>
      <c r="BX21">
        <v>178</v>
      </c>
      <c r="BY21">
        <f t="shared" si="1"/>
        <v>524</v>
      </c>
      <c r="BZ21">
        <f>SUMPRODUCT(AH21:BA21,Labour!$B$3:$U$3)</f>
        <v>250697.24099999998</v>
      </c>
      <c r="CA21">
        <f>SUMPRODUCT(BB21:BU21,'Component $'!$B$10:$U$10)</f>
        <v>130919.37780000002</v>
      </c>
      <c r="CB21">
        <f>SUMPRODUCT(BB21:BU21,'Component $'!$B$9:$U$9)</f>
        <v>36708.427799999998</v>
      </c>
      <c r="CC21">
        <f>SUMPRODUCT(BB21:BU21,'Component $'!$B$6:$U$6)</f>
        <v>68699.95</v>
      </c>
      <c r="CD21">
        <f>SUMPRODUCT(BB21:BU21,'Component $'!$B$8:$U$8)</f>
        <v>25511</v>
      </c>
      <c r="CE21">
        <f t="shared" si="0"/>
        <v>381616.6188</v>
      </c>
    </row>
    <row r="22" spans="1:83" x14ac:dyDescent="0.25">
      <c r="A22">
        <v>843</v>
      </c>
      <c r="B22">
        <v>1</v>
      </c>
      <c r="C22">
        <v>0</v>
      </c>
      <c r="D22">
        <v>1</v>
      </c>
      <c r="E22">
        <v>2</v>
      </c>
      <c r="F22">
        <v>0</v>
      </c>
      <c r="G22">
        <v>0.4</v>
      </c>
      <c r="H22">
        <v>0.13953488372093023</v>
      </c>
      <c r="I22">
        <v>5.5813953488372092E-2</v>
      </c>
      <c r="J22">
        <v>720</v>
      </c>
      <c r="K22">
        <v>0.73590875</v>
      </c>
      <c r="L22">
        <v>0.73590875</v>
      </c>
      <c r="M22">
        <v>0.47830944444444445</v>
      </c>
      <c r="N22">
        <v>0.36636249999999998</v>
      </c>
      <c r="O22">
        <v>0.78167857142857144</v>
      </c>
      <c r="P22">
        <v>0.29311616666666668</v>
      </c>
      <c r="Q22">
        <v>0.95532550000000005</v>
      </c>
      <c r="R22">
        <v>0.73158437499999995</v>
      </c>
      <c r="S22">
        <v>0.60630937500000004</v>
      </c>
      <c r="T22">
        <v>0.75812400000000002</v>
      </c>
      <c r="U22">
        <v>0.5383675</v>
      </c>
      <c r="V22">
        <v>0.31763611111111112</v>
      </c>
      <c r="W22">
        <v>1.2400994444444444</v>
      </c>
      <c r="X22">
        <v>0.78167857142857144</v>
      </c>
      <c r="Y22">
        <v>0.31653611111111113</v>
      </c>
      <c r="AA22">
        <v>0.95532550000000005</v>
      </c>
      <c r="AB22">
        <v>0.95532550000000005</v>
      </c>
      <c r="AC22">
        <v>9.418E-2</v>
      </c>
      <c r="AD22">
        <v>9.9607142857142852E-2</v>
      </c>
      <c r="AE22">
        <v>9.418E-2</v>
      </c>
      <c r="AF22">
        <v>0.20407142857142857</v>
      </c>
      <c r="AG22">
        <v>0.95532550000000005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4</v>
      </c>
      <c r="AO22">
        <v>1</v>
      </c>
      <c r="AP22">
        <v>1</v>
      </c>
      <c r="AQ22">
        <v>1</v>
      </c>
      <c r="AR22">
        <v>1</v>
      </c>
      <c r="AS22">
        <v>0</v>
      </c>
      <c r="AT22">
        <v>0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 s="2">
        <f>IF('Rules &amp; Rate'!$B$2&lt;=K22,1,0)</f>
        <v>1</v>
      </c>
      <c r="BC22" s="2">
        <f>IF('Rules &amp; Rate'!$B$2&lt;=L22,1,0)</f>
        <v>1</v>
      </c>
      <c r="BD22" s="2">
        <f>IF('Rules &amp; Rate'!$B$2&lt;=N22,1,0)</f>
        <v>0</v>
      </c>
      <c r="BE22" s="2">
        <f>IF('Rules &amp; Rate'!$B$2&lt;=N22,1,0)</f>
        <v>0</v>
      </c>
      <c r="BF22" s="2">
        <f>IF('Rules &amp; Rate'!$B$3&lt;=O22,1,0)</f>
        <v>1</v>
      </c>
      <c r="BG22" s="2">
        <f>IF('Rules &amp; Rate'!$B$3&lt;=P22,1,0)</f>
        <v>0</v>
      </c>
      <c r="BH22">
        <f>IF('Rules &amp; Rate'!$B$2&lt;=R22,1,0)</f>
        <v>1</v>
      </c>
      <c r="BI22">
        <f>IF('Rules &amp; Rate'!$B$2&lt;=S22,1,0)</f>
        <v>0</v>
      </c>
      <c r="BJ22">
        <f>IF('Rules &amp; Rate'!$B$2&lt;=T22,1,0)</f>
        <v>1</v>
      </c>
      <c r="BK22">
        <f>IF('Rules &amp; Rate'!$B$2&lt;=U22,1,0)</f>
        <v>0</v>
      </c>
      <c r="BL22">
        <f>IF('Rules &amp; Rate'!$B$4&lt;=V22,1,0)</f>
        <v>0</v>
      </c>
      <c r="BM22">
        <f>IF('Rules &amp; Rate'!$B$4&lt;=W22,1,0)</f>
        <v>1</v>
      </c>
      <c r="BN22">
        <f>IF('Rules &amp; Rate'!$B$5&lt;=X22,1,0)</f>
        <v>1</v>
      </c>
      <c r="BO22">
        <f>IF('Rules &amp; Rate'!$B$3&lt;=Y22,1,0)</f>
        <v>0</v>
      </c>
      <c r="BP22">
        <f>IF('Rules &amp; Rate'!$B$3&lt;=Z22,1,0)</f>
        <v>0</v>
      </c>
      <c r="BQ22">
        <f>IF('Rules &amp; Rate'!$B$2&lt;=AD22,1,0)</f>
        <v>0</v>
      </c>
      <c r="BR22">
        <f>IF('Rules &amp; Rate'!$B$2&lt;=AE22,1,0)</f>
        <v>0</v>
      </c>
      <c r="BS22">
        <f>IF('Rules &amp; Rate'!$B$2&lt;=AF22,1,0)</f>
        <v>0</v>
      </c>
      <c r="BT22">
        <f>IF('Rules &amp; Rate'!$B$2&lt;=AG22,1,0)</f>
        <v>1</v>
      </c>
      <c r="BU22">
        <f>IF('Rules &amp; Rate'!$B$6&lt;=AG22,1,0)</f>
        <v>1</v>
      </c>
      <c r="BV22">
        <v>57319.53</v>
      </c>
      <c r="BW22">
        <f>SUMPRODUCT(AH22:BA22,Labour!$B$2:$U$2)</f>
        <v>298</v>
      </c>
      <c r="BX22">
        <v>185</v>
      </c>
      <c r="BY22">
        <f t="shared" si="1"/>
        <v>483</v>
      </c>
      <c r="BZ22">
        <f>SUMPRODUCT(AH22:BA22,Labour!$B$3:$U$3)</f>
        <v>236173.19099999999</v>
      </c>
      <c r="CA22">
        <f>SUMPRODUCT(BB22:BU22,'Component $'!$B$10:$U$10)</f>
        <v>302501.67939999996</v>
      </c>
      <c r="CB22">
        <f>SUMPRODUCT(BB22:BU22,'Component $'!$B$9:$U$9)</f>
        <v>30731.7294</v>
      </c>
      <c r="CC22">
        <f>SUMPRODUCT(BB22:BU22,'Component $'!$B$6:$U$6)</f>
        <v>191909.95</v>
      </c>
      <c r="CD22">
        <f>SUMPRODUCT(BB22:BU22,'Component $'!$B$8:$U$8)</f>
        <v>79860</v>
      </c>
      <c r="CE22">
        <f t="shared" si="0"/>
        <v>538674.8703999999</v>
      </c>
    </row>
    <row r="23" spans="1:83" x14ac:dyDescent="0.25">
      <c r="A23">
        <v>844</v>
      </c>
      <c r="B23">
        <v>1</v>
      </c>
      <c r="C23">
        <v>1</v>
      </c>
      <c r="D23">
        <v>2</v>
      </c>
      <c r="E23">
        <v>1</v>
      </c>
      <c r="F23">
        <v>0</v>
      </c>
      <c r="G23">
        <v>0.5</v>
      </c>
      <c r="H23">
        <v>0.18023255813953487</v>
      </c>
      <c r="I23">
        <v>9.0116279069767435E-2</v>
      </c>
      <c r="J23">
        <v>930</v>
      </c>
      <c r="K23">
        <v>0.50611041666666667</v>
      </c>
      <c r="L23">
        <v>0.50611041666666667</v>
      </c>
      <c r="M23">
        <v>0.75047111111111109</v>
      </c>
      <c r="N23">
        <v>0.75047111111111109</v>
      </c>
      <c r="O23">
        <v>0.35014523809523812</v>
      </c>
      <c r="P23">
        <v>0.98781066666666661</v>
      </c>
      <c r="Q23">
        <v>0.20244416666666668</v>
      </c>
      <c r="R23">
        <v>0.93364374999999999</v>
      </c>
      <c r="S23">
        <v>0.13405624999999999</v>
      </c>
      <c r="T23">
        <v>0.107345</v>
      </c>
      <c r="U23">
        <v>0.107345</v>
      </c>
      <c r="V23">
        <v>0.22408888888888889</v>
      </c>
      <c r="W23">
        <v>3.2444444444444442E-2</v>
      </c>
      <c r="X23">
        <v>0.57841190476190474</v>
      </c>
      <c r="Y23">
        <v>0.67481388888888894</v>
      </c>
      <c r="Z23">
        <v>0.67476388888888894</v>
      </c>
      <c r="AA23">
        <v>0.98781066666666661</v>
      </c>
      <c r="AB23">
        <v>0.98781066666666661</v>
      </c>
      <c r="AC23">
        <v>0.37188749999999998</v>
      </c>
      <c r="AD23">
        <v>0.33708571428571427</v>
      </c>
      <c r="AE23">
        <v>0.60733250000000005</v>
      </c>
      <c r="AF23">
        <v>0.2992642857142857</v>
      </c>
      <c r="AG23">
        <v>0.98781066666666661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2</v>
      </c>
      <c r="AO23">
        <v>0</v>
      </c>
      <c r="AP23">
        <v>1</v>
      </c>
      <c r="AQ23">
        <v>1</v>
      </c>
      <c r="AR23">
        <v>1</v>
      </c>
      <c r="AS23">
        <v>1</v>
      </c>
      <c r="AT23">
        <v>0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 s="2">
        <f>IF('Rules &amp; Rate'!$B$2&lt;=K23,1,0)</f>
        <v>0</v>
      </c>
      <c r="BC23" s="2">
        <f>IF('Rules &amp; Rate'!$B$2&lt;=L23,1,0)</f>
        <v>0</v>
      </c>
      <c r="BD23" s="2">
        <f>IF('Rules &amp; Rate'!$B$2&lt;=N23,1,0)</f>
        <v>1</v>
      </c>
      <c r="BE23" s="2">
        <f>IF('Rules &amp; Rate'!$B$2&lt;=N23,1,0)</f>
        <v>1</v>
      </c>
      <c r="BF23" s="2">
        <f>IF('Rules &amp; Rate'!$B$3&lt;=O23,1,0)</f>
        <v>0</v>
      </c>
      <c r="BG23" s="2">
        <f>IF('Rules &amp; Rate'!$B$3&lt;=P23,1,0)</f>
        <v>1</v>
      </c>
      <c r="BH23">
        <f>IF('Rules &amp; Rate'!$B$2&lt;=R23,1,0)</f>
        <v>1</v>
      </c>
      <c r="BI23">
        <f>IF('Rules &amp; Rate'!$B$2&lt;=S23,1,0)</f>
        <v>0</v>
      </c>
      <c r="BJ23">
        <f>IF('Rules &amp; Rate'!$B$2&lt;=T23,1,0)</f>
        <v>0</v>
      </c>
      <c r="BK23">
        <f>IF('Rules &amp; Rate'!$B$2&lt;=U23,1,0)</f>
        <v>0</v>
      </c>
      <c r="BL23">
        <f>IF('Rules &amp; Rate'!$B$4&lt;=V23,1,0)</f>
        <v>0</v>
      </c>
      <c r="BM23">
        <f>IF('Rules &amp; Rate'!$B$4&lt;=W23,1,0)</f>
        <v>0</v>
      </c>
      <c r="BN23">
        <f>IF('Rules &amp; Rate'!$B$5&lt;=X23,1,0)</f>
        <v>0</v>
      </c>
      <c r="BO23">
        <f>IF('Rules &amp; Rate'!$B$3&lt;=Y23,1,0)</f>
        <v>1</v>
      </c>
      <c r="BP23">
        <f>IF('Rules &amp; Rate'!$B$3&lt;=Z23,1,0)</f>
        <v>1</v>
      </c>
      <c r="BQ23">
        <f>IF('Rules &amp; Rate'!$B$2&lt;=AD23,1,0)</f>
        <v>0</v>
      </c>
      <c r="BR23">
        <f>IF('Rules &amp; Rate'!$B$2&lt;=AE23,1,0)</f>
        <v>0</v>
      </c>
      <c r="BS23">
        <f>IF('Rules &amp; Rate'!$B$2&lt;=AF23,1,0)</f>
        <v>0</v>
      </c>
      <c r="BT23">
        <f>IF('Rules &amp; Rate'!$B$2&lt;=AG23,1,0)</f>
        <v>1</v>
      </c>
      <c r="BU23">
        <f>IF('Rules &amp; Rate'!$B$6&lt;=AG23,1,0)</f>
        <v>1</v>
      </c>
      <c r="BV23">
        <v>59163.34</v>
      </c>
      <c r="BW23">
        <f>SUMPRODUCT(AH23:BA23,Labour!$B$2:$U$2)</f>
        <v>322</v>
      </c>
      <c r="BX23">
        <v>192</v>
      </c>
      <c r="BY23">
        <f t="shared" si="1"/>
        <v>514</v>
      </c>
      <c r="BZ23">
        <f>SUMPRODUCT(AH23:BA23,Labour!$B$3:$U$3)</f>
        <v>227824.20500000002</v>
      </c>
      <c r="CA23">
        <f>SUMPRODUCT(BB23:BU23,'Component $'!$B$10:$U$10)</f>
        <v>152156.55440000002</v>
      </c>
      <c r="CB23">
        <f>SUMPRODUCT(BB23:BU23,'Component $'!$B$9:$U$9)</f>
        <v>38600.654399999999</v>
      </c>
      <c r="CC23">
        <f>SUMPRODUCT(BB23:BU23,'Component $'!$B$6:$U$6)</f>
        <v>70048.899999999994</v>
      </c>
      <c r="CD23">
        <f>SUMPRODUCT(BB23:BU23,'Component $'!$B$8:$U$8)</f>
        <v>43507</v>
      </c>
      <c r="CE23">
        <f t="shared" si="0"/>
        <v>379980.75940000004</v>
      </c>
    </row>
    <row r="24" spans="1:83" x14ac:dyDescent="0.25">
      <c r="A24">
        <v>845</v>
      </c>
      <c r="B24">
        <v>1</v>
      </c>
      <c r="C24">
        <v>1</v>
      </c>
      <c r="D24">
        <v>1</v>
      </c>
      <c r="E24">
        <v>2</v>
      </c>
      <c r="F24">
        <v>1</v>
      </c>
      <c r="G24">
        <v>0.6</v>
      </c>
      <c r="H24">
        <v>0.46124031007751937</v>
      </c>
      <c r="I24">
        <v>0.27674418604651163</v>
      </c>
      <c r="J24">
        <v>2380</v>
      </c>
      <c r="K24">
        <v>0.45362708333333335</v>
      </c>
      <c r="L24">
        <v>0.45362708333333335</v>
      </c>
      <c r="M24">
        <v>0.30638472222222224</v>
      </c>
      <c r="N24">
        <v>0.30638472222222224</v>
      </c>
      <c r="O24">
        <v>0.51843095238095238</v>
      </c>
      <c r="P24">
        <v>0.96481249999999996</v>
      </c>
      <c r="Q24">
        <v>0.18145083333333334</v>
      </c>
      <c r="R24">
        <v>0.26169999999999999</v>
      </c>
      <c r="S24">
        <v>0.17585000000000001</v>
      </c>
      <c r="T24">
        <v>1.1537379999999999</v>
      </c>
      <c r="U24">
        <v>6.2710000000000002E-2</v>
      </c>
      <c r="V24">
        <v>0.60483611111111113</v>
      </c>
      <c r="W24">
        <v>0.15631111111111112</v>
      </c>
      <c r="X24">
        <v>0.51843095238095238</v>
      </c>
      <c r="Y24">
        <v>0.47502499999999998</v>
      </c>
      <c r="Z24">
        <v>0.15631111111111112</v>
      </c>
      <c r="AA24">
        <v>0.96481249999999996</v>
      </c>
      <c r="AB24">
        <v>0.96481249999999996</v>
      </c>
      <c r="AC24">
        <v>0.54435250000000002</v>
      </c>
      <c r="AD24">
        <v>1.9785714285714285E-2</v>
      </c>
      <c r="AE24">
        <v>9.0054999999999996E-2</v>
      </c>
      <c r="AF24">
        <v>1.9785714285714285E-2</v>
      </c>
      <c r="AG24">
        <v>0.96481249999999996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2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 s="2">
        <f>IF('Rules &amp; Rate'!$B$2&lt;=K24,1,0)</f>
        <v>0</v>
      </c>
      <c r="BC24" s="2">
        <f>IF('Rules &amp; Rate'!$B$2&lt;=L24,1,0)</f>
        <v>0</v>
      </c>
      <c r="BD24" s="2">
        <f>IF('Rules &amp; Rate'!$B$2&lt;=N24,1,0)</f>
        <v>0</v>
      </c>
      <c r="BE24" s="2">
        <f>IF('Rules &amp; Rate'!$B$2&lt;=N24,1,0)</f>
        <v>0</v>
      </c>
      <c r="BF24" s="2">
        <f>IF('Rules &amp; Rate'!$B$3&lt;=O24,1,0)</f>
        <v>1</v>
      </c>
      <c r="BG24" s="2">
        <f>IF('Rules &amp; Rate'!$B$3&lt;=P24,1,0)</f>
        <v>1</v>
      </c>
      <c r="BH24">
        <f>IF('Rules &amp; Rate'!$B$2&lt;=R24,1,0)</f>
        <v>0</v>
      </c>
      <c r="BI24">
        <f>IF('Rules &amp; Rate'!$B$2&lt;=S24,1,0)</f>
        <v>0</v>
      </c>
      <c r="BJ24">
        <f>IF('Rules &amp; Rate'!$B$2&lt;=T24,1,0)</f>
        <v>1</v>
      </c>
      <c r="BK24">
        <f>IF('Rules &amp; Rate'!$B$2&lt;=U24,1,0)</f>
        <v>0</v>
      </c>
      <c r="BL24">
        <f>IF('Rules &amp; Rate'!$B$4&lt;=V24,1,0)</f>
        <v>0</v>
      </c>
      <c r="BM24">
        <f>IF('Rules &amp; Rate'!$B$4&lt;=W24,1,0)</f>
        <v>0</v>
      </c>
      <c r="BN24">
        <f>IF('Rules &amp; Rate'!$B$5&lt;=X24,1,0)</f>
        <v>0</v>
      </c>
      <c r="BO24">
        <f>IF('Rules &amp; Rate'!$B$3&lt;=Y24,1,0)</f>
        <v>0</v>
      </c>
      <c r="BP24">
        <f>IF('Rules &amp; Rate'!$B$3&lt;=Z24,1,0)</f>
        <v>0</v>
      </c>
      <c r="BQ24">
        <f>IF('Rules &amp; Rate'!$B$2&lt;=AD24,1,0)</f>
        <v>0</v>
      </c>
      <c r="BR24">
        <f>IF('Rules &amp; Rate'!$B$2&lt;=AE24,1,0)</f>
        <v>0</v>
      </c>
      <c r="BS24">
        <f>IF('Rules &amp; Rate'!$B$2&lt;=AF24,1,0)</f>
        <v>0</v>
      </c>
      <c r="BT24">
        <f>IF('Rules &amp; Rate'!$B$2&lt;=AG24,1,0)</f>
        <v>1</v>
      </c>
      <c r="BU24">
        <f>IF('Rules &amp; Rate'!$B$6&lt;=AG24,1,0)</f>
        <v>1</v>
      </c>
      <c r="BV24">
        <v>57888.75</v>
      </c>
      <c r="BW24">
        <f>SUMPRODUCT(AH24:BA24,Labour!$B$2:$U$2)</f>
        <v>382</v>
      </c>
      <c r="BX24">
        <v>174</v>
      </c>
      <c r="BY24">
        <f t="shared" si="1"/>
        <v>556</v>
      </c>
      <c r="BZ24">
        <f>SUMPRODUCT(AH24:BA24,Labour!$B$3:$U$3)</f>
        <v>254613.23099999997</v>
      </c>
      <c r="CA24">
        <f>SUMPRODUCT(BB24:BU24,'Component $'!$B$10:$U$10)</f>
        <v>89362.371400000004</v>
      </c>
      <c r="CB24">
        <f>SUMPRODUCT(BB24:BU24,'Component $'!$B$9:$U$9)</f>
        <v>23875.421399999999</v>
      </c>
      <c r="CC24">
        <f>SUMPRODUCT(BB24:BU24,'Component $'!$B$6:$U$6)</f>
        <v>46427.95</v>
      </c>
      <c r="CD24">
        <f>SUMPRODUCT(BB24:BU24,'Component $'!$B$8:$U$8)</f>
        <v>19059</v>
      </c>
      <c r="CE24">
        <f t="shared" si="0"/>
        <v>343975.60239999997</v>
      </c>
    </row>
    <row r="25" spans="1:83" x14ac:dyDescent="0.25">
      <c r="A25">
        <v>846</v>
      </c>
      <c r="B25">
        <v>1</v>
      </c>
      <c r="C25">
        <v>0</v>
      </c>
      <c r="D25">
        <v>1</v>
      </c>
      <c r="E25">
        <v>1</v>
      </c>
      <c r="F25">
        <v>1</v>
      </c>
      <c r="G25">
        <v>0.4</v>
      </c>
      <c r="H25">
        <v>9.6899224806201556E-2</v>
      </c>
      <c r="I25">
        <v>3.8759689922480627E-2</v>
      </c>
      <c r="J25">
        <v>500</v>
      </c>
      <c r="K25">
        <v>0.7601633333333333</v>
      </c>
      <c r="L25">
        <v>0.7601633333333333</v>
      </c>
      <c r="M25">
        <v>0.76737444444444447</v>
      </c>
      <c r="N25">
        <v>0.76737444444444447</v>
      </c>
      <c r="O25">
        <v>0.86875809523809522</v>
      </c>
      <c r="P25">
        <v>0.30406533333333335</v>
      </c>
      <c r="Q25">
        <v>0.97001800000000005</v>
      </c>
      <c r="R25">
        <v>0.31133</v>
      </c>
      <c r="S25">
        <v>0.19045624999999999</v>
      </c>
      <c r="T25">
        <v>0</v>
      </c>
      <c r="U25">
        <v>0.69552499999999995</v>
      </c>
      <c r="V25">
        <v>8.7838888888888883E-2</v>
      </c>
      <c r="W25">
        <v>0.47514333333333331</v>
      </c>
      <c r="X25">
        <v>0.86875809523809522</v>
      </c>
      <c r="Y25">
        <v>8.7838888888888883E-2</v>
      </c>
      <c r="Z25">
        <v>1.0135511111111111</v>
      </c>
      <c r="AA25">
        <v>0.97001800000000005</v>
      </c>
      <c r="AB25">
        <v>0.97001800000000005</v>
      </c>
      <c r="AC25">
        <v>0.80135599999999996</v>
      </c>
      <c r="AD25">
        <v>8.8528571428571429E-2</v>
      </c>
      <c r="AE25">
        <v>0.46496900000000002</v>
      </c>
      <c r="AF25">
        <v>0.18425714285714287</v>
      </c>
      <c r="AG25">
        <v>0.30406533333333335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3</v>
      </c>
      <c r="AO25">
        <v>1</v>
      </c>
      <c r="AP25">
        <v>1</v>
      </c>
      <c r="AQ25">
        <v>1</v>
      </c>
      <c r="AR25">
        <v>1</v>
      </c>
      <c r="AS25">
        <v>0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 s="2">
        <f>IF('Rules &amp; Rate'!$B$2&lt;=K25,1,0)</f>
        <v>1</v>
      </c>
      <c r="BC25" s="2">
        <f>IF('Rules &amp; Rate'!$B$2&lt;=L25,1,0)</f>
        <v>1</v>
      </c>
      <c r="BD25" s="2">
        <f>IF('Rules &amp; Rate'!$B$2&lt;=N25,1,0)</f>
        <v>1</v>
      </c>
      <c r="BE25" s="2">
        <f>IF('Rules &amp; Rate'!$B$2&lt;=N25,1,0)</f>
        <v>1</v>
      </c>
      <c r="BF25" s="2">
        <f>IF('Rules &amp; Rate'!$B$3&lt;=O25,1,0)</f>
        <v>1</v>
      </c>
      <c r="BG25" s="2">
        <f>IF('Rules &amp; Rate'!$B$3&lt;=P25,1,0)</f>
        <v>0</v>
      </c>
      <c r="BH25">
        <f>IF('Rules &amp; Rate'!$B$2&lt;=R25,1,0)</f>
        <v>0</v>
      </c>
      <c r="BI25">
        <f>IF('Rules &amp; Rate'!$B$2&lt;=S25,1,0)</f>
        <v>0</v>
      </c>
      <c r="BJ25">
        <f>IF('Rules &amp; Rate'!$B$2&lt;=T25,1,0)</f>
        <v>0</v>
      </c>
      <c r="BK25">
        <f>IF('Rules &amp; Rate'!$B$2&lt;=U25,1,0)</f>
        <v>1</v>
      </c>
      <c r="BL25">
        <f>IF('Rules &amp; Rate'!$B$4&lt;=V25,1,0)</f>
        <v>0</v>
      </c>
      <c r="BM25">
        <f>IF('Rules &amp; Rate'!$B$4&lt;=W25,1,0)</f>
        <v>0</v>
      </c>
      <c r="BN25">
        <f>IF('Rules &amp; Rate'!$B$5&lt;=X25,1,0)</f>
        <v>1</v>
      </c>
      <c r="BO25">
        <f>IF('Rules &amp; Rate'!$B$3&lt;=Y25,1,0)</f>
        <v>0</v>
      </c>
      <c r="BP25">
        <f>IF('Rules &amp; Rate'!$B$3&lt;=Z25,1,0)</f>
        <v>1</v>
      </c>
      <c r="BQ25">
        <f>IF('Rules &amp; Rate'!$B$2&lt;=AD25,1,0)</f>
        <v>0</v>
      </c>
      <c r="BR25">
        <f>IF('Rules &amp; Rate'!$B$2&lt;=AE25,1,0)</f>
        <v>0</v>
      </c>
      <c r="BS25">
        <f>IF('Rules &amp; Rate'!$B$2&lt;=AF25,1,0)</f>
        <v>0</v>
      </c>
      <c r="BT25">
        <f>IF('Rules &amp; Rate'!$B$2&lt;=AG25,1,0)</f>
        <v>0</v>
      </c>
      <c r="BU25">
        <f>IF('Rules &amp; Rate'!$B$6&lt;=AG25,1,0)</f>
        <v>0</v>
      </c>
      <c r="BV25">
        <v>58168.480000000003</v>
      </c>
      <c r="BW25">
        <f>SUMPRODUCT(AH25:BA25,Labour!$B$2:$U$2)</f>
        <v>340</v>
      </c>
      <c r="BX25">
        <v>182</v>
      </c>
      <c r="BY25">
        <f t="shared" si="1"/>
        <v>522</v>
      </c>
      <c r="BZ25">
        <f>SUMPRODUCT(AH25:BA25,Labour!$B$3:$U$3)</f>
        <v>244415.24099999998</v>
      </c>
      <c r="CA25">
        <f>SUMPRODUCT(BB25:BU25,'Component $'!$B$10:$U$10)</f>
        <v>126160.32500000001</v>
      </c>
      <c r="CB25">
        <f>SUMPRODUCT(BB25:BU25,'Component $'!$B$9:$U$9)</f>
        <v>25697.474999999999</v>
      </c>
      <c r="CC25">
        <f>SUMPRODUCT(BB25:BU25,'Component $'!$B$6:$U$6)</f>
        <v>79321.850000000006</v>
      </c>
      <c r="CD25">
        <f>SUMPRODUCT(BB25:BU25,'Component $'!$B$8:$U$8)</f>
        <v>21141</v>
      </c>
      <c r="CE25">
        <f t="shared" si="0"/>
        <v>370575.56599999999</v>
      </c>
    </row>
    <row r="26" spans="1:83" x14ac:dyDescent="0.25">
      <c r="A26">
        <v>847</v>
      </c>
      <c r="B26">
        <v>1</v>
      </c>
      <c r="C26">
        <v>1</v>
      </c>
      <c r="D26">
        <v>2</v>
      </c>
      <c r="E26">
        <v>2</v>
      </c>
      <c r="F26">
        <v>2</v>
      </c>
      <c r="G26">
        <v>0.8</v>
      </c>
      <c r="H26">
        <v>1</v>
      </c>
      <c r="I26">
        <v>0.8</v>
      </c>
      <c r="J26">
        <v>5160</v>
      </c>
      <c r="K26">
        <v>0.66457999999999995</v>
      </c>
      <c r="L26">
        <v>0.66457999999999995</v>
      </c>
      <c r="M26">
        <v>0.6685672222222222</v>
      </c>
      <c r="N26">
        <v>0.6685672222222222</v>
      </c>
      <c r="O26">
        <v>0.12678095238095238</v>
      </c>
      <c r="P26">
        <v>0.26583200000000001</v>
      </c>
      <c r="Q26">
        <v>0.93504966666666667</v>
      </c>
      <c r="R26">
        <v>0.99687000000000003</v>
      </c>
      <c r="S26">
        <v>0.99687000000000003</v>
      </c>
      <c r="T26">
        <v>0.98610249999999999</v>
      </c>
      <c r="U26">
        <v>0.98610249999999999</v>
      </c>
      <c r="V26">
        <v>0.14891111111111111</v>
      </c>
      <c r="W26">
        <v>0.14891111111111111</v>
      </c>
      <c r="X26">
        <v>0.12678095238095238</v>
      </c>
      <c r="Y26">
        <v>1.3619644444444445</v>
      </c>
      <c r="Z26">
        <v>0.29001222222222223</v>
      </c>
      <c r="AA26">
        <v>0.93504966666666667</v>
      </c>
      <c r="AB26">
        <v>0.93504966666666667</v>
      </c>
      <c r="AC26">
        <v>0.56938599999999995</v>
      </c>
      <c r="AD26">
        <v>0.28374285714285713</v>
      </c>
      <c r="AE26">
        <v>0.18017</v>
      </c>
      <c r="AF26">
        <v>0.24990714285714286</v>
      </c>
      <c r="AG26">
        <v>0.93504966666666667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2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 s="2">
        <f>IF('Rules &amp; Rate'!$B$2&lt;=K26,1,0)</f>
        <v>1</v>
      </c>
      <c r="BC26" s="2">
        <f>IF('Rules &amp; Rate'!$B$2&lt;=L26,1,0)</f>
        <v>1</v>
      </c>
      <c r="BD26" s="2">
        <f>IF('Rules &amp; Rate'!$B$2&lt;=N26,1,0)</f>
        <v>1</v>
      </c>
      <c r="BE26" s="2">
        <f>IF('Rules &amp; Rate'!$B$2&lt;=N26,1,0)</f>
        <v>1</v>
      </c>
      <c r="BF26" s="2">
        <f>IF('Rules &amp; Rate'!$B$3&lt;=O26,1,0)</f>
        <v>0</v>
      </c>
      <c r="BG26" s="2">
        <f>IF('Rules &amp; Rate'!$B$3&lt;=P26,1,0)</f>
        <v>0</v>
      </c>
      <c r="BH26">
        <f>IF('Rules &amp; Rate'!$B$2&lt;=R26,1,0)</f>
        <v>1</v>
      </c>
      <c r="BI26">
        <f>IF('Rules &amp; Rate'!$B$2&lt;=S26,1,0)</f>
        <v>1</v>
      </c>
      <c r="BJ26">
        <f>IF('Rules &amp; Rate'!$B$2&lt;=T26,1,0)</f>
        <v>1</v>
      </c>
      <c r="BK26">
        <f>IF('Rules &amp; Rate'!$B$2&lt;=U26,1,0)</f>
        <v>1</v>
      </c>
      <c r="BL26">
        <f>IF('Rules &amp; Rate'!$B$4&lt;=V26,1,0)</f>
        <v>0</v>
      </c>
      <c r="BM26">
        <f>IF('Rules &amp; Rate'!$B$4&lt;=W26,1,0)</f>
        <v>0</v>
      </c>
      <c r="BN26">
        <f>IF('Rules &amp; Rate'!$B$5&lt;=X26,1,0)</f>
        <v>0</v>
      </c>
      <c r="BO26">
        <f>IF('Rules &amp; Rate'!$B$3&lt;=Y26,1,0)</f>
        <v>1</v>
      </c>
      <c r="BP26">
        <f>IF('Rules &amp; Rate'!$B$3&lt;=Z26,1,0)</f>
        <v>0</v>
      </c>
      <c r="BQ26">
        <f>IF('Rules &amp; Rate'!$B$2&lt;=AD26,1,0)</f>
        <v>0</v>
      </c>
      <c r="BR26">
        <f>IF('Rules &amp; Rate'!$B$2&lt;=AE26,1,0)</f>
        <v>0</v>
      </c>
      <c r="BS26">
        <f>IF('Rules &amp; Rate'!$B$2&lt;=AF26,1,0)</f>
        <v>0</v>
      </c>
      <c r="BT26">
        <f>IF('Rules &amp; Rate'!$B$2&lt;=AG26,1,0)</f>
        <v>1</v>
      </c>
      <c r="BU26">
        <f>IF('Rules &amp; Rate'!$B$6&lt;=AG26,1,0)</f>
        <v>1</v>
      </c>
      <c r="BV26">
        <v>55992.98</v>
      </c>
      <c r="BW26">
        <f>SUMPRODUCT(AH26:BA26,Labour!$B$2:$U$2)</f>
        <v>382</v>
      </c>
      <c r="BX26">
        <v>180</v>
      </c>
      <c r="BY26">
        <f t="shared" si="1"/>
        <v>562</v>
      </c>
      <c r="BZ26">
        <f>SUMPRODUCT(AH26:BA26,Labour!$B$3:$U$3)</f>
        <v>254613.23099999997</v>
      </c>
      <c r="CA26">
        <f>SUMPRODUCT(BB26:BU26,'Component $'!$B$10:$U$10)</f>
        <v>153723.2524</v>
      </c>
      <c r="CB26">
        <f>SUMPRODUCT(BB26:BU26,'Component $'!$B$9:$U$9)</f>
        <v>30243.452399999998</v>
      </c>
      <c r="CC26">
        <f>SUMPRODUCT(BB26:BU26,'Component $'!$B$6:$U$6)</f>
        <v>43477.8</v>
      </c>
      <c r="CD26">
        <f>SUMPRODUCT(BB26:BU26,'Component $'!$B$8:$U$8)</f>
        <v>80002</v>
      </c>
      <c r="CE26">
        <f t="shared" si="0"/>
        <v>408336.48339999997</v>
      </c>
    </row>
    <row r="27" spans="1:83" x14ac:dyDescent="0.25">
      <c r="A27">
        <v>848</v>
      </c>
      <c r="B27">
        <v>2</v>
      </c>
      <c r="C27">
        <v>0</v>
      </c>
      <c r="D27">
        <v>1</v>
      </c>
      <c r="E27">
        <v>2</v>
      </c>
      <c r="F27">
        <v>1</v>
      </c>
      <c r="G27">
        <v>0.6</v>
      </c>
      <c r="H27">
        <v>0.15503875968992248</v>
      </c>
      <c r="I27">
        <v>9.3023255813953487E-2</v>
      </c>
      <c r="J27">
        <v>800</v>
      </c>
      <c r="K27">
        <v>0.42574125000000002</v>
      </c>
      <c r="L27">
        <v>0.42574125000000002</v>
      </c>
      <c r="M27">
        <v>0.68668305555555553</v>
      </c>
      <c r="N27">
        <v>0.68668305555555553</v>
      </c>
      <c r="O27">
        <v>0.48844238095238096</v>
      </c>
      <c r="P27">
        <v>0.95747533333333334</v>
      </c>
      <c r="Q27">
        <v>0.17029649999999999</v>
      </c>
      <c r="R27">
        <v>0.55072437500000004</v>
      </c>
      <c r="S27">
        <v>0.64108062499999996</v>
      </c>
      <c r="T27">
        <v>2.0885000000000001E-2</v>
      </c>
      <c r="U27">
        <v>0.51282450000000002</v>
      </c>
      <c r="V27">
        <v>0.56765500000000002</v>
      </c>
      <c r="W27">
        <v>0.56765500000000002</v>
      </c>
      <c r="X27">
        <v>0.48844238095238096</v>
      </c>
      <c r="Y27">
        <v>0.56765500000000002</v>
      </c>
      <c r="Z27">
        <v>0.44719388888888889</v>
      </c>
      <c r="AA27">
        <v>0.95747533333333334</v>
      </c>
      <c r="AB27">
        <v>0.95747533333333334</v>
      </c>
      <c r="AC27">
        <v>0.44289450000000002</v>
      </c>
      <c r="AD27">
        <v>0.42058499999999999</v>
      </c>
      <c r="AE27">
        <v>0.5108895</v>
      </c>
      <c r="AF27">
        <v>0.3520214285714286</v>
      </c>
      <c r="AG27">
        <v>0.95747533333333334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3</v>
      </c>
      <c r="AO27">
        <v>1</v>
      </c>
      <c r="AP27">
        <v>1</v>
      </c>
      <c r="AQ27">
        <v>1</v>
      </c>
      <c r="AR27">
        <v>1</v>
      </c>
      <c r="AS27">
        <v>0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 s="2">
        <f>IF('Rules &amp; Rate'!$B$2&lt;=K27,1,0)</f>
        <v>0</v>
      </c>
      <c r="BC27" s="2">
        <f>IF('Rules &amp; Rate'!$B$2&lt;=L27,1,0)</f>
        <v>0</v>
      </c>
      <c r="BD27" s="2">
        <f>IF('Rules &amp; Rate'!$B$2&lt;=N27,1,0)</f>
        <v>1</v>
      </c>
      <c r="BE27" s="2">
        <f>IF('Rules &amp; Rate'!$B$2&lt;=N27,1,0)</f>
        <v>1</v>
      </c>
      <c r="BF27" s="2">
        <f>IF('Rules &amp; Rate'!$B$3&lt;=O27,1,0)</f>
        <v>0</v>
      </c>
      <c r="BG27" s="2">
        <f>IF('Rules &amp; Rate'!$B$3&lt;=P27,1,0)</f>
        <v>1</v>
      </c>
      <c r="BH27">
        <f>IF('Rules &amp; Rate'!$B$2&lt;=R27,1,0)</f>
        <v>0</v>
      </c>
      <c r="BI27">
        <f>IF('Rules &amp; Rate'!$B$2&lt;=S27,1,0)</f>
        <v>0</v>
      </c>
      <c r="BJ27">
        <f>IF('Rules &amp; Rate'!$B$2&lt;=T27,1,0)</f>
        <v>0</v>
      </c>
      <c r="BK27">
        <f>IF('Rules &amp; Rate'!$B$2&lt;=U27,1,0)</f>
        <v>0</v>
      </c>
      <c r="BL27">
        <f>IF('Rules &amp; Rate'!$B$4&lt;=V27,1,0)</f>
        <v>0</v>
      </c>
      <c r="BM27">
        <f>IF('Rules &amp; Rate'!$B$4&lt;=W27,1,0)</f>
        <v>0</v>
      </c>
      <c r="BN27">
        <f>IF('Rules &amp; Rate'!$B$5&lt;=X27,1,0)</f>
        <v>0</v>
      </c>
      <c r="BO27">
        <f>IF('Rules &amp; Rate'!$B$3&lt;=Y27,1,0)</f>
        <v>1</v>
      </c>
      <c r="BP27">
        <f>IF('Rules &amp; Rate'!$B$3&lt;=Z27,1,0)</f>
        <v>0</v>
      </c>
      <c r="BQ27">
        <f>IF('Rules &amp; Rate'!$B$2&lt;=AD27,1,0)</f>
        <v>0</v>
      </c>
      <c r="BR27">
        <f>IF('Rules &amp; Rate'!$B$2&lt;=AE27,1,0)</f>
        <v>0</v>
      </c>
      <c r="BS27">
        <f>IF('Rules &amp; Rate'!$B$2&lt;=AF27,1,0)</f>
        <v>0</v>
      </c>
      <c r="BT27">
        <f>IF('Rules &amp; Rate'!$B$2&lt;=AG27,1,0)</f>
        <v>1</v>
      </c>
      <c r="BU27">
        <f>IF('Rules &amp; Rate'!$B$6&lt;=AG27,1,0)</f>
        <v>1</v>
      </c>
      <c r="BV27">
        <v>57381.52</v>
      </c>
      <c r="BW27">
        <f>SUMPRODUCT(AH27:BA27,Labour!$B$2:$U$2)</f>
        <v>340</v>
      </c>
      <c r="BX27">
        <v>197</v>
      </c>
      <c r="BY27">
        <f t="shared" si="1"/>
        <v>537</v>
      </c>
      <c r="BZ27">
        <f>SUMPRODUCT(AH27:BA27,Labour!$B$3:$U$3)</f>
        <v>244415.24099999998</v>
      </c>
      <c r="CA27">
        <f>SUMPRODUCT(BB27:BU27,'Component $'!$B$10:$U$10)</f>
        <v>94412.016400000008</v>
      </c>
      <c r="CB27">
        <f>SUMPRODUCT(BB27:BU27,'Component $'!$B$9:$U$9)</f>
        <v>24621.116399999999</v>
      </c>
      <c r="CC27">
        <f>SUMPRODUCT(BB27:BU27,'Component $'!$B$6:$U$6)</f>
        <v>46184.9</v>
      </c>
      <c r="CD27">
        <f>SUMPRODUCT(BB27:BU27,'Component $'!$B$8:$U$8)</f>
        <v>23606</v>
      </c>
      <c r="CE27">
        <f t="shared" si="0"/>
        <v>338827.2574</v>
      </c>
    </row>
    <row r="28" spans="1:83" x14ac:dyDescent="0.25">
      <c r="A28">
        <v>849</v>
      </c>
      <c r="B28">
        <v>1</v>
      </c>
      <c r="C28">
        <v>0</v>
      </c>
      <c r="D28">
        <v>2</v>
      </c>
      <c r="E28">
        <v>2</v>
      </c>
      <c r="F28">
        <v>0</v>
      </c>
      <c r="G28">
        <v>0.5</v>
      </c>
      <c r="H28">
        <v>0.58139534883720934</v>
      </c>
      <c r="I28">
        <v>0.29069767441860467</v>
      </c>
      <c r="J28">
        <v>3000</v>
      </c>
      <c r="K28">
        <v>1.4743920833333333</v>
      </c>
      <c r="L28">
        <v>1.1795136666666666</v>
      </c>
      <c r="M28">
        <v>0.58472666666666662</v>
      </c>
      <c r="N28">
        <v>0.58611500000000005</v>
      </c>
      <c r="O28">
        <v>0.42998666666666668</v>
      </c>
      <c r="P28">
        <v>0.58975683333333329</v>
      </c>
      <c r="Q28">
        <v>0.58975683333333329</v>
      </c>
      <c r="R28">
        <v>0.15562500000000001</v>
      </c>
      <c r="S28">
        <v>0.79022625000000002</v>
      </c>
      <c r="T28">
        <v>0.8204245</v>
      </c>
      <c r="U28">
        <v>0.90252949999999998</v>
      </c>
      <c r="V28">
        <v>6.7216666666666661E-2</v>
      </c>
      <c r="W28">
        <v>0.23485</v>
      </c>
      <c r="X28">
        <v>0.42998666666666668</v>
      </c>
      <c r="Y28">
        <v>0.57174000000000003</v>
      </c>
      <c r="Z28">
        <v>0.49307333333333331</v>
      </c>
      <c r="AA28">
        <v>0.58975683333333329</v>
      </c>
      <c r="AB28">
        <v>0.58975683333333329</v>
      </c>
      <c r="AC28">
        <v>0.488346</v>
      </c>
      <c r="AD28">
        <v>6.4964285714285711E-2</v>
      </c>
      <c r="AE28">
        <v>0.14910499999999999</v>
      </c>
      <c r="AF28">
        <v>0.24755714285714286</v>
      </c>
      <c r="AG28">
        <v>0.58975683333333329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2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 s="2">
        <f>IF('Rules &amp; Rate'!$B$2&lt;=K28,1,0)</f>
        <v>1</v>
      </c>
      <c r="BC28" s="2">
        <f>IF('Rules &amp; Rate'!$B$2&lt;=L28,1,0)</f>
        <v>1</v>
      </c>
      <c r="BD28" s="2">
        <f>IF('Rules &amp; Rate'!$B$2&lt;=N28,1,0)</f>
        <v>0</v>
      </c>
      <c r="BE28" s="2">
        <f>IF('Rules &amp; Rate'!$B$2&lt;=N28,1,0)</f>
        <v>0</v>
      </c>
      <c r="BF28" s="2">
        <f>IF('Rules &amp; Rate'!$B$3&lt;=O28,1,0)</f>
        <v>0</v>
      </c>
      <c r="BG28" s="2">
        <f>IF('Rules &amp; Rate'!$B$3&lt;=P28,1,0)</f>
        <v>1</v>
      </c>
      <c r="BH28">
        <f>IF('Rules &amp; Rate'!$B$2&lt;=R28,1,0)</f>
        <v>0</v>
      </c>
      <c r="BI28">
        <f>IF('Rules &amp; Rate'!$B$2&lt;=S28,1,0)</f>
        <v>1</v>
      </c>
      <c r="BJ28">
        <f>IF('Rules &amp; Rate'!$B$2&lt;=T28,1,0)</f>
        <v>1</v>
      </c>
      <c r="BK28">
        <f>IF('Rules &amp; Rate'!$B$2&lt;=U28,1,0)</f>
        <v>1</v>
      </c>
      <c r="BL28">
        <f>IF('Rules &amp; Rate'!$B$4&lt;=V28,1,0)</f>
        <v>0</v>
      </c>
      <c r="BM28">
        <f>IF('Rules &amp; Rate'!$B$4&lt;=W28,1,0)</f>
        <v>0</v>
      </c>
      <c r="BN28">
        <f>IF('Rules &amp; Rate'!$B$5&lt;=X28,1,0)</f>
        <v>0</v>
      </c>
      <c r="BO28">
        <f>IF('Rules &amp; Rate'!$B$3&lt;=Y28,1,0)</f>
        <v>1</v>
      </c>
      <c r="BP28">
        <f>IF('Rules &amp; Rate'!$B$3&lt;=Z28,1,0)</f>
        <v>0</v>
      </c>
      <c r="BQ28">
        <f>IF('Rules &amp; Rate'!$B$2&lt;=AD28,1,0)</f>
        <v>0</v>
      </c>
      <c r="BR28">
        <f>IF('Rules &amp; Rate'!$B$2&lt;=AE28,1,0)</f>
        <v>0</v>
      </c>
      <c r="BS28">
        <f>IF('Rules &amp; Rate'!$B$2&lt;=AF28,1,0)</f>
        <v>0</v>
      </c>
      <c r="BT28">
        <f>IF('Rules &amp; Rate'!$B$2&lt;=AG28,1,0)</f>
        <v>0</v>
      </c>
      <c r="BU28">
        <f>IF('Rules &amp; Rate'!$B$6&lt;=AG28,1,0)</f>
        <v>0</v>
      </c>
      <c r="BV28">
        <v>35281.410000000003</v>
      </c>
      <c r="BW28">
        <f>SUMPRODUCT(AH28:BA28,Labour!$B$2:$U$2)</f>
        <v>382</v>
      </c>
      <c r="BX28">
        <v>196</v>
      </c>
      <c r="BY28">
        <f t="shared" si="1"/>
        <v>578</v>
      </c>
      <c r="BZ28">
        <f>SUMPRODUCT(AH28:BA28,Labour!$B$3:$U$3)</f>
        <v>254613.23099999997</v>
      </c>
      <c r="CA28">
        <f>SUMPRODUCT(BB28:BU28,'Component $'!$B$10:$U$10)</f>
        <v>95417.937999999995</v>
      </c>
      <c r="CB28">
        <f>SUMPRODUCT(BB28:BU28,'Component $'!$B$9:$U$9)</f>
        <v>21130.038</v>
      </c>
      <c r="CC28">
        <f>SUMPRODUCT(BB28:BU28,'Component $'!$B$6:$U$6)</f>
        <v>37792.9</v>
      </c>
      <c r="CD28">
        <f>SUMPRODUCT(BB28:BU28,'Component $'!$B$8:$U$8)</f>
        <v>36495</v>
      </c>
      <c r="CE28">
        <f t="shared" si="0"/>
        <v>350031.16899999999</v>
      </c>
    </row>
    <row r="29" spans="1:83" x14ac:dyDescent="0.25">
      <c r="A29">
        <v>850</v>
      </c>
      <c r="B29">
        <v>1</v>
      </c>
      <c r="C29">
        <v>0</v>
      </c>
      <c r="D29">
        <v>1</v>
      </c>
      <c r="E29">
        <v>1</v>
      </c>
      <c r="F29">
        <v>0</v>
      </c>
      <c r="G29">
        <v>0.3</v>
      </c>
      <c r="H29">
        <v>0.1744186046511628</v>
      </c>
      <c r="I29">
        <v>5.232558139534884E-2</v>
      </c>
      <c r="J29">
        <v>900</v>
      </c>
      <c r="K29">
        <v>0.35949916666666665</v>
      </c>
      <c r="L29">
        <v>0.28759933333333332</v>
      </c>
      <c r="M29">
        <v>0.98156500000000002</v>
      </c>
      <c r="N29">
        <v>0.98156500000000002</v>
      </c>
      <c r="O29">
        <v>1.7785714285714287E-2</v>
      </c>
      <c r="P29">
        <v>0.58893899999999999</v>
      </c>
      <c r="Q29">
        <v>0.58893899999999999</v>
      </c>
      <c r="R29">
        <v>0.1149625</v>
      </c>
      <c r="S29">
        <v>0.72479249999999995</v>
      </c>
      <c r="T29">
        <v>7.1399999999999996E-3</v>
      </c>
      <c r="U29">
        <v>7.1399999999999996E-3</v>
      </c>
      <c r="V29">
        <v>0</v>
      </c>
      <c r="W29">
        <v>0.66574333333333335</v>
      </c>
      <c r="X29">
        <v>0.54950380952380951</v>
      </c>
      <c r="Y29">
        <v>0.66574333333333335</v>
      </c>
      <c r="Z29">
        <v>0.66574333333333335</v>
      </c>
      <c r="AA29">
        <v>0.58893899999999999</v>
      </c>
      <c r="AB29">
        <v>0.58893899999999999</v>
      </c>
      <c r="AC29">
        <v>0.30371399999999998</v>
      </c>
      <c r="AD29">
        <v>8.201428571428572E-2</v>
      </c>
      <c r="AE29">
        <v>0.38139400000000001</v>
      </c>
      <c r="AF29">
        <v>0.44153428571428571</v>
      </c>
      <c r="AG29">
        <v>0.58893899999999999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2</v>
      </c>
      <c r="AO29">
        <v>0</v>
      </c>
      <c r="AP29">
        <v>1</v>
      </c>
      <c r="AQ29">
        <v>1</v>
      </c>
      <c r="AR29">
        <v>1</v>
      </c>
      <c r="AS29">
        <v>0</v>
      </c>
      <c r="AT29">
        <v>0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 s="2">
        <f>IF('Rules &amp; Rate'!$B$2&lt;=K29,1,0)</f>
        <v>0</v>
      </c>
      <c r="BC29" s="2">
        <f>IF('Rules &amp; Rate'!$B$2&lt;=L29,1,0)</f>
        <v>0</v>
      </c>
      <c r="BD29" s="2">
        <f>IF('Rules &amp; Rate'!$B$2&lt;=N29,1,0)</f>
        <v>1</v>
      </c>
      <c r="BE29" s="2">
        <f>IF('Rules &amp; Rate'!$B$2&lt;=N29,1,0)</f>
        <v>1</v>
      </c>
      <c r="BF29" s="2">
        <f>IF('Rules &amp; Rate'!$B$3&lt;=O29,1,0)</f>
        <v>0</v>
      </c>
      <c r="BG29" s="2">
        <f>IF('Rules &amp; Rate'!$B$3&lt;=P29,1,0)</f>
        <v>1</v>
      </c>
      <c r="BH29">
        <f>IF('Rules &amp; Rate'!$B$2&lt;=R29,1,0)</f>
        <v>0</v>
      </c>
      <c r="BI29">
        <f>IF('Rules &amp; Rate'!$B$2&lt;=S29,1,0)</f>
        <v>1</v>
      </c>
      <c r="BJ29">
        <f>IF('Rules &amp; Rate'!$B$2&lt;=T29,1,0)</f>
        <v>0</v>
      </c>
      <c r="BK29">
        <f>IF('Rules &amp; Rate'!$B$2&lt;=U29,1,0)</f>
        <v>0</v>
      </c>
      <c r="BL29">
        <f>IF('Rules &amp; Rate'!$B$4&lt;=V29,1,0)</f>
        <v>0</v>
      </c>
      <c r="BM29">
        <f>IF('Rules &amp; Rate'!$B$4&lt;=W29,1,0)</f>
        <v>0</v>
      </c>
      <c r="BN29">
        <f>IF('Rules &amp; Rate'!$B$5&lt;=X29,1,0)</f>
        <v>0</v>
      </c>
      <c r="BO29">
        <f>IF('Rules &amp; Rate'!$B$3&lt;=Y29,1,0)</f>
        <v>1</v>
      </c>
      <c r="BP29">
        <f>IF('Rules &amp; Rate'!$B$3&lt;=Z29,1,0)</f>
        <v>1</v>
      </c>
      <c r="BQ29">
        <f>IF('Rules &amp; Rate'!$B$2&lt;=AD29,1,0)</f>
        <v>0</v>
      </c>
      <c r="BR29">
        <f>IF('Rules &amp; Rate'!$B$2&lt;=AE29,1,0)</f>
        <v>0</v>
      </c>
      <c r="BS29">
        <f>IF('Rules &amp; Rate'!$B$2&lt;=AF29,1,0)</f>
        <v>0</v>
      </c>
      <c r="BT29">
        <f>IF('Rules &amp; Rate'!$B$2&lt;=AG29,1,0)</f>
        <v>0</v>
      </c>
      <c r="BU29">
        <f>IF('Rules &amp; Rate'!$B$6&lt;=AG29,1,0)</f>
        <v>0</v>
      </c>
      <c r="BV29">
        <v>35336.339999999997</v>
      </c>
      <c r="BW29">
        <f>SUMPRODUCT(AH29:BA29,Labour!$B$2:$U$2)</f>
        <v>274</v>
      </c>
      <c r="BX29">
        <v>208</v>
      </c>
      <c r="BY29">
        <f t="shared" si="1"/>
        <v>482</v>
      </c>
      <c r="BZ29">
        <f>SUMPRODUCT(AH29:BA29,Labour!$B$3:$U$3)</f>
        <v>211344.21499999997</v>
      </c>
      <c r="CA29">
        <f>SUMPRODUCT(BB29:BU29,'Component $'!$B$10:$U$10)</f>
        <v>115925.448</v>
      </c>
      <c r="CB29">
        <f>SUMPRODUCT(BB29:BU29,'Component $'!$B$9:$U$9)</f>
        <v>30214.548000000003</v>
      </c>
      <c r="CC29">
        <f>SUMPRODUCT(BB29:BU29,'Component $'!$B$6:$U$6)</f>
        <v>56715.9</v>
      </c>
      <c r="CD29">
        <f>SUMPRODUCT(BB29:BU29,'Component $'!$B$8:$U$8)</f>
        <v>28995</v>
      </c>
      <c r="CE29">
        <f t="shared" si="0"/>
        <v>327269.66299999994</v>
      </c>
    </row>
    <row r="30" spans="1:83" x14ac:dyDescent="0.25">
      <c r="A30">
        <v>851</v>
      </c>
      <c r="B30">
        <v>0</v>
      </c>
      <c r="C30">
        <v>0</v>
      </c>
      <c r="D30">
        <v>1</v>
      </c>
      <c r="E30">
        <v>1</v>
      </c>
      <c r="F30">
        <v>0</v>
      </c>
      <c r="G30">
        <v>0.2</v>
      </c>
      <c r="H30">
        <v>9.1085271317829453E-2</v>
      </c>
      <c r="I30">
        <v>1.8217054263565891E-2</v>
      </c>
      <c r="J30">
        <v>470</v>
      </c>
      <c r="K30">
        <v>1.4557724999999999</v>
      </c>
      <c r="L30">
        <v>1.1646179999999999</v>
      </c>
      <c r="M30">
        <v>0.97051500000000002</v>
      </c>
      <c r="N30">
        <v>0.97051500000000002</v>
      </c>
      <c r="O30">
        <v>0.35298714285714283</v>
      </c>
      <c r="P30">
        <v>0.58230899999999997</v>
      </c>
      <c r="Q30">
        <v>0.58230899999999997</v>
      </c>
      <c r="R30">
        <v>0.12668750000000001</v>
      </c>
      <c r="S30">
        <v>0.47138312500000001</v>
      </c>
      <c r="T30">
        <v>1.2277149999999999</v>
      </c>
      <c r="U30">
        <v>0.46387149999999999</v>
      </c>
      <c r="V30">
        <v>0.22395555555555555</v>
      </c>
      <c r="W30">
        <v>0.66874055555555556</v>
      </c>
      <c r="X30">
        <v>0.35298714285714283</v>
      </c>
      <c r="Y30">
        <v>0.326735</v>
      </c>
      <c r="Z30">
        <v>0.326735</v>
      </c>
      <c r="AA30">
        <v>0.58230899999999997</v>
      </c>
      <c r="AB30">
        <v>0.58230899999999997</v>
      </c>
      <c r="AC30">
        <v>0.10135</v>
      </c>
      <c r="AD30">
        <v>0.60568071428571424</v>
      </c>
      <c r="AE30">
        <v>7.7499999999999999E-2</v>
      </c>
      <c r="AF30">
        <v>0.1447857142857143</v>
      </c>
      <c r="AG30">
        <v>0.58230899999999997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3</v>
      </c>
      <c r="AO30">
        <v>1</v>
      </c>
      <c r="AP30">
        <v>1</v>
      </c>
      <c r="AQ30">
        <v>1</v>
      </c>
      <c r="AR30">
        <v>1</v>
      </c>
      <c r="AS30">
        <v>0</v>
      </c>
      <c r="AT30">
        <v>0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 s="2">
        <f>IF('Rules &amp; Rate'!$B$2&lt;=K30,1,0)</f>
        <v>1</v>
      </c>
      <c r="BC30" s="2">
        <f>IF('Rules &amp; Rate'!$B$2&lt;=L30,1,0)</f>
        <v>1</v>
      </c>
      <c r="BD30" s="2">
        <f>IF('Rules &amp; Rate'!$B$2&lt;=N30,1,0)</f>
        <v>1</v>
      </c>
      <c r="BE30" s="2">
        <f>IF('Rules &amp; Rate'!$B$2&lt;=N30,1,0)</f>
        <v>1</v>
      </c>
      <c r="BF30" s="2">
        <f>IF('Rules &amp; Rate'!$B$3&lt;=O30,1,0)</f>
        <v>0</v>
      </c>
      <c r="BG30" s="2">
        <f>IF('Rules &amp; Rate'!$B$3&lt;=P30,1,0)</f>
        <v>1</v>
      </c>
      <c r="BH30">
        <f>IF('Rules &amp; Rate'!$B$2&lt;=R30,1,0)</f>
        <v>0</v>
      </c>
      <c r="BI30">
        <f>IF('Rules &amp; Rate'!$B$2&lt;=S30,1,0)</f>
        <v>0</v>
      </c>
      <c r="BJ30">
        <f>IF('Rules &amp; Rate'!$B$2&lt;=T30,1,0)</f>
        <v>1</v>
      </c>
      <c r="BK30">
        <f>IF('Rules &amp; Rate'!$B$2&lt;=U30,1,0)</f>
        <v>0</v>
      </c>
      <c r="BL30">
        <f>IF('Rules &amp; Rate'!$B$4&lt;=V30,1,0)</f>
        <v>0</v>
      </c>
      <c r="BM30">
        <f>IF('Rules &amp; Rate'!$B$4&lt;=W30,1,0)</f>
        <v>0</v>
      </c>
      <c r="BN30">
        <f>IF('Rules &amp; Rate'!$B$5&lt;=X30,1,0)</f>
        <v>0</v>
      </c>
      <c r="BO30">
        <f>IF('Rules &amp; Rate'!$B$3&lt;=Y30,1,0)</f>
        <v>0</v>
      </c>
      <c r="BP30">
        <f>IF('Rules &amp; Rate'!$B$3&lt;=Z30,1,0)</f>
        <v>0</v>
      </c>
      <c r="BQ30">
        <f>IF('Rules &amp; Rate'!$B$2&lt;=AD30,1,0)</f>
        <v>0</v>
      </c>
      <c r="BR30">
        <f>IF('Rules &amp; Rate'!$B$2&lt;=AE30,1,0)</f>
        <v>0</v>
      </c>
      <c r="BS30">
        <f>IF('Rules &amp; Rate'!$B$2&lt;=AF30,1,0)</f>
        <v>0</v>
      </c>
      <c r="BT30">
        <f>IF('Rules &amp; Rate'!$B$2&lt;=AG30,1,0)</f>
        <v>0</v>
      </c>
      <c r="BU30">
        <f>IF('Rules &amp; Rate'!$B$6&lt;=AG30,1,0)</f>
        <v>0</v>
      </c>
      <c r="BV30">
        <v>34938.54</v>
      </c>
      <c r="BW30">
        <f>SUMPRODUCT(AH30:BA30,Labour!$B$2:$U$2)</f>
        <v>292</v>
      </c>
      <c r="BX30">
        <v>182</v>
      </c>
      <c r="BY30">
        <f t="shared" si="1"/>
        <v>474</v>
      </c>
      <c r="BZ30">
        <f>SUMPRODUCT(AH30:BA30,Labour!$B$3:$U$3)</f>
        <v>229891.19099999999</v>
      </c>
      <c r="CA30">
        <f>SUMPRODUCT(BB30:BU30,'Component $'!$B$10:$U$10)</f>
        <v>43301.044999999998</v>
      </c>
      <c r="CB30">
        <f>SUMPRODUCT(BB30:BU30,'Component $'!$B$9:$U$9)</f>
        <v>7896.1949999999997</v>
      </c>
      <c r="CC30">
        <f>SUMPRODUCT(BB30:BU30,'Component $'!$B$6:$U$6)</f>
        <v>14263.85</v>
      </c>
      <c r="CD30">
        <f>SUMPRODUCT(BB30:BU30,'Component $'!$B$8:$U$8)</f>
        <v>21141</v>
      </c>
      <c r="CE30">
        <f t="shared" si="0"/>
        <v>273192.23599999998</v>
      </c>
    </row>
    <row r="31" spans="1:83" x14ac:dyDescent="0.25">
      <c r="A31">
        <v>852</v>
      </c>
      <c r="B31">
        <v>1</v>
      </c>
      <c r="C31">
        <v>0</v>
      </c>
      <c r="D31">
        <v>0</v>
      </c>
      <c r="E31">
        <v>2</v>
      </c>
      <c r="F31">
        <v>1</v>
      </c>
      <c r="G31">
        <v>0.4</v>
      </c>
      <c r="H31">
        <v>0.80426356589147285</v>
      </c>
      <c r="I31">
        <v>0.32170542635658916</v>
      </c>
      <c r="J31">
        <v>4150</v>
      </c>
      <c r="K31">
        <v>1.4061870833333334</v>
      </c>
      <c r="L31">
        <v>1.1249496666666667</v>
      </c>
      <c r="M31">
        <v>0.9374580555555555</v>
      </c>
      <c r="N31">
        <v>0.9374580555555555</v>
      </c>
      <c r="O31">
        <v>0.40643380952380953</v>
      </c>
      <c r="P31">
        <v>0.56247483333333337</v>
      </c>
      <c r="Q31">
        <v>0.56247483333333337</v>
      </c>
      <c r="R31">
        <v>0.357531875</v>
      </c>
      <c r="S31">
        <v>0.357531875</v>
      </c>
      <c r="T31">
        <v>0.94135400000000002</v>
      </c>
      <c r="U31">
        <v>1.1975E-2</v>
      </c>
      <c r="V31">
        <v>0.10303888888888889</v>
      </c>
      <c r="W31">
        <v>0.90208555555555558</v>
      </c>
      <c r="X31">
        <v>0.4683195238095238</v>
      </c>
      <c r="Y31">
        <v>0.21588888888888888</v>
      </c>
      <c r="Z31">
        <v>0.58836166666666667</v>
      </c>
      <c r="AA31">
        <v>0.56247483333333337</v>
      </c>
      <c r="AB31">
        <v>0.56247483333333337</v>
      </c>
      <c r="AC31">
        <v>0.13558999999999999</v>
      </c>
      <c r="AD31">
        <v>0.38911499999999999</v>
      </c>
      <c r="AE31">
        <v>0.28602549999999999</v>
      </c>
      <c r="AF31">
        <v>0.38940785714285714</v>
      </c>
      <c r="AG31">
        <v>0.56247483333333337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2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 s="2">
        <f>IF('Rules &amp; Rate'!$B$2&lt;=K31,1,0)</f>
        <v>1</v>
      </c>
      <c r="BC31" s="2">
        <f>IF('Rules &amp; Rate'!$B$2&lt;=L31,1,0)</f>
        <v>1</v>
      </c>
      <c r="BD31" s="2">
        <f>IF('Rules &amp; Rate'!$B$2&lt;=N31,1,0)</f>
        <v>1</v>
      </c>
      <c r="BE31" s="2">
        <f>IF('Rules &amp; Rate'!$B$2&lt;=N31,1,0)</f>
        <v>1</v>
      </c>
      <c r="BF31" s="2">
        <f>IF('Rules &amp; Rate'!$B$3&lt;=O31,1,0)</f>
        <v>0</v>
      </c>
      <c r="BG31" s="2">
        <f>IF('Rules &amp; Rate'!$B$3&lt;=P31,1,0)</f>
        <v>1</v>
      </c>
      <c r="BH31">
        <f>IF('Rules &amp; Rate'!$B$2&lt;=R31,1,0)</f>
        <v>0</v>
      </c>
      <c r="BI31">
        <f>IF('Rules &amp; Rate'!$B$2&lt;=S31,1,0)</f>
        <v>0</v>
      </c>
      <c r="BJ31">
        <f>IF('Rules &amp; Rate'!$B$2&lt;=T31,1,0)</f>
        <v>1</v>
      </c>
      <c r="BK31">
        <f>IF('Rules &amp; Rate'!$B$2&lt;=U31,1,0)</f>
        <v>0</v>
      </c>
      <c r="BL31">
        <f>IF('Rules &amp; Rate'!$B$4&lt;=V31,1,0)</f>
        <v>0</v>
      </c>
      <c r="BM31">
        <f>IF('Rules &amp; Rate'!$B$4&lt;=W31,1,0)</f>
        <v>1</v>
      </c>
      <c r="BN31">
        <f>IF('Rules &amp; Rate'!$B$5&lt;=X31,1,0)</f>
        <v>0</v>
      </c>
      <c r="BO31">
        <f>IF('Rules &amp; Rate'!$B$3&lt;=Y31,1,0)</f>
        <v>0</v>
      </c>
      <c r="BP31">
        <f>IF('Rules &amp; Rate'!$B$3&lt;=Z31,1,0)</f>
        <v>1</v>
      </c>
      <c r="BQ31">
        <f>IF('Rules &amp; Rate'!$B$2&lt;=AD31,1,0)</f>
        <v>0</v>
      </c>
      <c r="BR31">
        <f>IF('Rules &amp; Rate'!$B$2&lt;=AE31,1,0)</f>
        <v>0</v>
      </c>
      <c r="BS31">
        <f>IF('Rules &amp; Rate'!$B$2&lt;=AF31,1,0)</f>
        <v>0</v>
      </c>
      <c r="BT31">
        <f>IF('Rules &amp; Rate'!$B$2&lt;=AG31,1,0)</f>
        <v>0</v>
      </c>
      <c r="BU31">
        <f>IF('Rules &amp; Rate'!$B$6&lt;=AG31,1,0)</f>
        <v>0</v>
      </c>
      <c r="BV31">
        <v>33653.79</v>
      </c>
      <c r="BW31">
        <f>SUMPRODUCT(AH31:BA31,Labour!$B$2:$U$2)</f>
        <v>382</v>
      </c>
      <c r="BX31">
        <v>207</v>
      </c>
      <c r="BY31">
        <f t="shared" si="1"/>
        <v>589</v>
      </c>
      <c r="BZ31">
        <f>SUMPRODUCT(AH31:BA31,Labour!$B$3:$U$3)</f>
        <v>254613.23099999997</v>
      </c>
      <c r="CA31">
        <f>SUMPRODUCT(BB31:BU31,'Component $'!$B$10:$U$10)</f>
        <v>227590.74499999997</v>
      </c>
      <c r="CB31">
        <f>SUMPRODUCT(BB31:BU31,'Component $'!$B$9:$U$9)</f>
        <v>23783.894999999997</v>
      </c>
      <c r="CC31">
        <f>SUMPRODUCT(BB31:BU31,'Component $'!$B$6:$U$6)</f>
        <v>149265.85</v>
      </c>
      <c r="CD31">
        <f>SUMPRODUCT(BB31:BU31,'Component $'!$B$8:$U$8)</f>
        <v>54541</v>
      </c>
      <c r="CE31">
        <f t="shared" si="0"/>
        <v>482203.97599999991</v>
      </c>
    </row>
  </sheetData>
  <autoFilter ref="A1:BZ31" xr:uid="{C445C176-4667-4A3F-8E10-E81FC21F1C01}">
    <sortState xmlns:xlrd2="http://schemas.microsoft.com/office/spreadsheetml/2017/richdata2" ref="A2:BZ31">
      <sortCondition ref="A1:A3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FDF2B-0522-420C-91F5-66594F775C0A}">
  <dimension ref="A1:D6"/>
  <sheetViews>
    <sheetView workbookViewId="0">
      <selection activeCell="B7" sqref="B7"/>
    </sheetView>
  </sheetViews>
  <sheetFormatPr defaultRowHeight="15" x14ac:dyDescent="0.25"/>
  <sheetData>
    <row r="1" spans="1:4" x14ac:dyDescent="0.25">
      <c r="A1" t="s">
        <v>378</v>
      </c>
      <c r="B1" t="s">
        <v>386</v>
      </c>
      <c r="C1" t="s">
        <v>382</v>
      </c>
      <c r="D1" t="s">
        <v>374</v>
      </c>
    </row>
    <row r="2" spans="1:4" x14ac:dyDescent="0.25">
      <c r="A2" t="s">
        <v>379</v>
      </c>
      <c r="B2">
        <v>0.65</v>
      </c>
      <c r="C2" t="s">
        <v>383</v>
      </c>
      <c r="D2">
        <v>40.86</v>
      </c>
    </row>
    <row r="3" spans="1:4" x14ac:dyDescent="0.25">
      <c r="A3" t="s">
        <v>380</v>
      </c>
      <c r="B3">
        <v>0.5</v>
      </c>
      <c r="C3" t="s">
        <v>384</v>
      </c>
      <c r="D3">
        <v>40.86</v>
      </c>
    </row>
    <row r="4" spans="1:4" x14ac:dyDescent="0.25">
      <c r="A4" t="s">
        <v>381</v>
      </c>
      <c r="B4">
        <v>0.7</v>
      </c>
      <c r="C4" t="s">
        <v>385</v>
      </c>
      <c r="D4">
        <v>40.86</v>
      </c>
    </row>
    <row r="5" spans="1:4" x14ac:dyDescent="0.25">
      <c r="A5" t="s">
        <v>23</v>
      </c>
      <c r="B5">
        <v>0.7</v>
      </c>
    </row>
    <row r="6" spans="1:4" x14ac:dyDescent="0.25">
      <c r="A6" t="s">
        <v>32</v>
      </c>
      <c r="B6">
        <v>0.7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4FA9A-AE1A-4301-9CC2-E88FCF693C83}">
  <dimension ref="A1:U3"/>
  <sheetViews>
    <sheetView workbookViewId="0">
      <selection activeCell="V3" sqref="V3"/>
    </sheetView>
  </sheetViews>
  <sheetFormatPr defaultRowHeight="15" x14ac:dyDescent="0.25"/>
  <cols>
    <col min="1" max="1" width="35.7109375" bestFit="1" customWidth="1"/>
  </cols>
  <sheetData>
    <row r="1" spans="1:21" x14ac:dyDescent="0.25">
      <c r="A1" t="s">
        <v>375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</row>
    <row r="2" spans="1:21" x14ac:dyDescent="0.25">
      <c r="A2" t="s">
        <v>361</v>
      </c>
      <c r="B2">
        <v>14</v>
      </c>
      <c r="C2">
        <v>4</v>
      </c>
      <c r="D2">
        <v>14</v>
      </c>
      <c r="E2">
        <v>8</v>
      </c>
      <c r="F2">
        <v>16</v>
      </c>
      <c r="G2">
        <v>16</v>
      </c>
      <c r="H2">
        <v>6</v>
      </c>
      <c r="I2">
        <v>12</v>
      </c>
      <c r="J2">
        <v>12</v>
      </c>
      <c r="K2">
        <v>8</v>
      </c>
      <c r="L2">
        <v>36</v>
      </c>
      <c r="M2">
        <v>48</v>
      </c>
      <c r="N2">
        <v>48</v>
      </c>
      <c r="O2">
        <v>36</v>
      </c>
      <c r="P2">
        <v>36</v>
      </c>
      <c r="Q2">
        <v>24</v>
      </c>
      <c r="R2">
        <v>8</v>
      </c>
      <c r="S2">
        <v>16</v>
      </c>
      <c r="T2">
        <v>8</v>
      </c>
      <c r="U2">
        <v>6</v>
      </c>
    </row>
    <row r="3" spans="1:21" x14ac:dyDescent="0.25">
      <c r="A3" t="s">
        <v>374</v>
      </c>
      <c r="B3">
        <v>5747.9400000000005</v>
      </c>
      <c r="C3">
        <v>7330.35</v>
      </c>
      <c r="D3">
        <v>1661.2449999999999</v>
      </c>
      <c r="E3">
        <v>9018.83</v>
      </c>
      <c r="F3">
        <v>3757.25</v>
      </c>
      <c r="G3">
        <v>40830.5</v>
      </c>
      <c r="H3">
        <v>6282</v>
      </c>
      <c r="I3">
        <v>12264.976000000001</v>
      </c>
      <c r="J3">
        <v>846.72</v>
      </c>
      <c r="K3">
        <v>644.3599999999999</v>
      </c>
      <c r="L3">
        <v>29057.54</v>
      </c>
      <c r="M3">
        <v>16479.990000000002</v>
      </c>
      <c r="N3">
        <v>14524.05</v>
      </c>
      <c r="O3">
        <v>2604.6799999999998</v>
      </c>
      <c r="P3">
        <v>2604.6799999999998</v>
      </c>
      <c r="Q3">
        <v>7504.15</v>
      </c>
      <c r="R3">
        <v>66459.08</v>
      </c>
      <c r="S3">
        <v>14767.839999999998</v>
      </c>
      <c r="T3">
        <v>576.91999999999996</v>
      </c>
      <c r="U3">
        <v>5368.1299999999992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6F33C-C8F7-4D7B-A5F4-35643ABC21CF}">
  <dimension ref="A1:U10"/>
  <sheetViews>
    <sheetView zoomScale="110" zoomScaleNormal="110" workbookViewId="0">
      <selection activeCell="A9" sqref="A9"/>
    </sheetView>
  </sheetViews>
  <sheetFormatPr defaultRowHeight="15" x14ac:dyDescent="0.25"/>
  <cols>
    <col min="1" max="1" width="22.85546875" bestFit="1" customWidth="1"/>
    <col min="2" max="2" width="13.28515625" bestFit="1" customWidth="1"/>
    <col min="4" max="4" width="11.140625" bestFit="1" customWidth="1"/>
  </cols>
  <sheetData>
    <row r="1" spans="1:21" x14ac:dyDescent="0.25">
      <c r="A1" t="s">
        <v>359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28</v>
      </c>
      <c r="R1" t="s">
        <v>29</v>
      </c>
      <c r="S1" t="s">
        <v>30</v>
      </c>
      <c r="T1" t="s">
        <v>389</v>
      </c>
      <c r="U1" t="s">
        <v>390</v>
      </c>
    </row>
    <row r="2" spans="1:21" x14ac:dyDescent="0.25">
      <c r="A2" t="s">
        <v>360</v>
      </c>
      <c r="H2" t="s">
        <v>369</v>
      </c>
      <c r="I2" t="s">
        <v>369</v>
      </c>
      <c r="L2" t="s">
        <v>370</v>
      </c>
      <c r="M2" t="s">
        <v>370</v>
      </c>
      <c r="Q2" t="s">
        <v>368</v>
      </c>
      <c r="R2" s="1" t="s">
        <v>358</v>
      </c>
      <c r="S2" t="s">
        <v>368</v>
      </c>
      <c r="T2" s="1" t="s">
        <v>358</v>
      </c>
    </row>
    <row r="3" spans="1:21" x14ac:dyDescent="0.25">
      <c r="A3" t="s">
        <v>363</v>
      </c>
      <c r="B3">
        <v>18.25</v>
      </c>
      <c r="C3">
        <v>18.25</v>
      </c>
      <c r="D3">
        <v>18.25</v>
      </c>
      <c r="E3">
        <v>18.25</v>
      </c>
      <c r="F3">
        <v>135</v>
      </c>
      <c r="G3">
        <v>102</v>
      </c>
      <c r="H3">
        <v>83.3</v>
      </c>
      <c r="I3">
        <v>83.3</v>
      </c>
      <c r="J3">
        <v>18.25</v>
      </c>
      <c r="K3">
        <v>18.25</v>
      </c>
      <c r="L3">
        <v>130</v>
      </c>
      <c r="M3">
        <v>130</v>
      </c>
      <c r="N3">
        <v>20</v>
      </c>
      <c r="O3">
        <v>135</v>
      </c>
      <c r="P3">
        <v>135</v>
      </c>
      <c r="Q3">
        <v>55.24</v>
      </c>
      <c r="R3">
        <v>55.24</v>
      </c>
      <c r="S3">
        <v>55.24</v>
      </c>
      <c r="T3">
        <v>55.24</v>
      </c>
      <c r="U3">
        <v>150</v>
      </c>
    </row>
    <row r="4" spans="1:21" x14ac:dyDescent="0.25">
      <c r="A4" t="s">
        <v>362</v>
      </c>
      <c r="B4">
        <v>40.86</v>
      </c>
      <c r="C4">
        <v>40.86</v>
      </c>
      <c r="D4">
        <v>40.86</v>
      </c>
      <c r="E4">
        <v>40.86</v>
      </c>
      <c r="F4">
        <v>78.34</v>
      </c>
      <c r="G4">
        <v>40.86</v>
      </c>
      <c r="H4">
        <v>40.86</v>
      </c>
      <c r="I4">
        <v>40.86</v>
      </c>
      <c r="J4">
        <v>40.86</v>
      </c>
      <c r="K4">
        <v>40.86</v>
      </c>
      <c r="L4">
        <v>40.86</v>
      </c>
      <c r="M4">
        <v>40.86</v>
      </c>
      <c r="N4">
        <v>40.86</v>
      </c>
      <c r="O4">
        <v>78.34</v>
      </c>
      <c r="P4">
        <v>78.34</v>
      </c>
      <c r="Q4">
        <v>40.86</v>
      </c>
      <c r="R4">
        <v>40.86</v>
      </c>
      <c r="S4">
        <v>40.86</v>
      </c>
      <c r="T4">
        <v>40.86</v>
      </c>
      <c r="U4">
        <v>40.86</v>
      </c>
    </row>
    <row r="5" spans="1:21" x14ac:dyDescent="0.25">
      <c r="A5" t="s">
        <v>364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2081</v>
      </c>
      <c r="I5">
        <v>2081</v>
      </c>
      <c r="J5">
        <v>0</v>
      </c>
      <c r="K5">
        <v>0</v>
      </c>
      <c r="L5">
        <v>33400</v>
      </c>
      <c r="M5">
        <v>33400</v>
      </c>
      <c r="N5">
        <v>0</v>
      </c>
      <c r="O5">
        <v>0</v>
      </c>
      <c r="P5">
        <v>0</v>
      </c>
      <c r="Q5">
        <v>2991</v>
      </c>
      <c r="R5">
        <v>3561</v>
      </c>
      <c r="S5">
        <v>2991</v>
      </c>
      <c r="T5">
        <v>3561</v>
      </c>
      <c r="U5">
        <v>6800</v>
      </c>
    </row>
    <row r="6" spans="1:21" x14ac:dyDescent="0.25">
      <c r="A6" t="s">
        <v>365</v>
      </c>
      <c r="B6">
        <v>362</v>
      </c>
      <c r="C6">
        <v>362</v>
      </c>
      <c r="D6">
        <v>334.95</v>
      </c>
      <c r="E6">
        <v>334.95</v>
      </c>
      <c r="F6">
        <v>20225</v>
      </c>
      <c r="G6">
        <v>12535</v>
      </c>
      <c r="H6">
        <v>4217</v>
      </c>
      <c r="I6">
        <v>4217</v>
      </c>
      <c r="J6">
        <v>334.95</v>
      </c>
      <c r="K6">
        <v>334.95</v>
      </c>
      <c r="L6">
        <v>115355</v>
      </c>
      <c r="M6">
        <v>115355</v>
      </c>
      <c r="N6">
        <v>37721</v>
      </c>
      <c r="O6">
        <v>19647</v>
      </c>
      <c r="P6">
        <v>19647</v>
      </c>
      <c r="Q6">
        <v>3203</v>
      </c>
      <c r="R6">
        <v>4683</v>
      </c>
      <c r="S6">
        <v>3203</v>
      </c>
      <c r="T6">
        <v>4683</v>
      </c>
      <c r="U6">
        <v>8650</v>
      </c>
    </row>
    <row r="7" spans="1:21" x14ac:dyDescent="0.25">
      <c r="A7" t="s">
        <v>366</v>
      </c>
      <c r="B7">
        <v>3750</v>
      </c>
      <c r="C7">
        <v>3750</v>
      </c>
      <c r="D7">
        <v>4547</v>
      </c>
      <c r="E7">
        <v>4547</v>
      </c>
      <c r="F7">
        <v>0</v>
      </c>
      <c r="G7">
        <v>0</v>
      </c>
      <c r="H7">
        <v>17820</v>
      </c>
      <c r="I7">
        <v>17820</v>
      </c>
      <c r="J7">
        <v>4547</v>
      </c>
      <c r="K7">
        <v>4547</v>
      </c>
      <c r="L7">
        <v>0</v>
      </c>
      <c r="M7">
        <v>0</v>
      </c>
      <c r="N7">
        <v>0</v>
      </c>
      <c r="O7">
        <v>0</v>
      </c>
      <c r="P7">
        <v>0</v>
      </c>
      <c r="Q7">
        <v>3461</v>
      </c>
      <c r="R7">
        <v>4151</v>
      </c>
      <c r="S7">
        <v>3461</v>
      </c>
      <c r="T7">
        <v>4151</v>
      </c>
      <c r="U7">
        <v>0</v>
      </c>
    </row>
    <row r="8" spans="1:21" x14ac:dyDescent="0.25">
      <c r="A8" t="s">
        <v>397</v>
      </c>
      <c r="B8">
        <f>+B5+B7</f>
        <v>3750</v>
      </c>
      <c r="C8">
        <f t="shared" ref="C8:U8" si="0">+C5+C7</f>
        <v>3750</v>
      </c>
      <c r="D8">
        <f t="shared" si="0"/>
        <v>4547</v>
      </c>
      <c r="E8">
        <f t="shared" si="0"/>
        <v>4547</v>
      </c>
      <c r="F8">
        <f t="shared" si="0"/>
        <v>0</v>
      </c>
      <c r="G8">
        <f t="shared" si="0"/>
        <v>0</v>
      </c>
      <c r="H8">
        <f t="shared" si="0"/>
        <v>19901</v>
      </c>
      <c r="I8">
        <f t="shared" si="0"/>
        <v>19901</v>
      </c>
      <c r="J8">
        <f t="shared" si="0"/>
        <v>4547</v>
      </c>
      <c r="K8">
        <f t="shared" si="0"/>
        <v>4547</v>
      </c>
      <c r="L8">
        <f t="shared" si="0"/>
        <v>33400</v>
      </c>
      <c r="M8">
        <f t="shared" si="0"/>
        <v>33400</v>
      </c>
      <c r="N8">
        <f t="shared" si="0"/>
        <v>0</v>
      </c>
      <c r="O8">
        <f t="shared" si="0"/>
        <v>0</v>
      </c>
      <c r="P8">
        <f t="shared" si="0"/>
        <v>0</v>
      </c>
      <c r="Q8">
        <f t="shared" si="0"/>
        <v>6452</v>
      </c>
      <c r="R8">
        <f t="shared" si="0"/>
        <v>7712</v>
      </c>
      <c r="S8">
        <f t="shared" si="0"/>
        <v>6452</v>
      </c>
      <c r="T8">
        <f t="shared" si="0"/>
        <v>7712</v>
      </c>
      <c r="U8">
        <f t="shared" si="0"/>
        <v>6800</v>
      </c>
    </row>
    <row r="9" spans="1:21" x14ac:dyDescent="0.25">
      <c r="A9" t="s">
        <v>394</v>
      </c>
      <c r="B9">
        <f>+B3*B4</f>
        <v>745.69499999999994</v>
      </c>
      <c r="C9">
        <f t="shared" ref="C9:U9" si="1">+C3*C4</f>
        <v>745.69499999999994</v>
      </c>
      <c r="D9">
        <f t="shared" si="1"/>
        <v>745.69499999999994</v>
      </c>
      <c r="E9">
        <f t="shared" si="1"/>
        <v>745.69499999999994</v>
      </c>
      <c r="F9">
        <f t="shared" si="1"/>
        <v>10575.9</v>
      </c>
      <c r="G9">
        <f t="shared" si="1"/>
        <v>4167.72</v>
      </c>
      <c r="H9">
        <f t="shared" si="1"/>
        <v>3403.6379999999999</v>
      </c>
      <c r="I9">
        <f t="shared" si="1"/>
        <v>3403.6379999999999</v>
      </c>
      <c r="J9">
        <f t="shared" si="1"/>
        <v>745.69499999999994</v>
      </c>
      <c r="K9">
        <f t="shared" si="1"/>
        <v>745.69499999999994</v>
      </c>
      <c r="L9">
        <f t="shared" si="1"/>
        <v>5311.8</v>
      </c>
      <c r="M9">
        <f t="shared" si="1"/>
        <v>5311.8</v>
      </c>
      <c r="N9">
        <f t="shared" si="1"/>
        <v>817.2</v>
      </c>
      <c r="O9">
        <f t="shared" si="1"/>
        <v>10575.9</v>
      </c>
      <c r="P9">
        <f t="shared" si="1"/>
        <v>10575.9</v>
      </c>
      <c r="Q9">
        <f t="shared" si="1"/>
        <v>2257.1064000000001</v>
      </c>
      <c r="R9">
        <f t="shared" si="1"/>
        <v>2257.1064000000001</v>
      </c>
      <c r="S9">
        <f t="shared" si="1"/>
        <v>2257.1064000000001</v>
      </c>
      <c r="T9">
        <f t="shared" si="1"/>
        <v>2257.1064000000001</v>
      </c>
      <c r="U9">
        <f t="shared" si="1"/>
        <v>6129</v>
      </c>
    </row>
    <row r="10" spans="1:21" x14ac:dyDescent="0.25">
      <c r="A10" t="s">
        <v>367</v>
      </c>
      <c r="B10">
        <f t="shared" ref="B10:U10" si="2">(+B3*B4)+B5+B6+B7</f>
        <v>4857.6949999999997</v>
      </c>
      <c r="C10">
        <f t="shared" si="2"/>
        <v>4857.6949999999997</v>
      </c>
      <c r="D10">
        <f t="shared" si="2"/>
        <v>5627.6450000000004</v>
      </c>
      <c r="E10">
        <f t="shared" si="2"/>
        <v>5627.6450000000004</v>
      </c>
      <c r="F10">
        <f t="shared" si="2"/>
        <v>30800.9</v>
      </c>
      <c r="G10">
        <f t="shared" si="2"/>
        <v>16702.72</v>
      </c>
      <c r="H10">
        <f t="shared" si="2"/>
        <v>27521.637999999999</v>
      </c>
      <c r="I10">
        <f t="shared" si="2"/>
        <v>27521.637999999999</v>
      </c>
      <c r="J10">
        <f t="shared" si="2"/>
        <v>5627.6450000000004</v>
      </c>
      <c r="K10">
        <f t="shared" si="2"/>
        <v>5627.6450000000004</v>
      </c>
      <c r="L10">
        <f t="shared" si="2"/>
        <v>154066.79999999999</v>
      </c>
      <c r="M10">
        <f t="shared" si="2"/>
        <v>154066.79999999999</v>
      </c>
      <c r="N10">
        <f t="shared" si="2"/>
        <v>38538.199999999997</v>
      </c>
      <c r="O10">
        <f t="shared" si="2"/>
        <v>30222.9</v>
      </c>
      <c r="P10">
        <f t="shared" si="2"/>
        <v>30222.9</v>
      </c>
      <c r="Q10">
        <f t="shared" si="2"/>
        <v>11912.106400000001</v>
      </c>
      <c r="R10">
        <f t="shared" si="2"/>
        <v>14652.106400000001</v>
      </c>
      <c r="S10">
        <f t="shared" si="2"/>
        <v>11912.106400000001</v>
      </c>
      <c r="T10">
        <f t="shared" si="2"/>
        <v>14652.106400000001</v>
      </c>
      <c r="U10">
        <f t="shared" si="2"/>
        <v>21579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9A363-0841-4AB8-971B-3393B54C14A0}">
  <dimension ref="A1:I200"/>
  <sheetViews>
    <sheetView workbookViewId="0">
      <selection activeCell="D26" sqref="D26"/>
    </sheetView>
  </sheetViews>
  <sheetFormatPr defaultRowHeight="15" x14ac:dyDescent="0.25"/>
  <cols>
    <col min="1" max="2" width="35.7109375" bestFit="1" customWidth="1"/>
    <col min="3" max="3" width="29.85546875" bestFit="1" customWidth="1"/>
    <col min="4" max="4" width="10.42578125" bestFit="1" customWidth="1"/>
    <col min="5" max="5" width="27.42578125" bestFit="1" customWidth="1"/>
    <col min="8" max="8" width="18.85546875" bestFit="1" customWidth="1"/>
    <col min="9" max="9" width="10.28515625" bestFit="1" customWidth="1"/>
  </cols>
  <sheetData>
    <row r="1" spans="1:9" x14ac:dyDescent="0.25"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</row>
    <row r="2" spans="1:9" x14ac:dyDescent="0.25">
      <c r="A2" t="s">
        <v>33</v>
      </c>
      <c r="B2">
        <v>8705</v>
      </c>
      <c r="C2" t="s">
        <v>61</v>
      </c>
      <c r="D2" t="s">
        <v>62</v>
      </c>
      <c r="E2" t="s">
        <v>63</v>
      </c>
      <c r="F2">
        <v>1</v>
      </c>
      <c r="G2">
        <v>0.27</v>
      </c>
      <c r="H2">
        <v>12</v>
      </c>
      <c r="I2">
        <v>0.27</v>
      </c>
    </row>
    <row r="3" spans="1:9" x14ac:dyDescent="0.25">
      <c r="A3" t="s">
        <v>33</v>
      </c>
      <c r="B3">
        <v>8705</v>
      </c>
      <c r="C3" t="s">
        <v>61</v>
      </c>
      <c r="D3" t="s">
        <v>64</v>
      </c>
      <c r="E3" t="s">
        <v>65</v>
      </c>
      <c r="F3">
        <v>1</v>
      </c>
      <c r="G3">
        <v>678.6</v>
      </c>
      <c r="H3">
        <v>12</v>
      </c>
      <c r="I3">
        <v>678.6</v>
      </c>
    </row>
    <row r="4" spans="1:9" x14ac:dyDescent="0.25">
      <c r="A4" t="s">
        <v>33</v>
      </c>
      <c r="B4">
        <v>8710</v>
      </c>
      <c r="C4" t="s">
        <v>66</v>
      </c>
      <c r="D4" t="s">
        <v>67</v>
      </c>
      <c r="E4" t="s">
        <v>68</v>
      </c>
      <c r="F4">
        <v>1</v>
      </c>
      <c r="G4">
        <v>41.35</v>
      </c>
      <c r="H4">
        <v>12</v>
      </c>
      <c r="I4">
        <v>41.35</v>
      </c>
    </row>
    <row r="5" spans="1:9" x14ac:dyDescent="0.25">
      <c r="A5" t="s">
        <v>33</v>
      </c>
      <c r="B5">
        <v>8715</v>
      </c>
      <c r="C5" t="s">
        <v>69</v>
      </c>
      <c r="D5" t="s">
        <v>70</v>
      </c>
      <c r="E5" t="s">
        <v>71</v>
      </c>
      <c r="F5">
        <v>2</v>
      </c>
      <c r="G5">
        <v>319.51</v>
      </c>
      <c r="H5">
        <v>12</v>
      </c>
      <c r="I5">
        <v>639.02</v>
      </c>
    </row>
    <row r="6" spans="1:9" x14ac:dyDescent="0.25">
      <c r="A6" t="s">
        <v>33</v>
      </c>
      <c r="B6">
        <v>8720</v>
      </c>
      <c r="C6" t="s">
        <v>72</v>
      </c>
      <c r="D6" t="s">
        <v>73</v>
      </c>
      <c r="E6" t="s">
        <v>74</v>
      </c>
      <c r="F6">
        <v>5</v>
      </c>
      <c r="G6">
        <v>0.48</v>
      </c>
      <c r="H6">
        <v>12</v>
      </c>
      <c r="I6">
        <v>2.4</v>
      </c>
    </row>
    <row r="7" spans="1:9" x14ac:dyDescent="0.25">
      <c r="A7" t="s">
        <v>33</v>
      </c>
      <c r="B7">
        <v>8720</v>
      </c>
      <c r="C7" t="s">
        <v>72</v>
      </c>
      <c r="D7" t="s">
        <v>75</v>
      </c>
      <c r="E7" t="s">
        <v>76</v>
      </c>
      <c r="F7">
        <v>75</v>
      </c>
      <c r="G7">
        <v>0.1</v>
      </c>
      <c r="H7">
        <v>12</v>
      </c>
      <c r="I7">
        <v>7.5</v>
      </c>
    </row>
    <row r="8" spans="1:9" x14ac:dyDescent="0.25">
      <c r="A8" t="s">
        <v>33</v>
      </c>
      <c r="B8">
        <v>8720</v>
      </c>
      <c r="C8" t="s">
        <v>72</v>
      </c>
      <c r="D8" t="s">
        <v>77</v>
      </c>
      <c r="E8" t="s">
        <v>74</v>
      </c>
      <c r="F8">
        <v>10</v>
      </c>
      <c r="G8">
        <v>1.0900000000000001</v>
      </c>
      <c r="H8">
        <v>12</v>
      </c>
      <c r="I8">
        <v>10.9</v>
      </c>
    </row>
    <row r="9" spans="1:9" x14ac:dyDescent="0.25">
      <c r="A9" t="s">
        <v>33</v>
      </c>
      <c r="B9">
        <v>8720</v>
      </c>
      <c r="C9" t="s">
        <v>72</v>
      </c>
      <c r="D9" t="s">
        <v>78</v>
      </c>
      <c r="E9" t="s">
        <v>76</v>
      </c>
      <c r="F9">
        <v>20</v>
      </c>
      <c r="G9">
        <v>0.6</v>
      </c>
      <c r="H9">
        <v>12</v>
      </c>
      <c r="I9">
        <v>12</v>
      </c>
    </row>
    <row r="10" spans="1:9" x14ac:dyDescent="0.25">
      <c r="A10" t="s">
        <v>33</v>
      </c>
      <c r="B10">
        <v>8720</v>
      </c>
      <c r="C10" t="s">
        <v>72</v>
      </c>
      <c r="D10" t="s">
        <v>79</v>
      </c>
      <c r="E10" t="s">
        <v>74</v>
      </c>
      <c r="F10">
        <v>15</v>
      </c>
      <c r="G10">
        <v>1.63</v>
      </c>
      <c r="H10">
        <v>12</v>
      </c>
      <c r="I10">
        <v>24.45</v>
      </c>
    </row>
    <row r="11" spans="1:9" x14ac:dyDescent="0.25">
      <c r="A11" t="s">
        <v>33</v>
      </c>
      <c r="B11">
        <v>8720</v>
      </c>
      <c r="C11" t="s">
        <v>72</v>
      </c>
      <c r="D11" t="s">
        <v>80</v>
      </c>
      <c r="E11" t="s">
        <v>74</v>
      </c>
      <c r="F11">
        <v>40</v>
      </c>
      <c r="G11">
        <v>0.75</v>
      </c>
      <c r="H11">
        <v>12</v>
      </c>
      <c r="I11">
        <v>30</v>
      </c>
    </row>
    <row r="12" spans="1:9" x14ac:dyDescent="0.25">
      <c r="A12" t="s">
        <v>33</v>
      </c>
      <c r="B12">
        <v>8720</v>
      </c>
      <c r="C12" t="s">
        <v>72</v>
      </c>
      <c r="D12" t="s">
        <v>81</v>
      </c>
      <c r="E12" t="s">
        <v>74</v>
      </c>
      <c r="F12">
        <v>65</v>
      </c>
      <c r="G12">
        <v>0.6</v>
      </c>
      <c r="H12">
        <v>12</v>
      </c>
      <c r="I12">
        <v>39</v>
      </c>
    </row>
    <row r="13" spans="1:9" x14ac:dyDescent="0.25">
      <c r="A13" t="s">
        <v>33</v>
      </c>
      <c r="B13">
        <v>8720</v>
      </c>
      <c r="C13" t="s">
        <v>72</v>
      </c>
      <c r="D13" t="s">
        <v>82</v>
      </c>
      <c r="E13" t="s">
        <v>83</v>
      </c>
      <c r="F13">
        <v>5</v>
      </c>
      <c r="G13">
        <v>15.94</v>
      </c>
      <c r="H13">
        <v>12</v>
      </c>
      <c r="I13">
        <v>79.7</v>
      </c>
    </row>
    <row r="14" spans="1:9" x14ac:dyDescent="0.25">
      <c r="A14" t="s">
        <v>33</v>
      </c>
      <c r="B14">
        <v>8720</v>
      </c>
      <c r="C14" t="s">
        <v>72</v>
      </c>
      <c r="D14" t="s">
        <v>84</v>
      </c>
      <c r="E14" t="s">
        <v>85</v>
      </c>
      <c r="F14">
        <v>5</v>
      </c>
      <c r="G14">
        <v>85.18</v>
      </c>
      <c r="H14">
        <v>12</v>
      </c>
      <c r="I14">
        <v>425.90000000000003</v>
      </c>
    </row>
    <row r="15" spans="1:9" x14ac:dyDescent="0.25">
      <c r="A15" t="s">
        <v>33</v>
      </c>
      <c r="B15">
        <v>8720</v>
      </c>
      <c r="C15" t="s">
        <v>72</v>
      </c>
      <c r="D15" t="s">
        <v>86</v>
      </c>
      <c r="E15" t="s">
        <v>85</v>
      </c>
      <c r="F15">
        <v>5</v>
      </c>
      <c r="G15">
        <v>120.09</v>
      </c>
      <c r="H15">
        <v>12</v>
      </c>
      <c r="I15">
        <v>600.45000000000005</v>
      </c>
    </row>
    <row r="16" spans="1:9" x14ac:dyDescent="0.25">
      <c r="A16" t="s">
        <v>33</v>
      </c>
      <c r="B16">
        <v>8720</v>
      </c>
      <c r="C16" t="s">
        <v>72</v>
      </c>
      <c r="D16" t="s">
        <v>87</v>
      </c>
      <c r="E16" t="s">
        <v>88</v>
      </c>
      <c r="F16">
        <v>5</v>
      </c>
      <c r="G16">
        <v>134.87</v>
      </c>
      <c r="H16">
        <v>12</v>
      </c>
      <c r="I16">
        <v>674.35</v>
      </c>
    </row>
    <row r="17" spans="1:9" x14ac:dyDescent="0.25">
      <c r="A17" t="s">
        <v>33</v>
      </c>
      <c r="B17">
        <v>8720</v>
      </c>
      <c r="C17" t="s">
        <v>72</v>
      </c>
      <c r="D17" t="s">
        <v>89</v>
      </c>
      <c r="E17" t="s">
        <v>85</v>
      </c>
      <c r="F17">
        <v>5</v>
      </c>
      <c r="G17">
        <v>175.65</v>
      </c>
      <c r="H17">
        <v>12</v>
      </c>
      <c r="I17">
        <v>878.25</v>
      </c>
    </row>
    <row r="18" spans="1:9" x14ac:dyDescent="0.25">
      <c r="A18" t="s">
        <v>33</v>
      </c>
      <c r="B18">
        <v>8720</v>
      </c>
      <c r="C18" t="s">
        <v>72</v>
      </c>
      <c r="D18" t="s">
        <v>90</v>
      </c>
      <c r="E18" t="s">
        <v>88</v>
      </c>
      <c r="F18">
        <v>5</v>
      </c>
      <c r="G18">
        <v>198.25</v>
      </c>
      <c r="H18">
        <v>12</v>
      </c>
      <c r="I18">
        <v>991.25</v>
      </c>
    </row>
    <row r="19" spans="1:9" x14ac:dyDescent="0.25">
      <c r="A19" t="s">
        <v>33</v>
      </c>
      <c r="B19">
        <v>8725</v>
      </c>
      <c r="C19" t="s">
        <v>91</v>
      </c>
      <c r="D19" t="s">
        <v>92</v>
      </c>
      <c r="E19" t="s">
        <v>93</v>
      </c>
      <c r="F19">
        <v>5</v>
      </c>
      <c r="G19">
        <v>15.11</v>
      </c>
      <c r="H19">
        <v>12</v>
      </c>
      <c r="I19">
        <v>75.55</v>
      </c>
    </row>
    <row r="20" spans="1:9" x14ac:dyDescent="0.25">
      <c r="A20" t="s">
        <v>33</v>
      </c>
      <c r="B20">
        <v>8726</v>
      </c>
      <c r="C20" t="s">
        <v>91</v>
      </c>
      <c r="D20" t="s">
        <v>94</v>
      </c>
      <c r="E20" t="s">
        <v>95</v>
      </c>
      <c r="F20">
        <v>1</v>
      </c>
      <c r="G20">
        <v>537</v>
      </c>
      <c r="H20">
        <v>12</v>
      </c>
      <c r="I20">
        <v>537</v>
      </c>
    </row>
    <row r="21" spans="1:9" x14ac:dyDescent="0.25">
      <c r="A21" t="s">
        <v>34</v>
      </c>
      <c r="B21">
        <v>9315</v>
      </c>
      <c r="C21" t="s">
        <v>96</v>
      </c>
      <c r="D21" t="s">
        <v>97</v>
      </c>
      <c r="E21" t="s">
        <v>98</v>
      </c>
      <c r="F21">
        <v>5</v>
      </c>
      <c r="G21">
        <v>148.69999999999999</v>
      </c>
      <c r="H21">
        <v>8</v>
      </c>
      <c r="I21">
        <v>743.5</v>
      </c>
    </row>
    <row r="22" spans="1:9" x14ac:dyDescent="0.25">
      <c r="A22" t="s">
        <v>34</v>
      </c>
      <c r="B22">
        <v>9315</v>
      </c>
      <c r="C22" t="s">
        <v>96</v>
      </c>
      <c r="D22" t="s">
        <v>99</v>
      </c>
      <c r="E22" t="s">
        <v>100</v>
      </c>
      <c r="F22">
        <v>5</v>
      </c>
      <c r="G22">
        <v>1008</v>
      </c>
      <c r="I22">
        <v>5040</v>
      </c>
    </row>
    <row r="23" spans="1:9" x14ac:dyDescent="0.25">
      <c r="A23" t="s">
        <v>34</v>
      </c>
      <c r="B23">
        <v>9315</v>
      </c>
      <c r="C23" t="s">
        <v>96</v>
      </c>
      <c r="D23" t="s">
        <v>101</v>
      </c>
      <c r="E23" t="s">
        <v>102</v>
      </c>
      <c r="F23">
        <v>1</v>
      </c>
      <c r="G23">
        <v>1134.6099999999999</v>
      </c>
      <c r="H23">
        <v>8</v>
      </c>
      <c r="I23">
        <v>1134.6099999999999</v>
      </c>
    </row>
    <row r="24" spans="1:9" x14ac:dyDescent="0.25">
      <c r="A24" t="s">
        <v>34</v>
      </c>
      <c r="B24">
        <v>9315</v>
      </c>
      <c r="C24" t="s">
        <v>96</v>
      </c>
      <c r="D24" t="s">
        <v>103</v>
      </c>
      <c r="E24" t="s">
        <v>104</v>
      </c>
      <c r="F24">
        <v>1</v>
      </c>
      <c r="G24">
        <v>331.72</v>
      </c>
      <c r="H24">
        <v>8</v>
      </c>
      <c r="I24">
        <v>331.72</v>
      </c>
    </row>
    <row r="25" spans="1:9" x14ac:dyDescent="0.25">
      <c r="A25" t="s">
        <v>34</v>
      </c>
      <c r="B25">
        <v>9315</v>
      </c>
      <c r="C25" t="s">
        <v>96</v>
      </c>
      <c r="D25" t="s">
        <v>105</v>
      </c>
      <c r="E25" t="s">
        <v>106</v>
      </c>
      <c r="F25">
        <v>1</v>
      </c>
      <c r="G25">
        <v>28.56</v>
      </c>
      <c r="H25">
        <v>8</v>
      </c>
      <c r="I25">
        <v>28.56</v>
      </c>
    </row>
    <row r="26" spans="1:9" x14ac:dyDescent="0.25">
      <c r="A26" t="s">
        <v>34</v>
      </c>
      <c r="B26">
        <v>9316</v>
      </c>
      <c r="C26" t="s">
        <v>96</v>
      </c>
      <c r="D26" t="s">
        <v>107</v>
      </c>
      <c r="E26" t="s">
        <v>108</v>
      </c>
      <c r="F26">
        <v>1</v>
      </c>
      <c r="G26">
        <v>51.96</v>
      </c>
      <c r="H26">
        <v>8</v>
      </c>
      <c r="I26">
        <v>51.96</v>
      </c>
    </row>
    <row r="27" spans="1:9" x14ac:dyDescent="0.25">
      <c r="A27" t="s">
        <v>35</v>
      </c>
      <c r="B27">
        <v>5615</v>
      </c>
      <c r="C27" t="s">
        <v>109</v>
      </c>
      <c r="D27" t="s">
        <v>110</v>
      </c>
      <c r="E27" t="s">
        <v>111</v>
      </c>
      <c r="F27">
        <v>2.5</v>
      </c>
      <c r="G27">
        <v>93.85</v>
      </c>
      <c r="H27">
        <v>4</v>
      </c>
      <c r="I27">
        <v>234.625</v>
      </c>
    </row>
    <row r="28" spans="1:9" x14ac:dyDescent="0.25">
      <c r="A28" t="s">
        <v>35</v>
      </c>
      <c r="B28">
        <v>5615</v>
      </c>
      <c r="C28" t="s">
        <v>109</v>
      </c>
      <c r="D28" t="s">
        <v>112</v>
      </c>
      <c r="E28" t="s">
        <v>113</v>
      </c>
      <c r="F28">
        <v>5</v>
      </c>
      <c r="G28">
        <v>82.51</v>
      </c>
      <c r="H28">
        <v>4</v>
      </c>
      <c r="I28">
        <v>412.55</v>
      </c>
    </row>
    <row r="29" spans="1:9" x14ac:dyDescent="0.25">
      <c r="A29" t="s">
        <v>35</v>
      </c>
      <c r="B29">
        <v>6265</v>
      </c>
      <c r="C29" t="s">
        <v>114</v>
      </c>
      <c r="D29" t="s">
        <v>110</v>
      </c>
      <c r="E29" t="s">
        <v>111</v>
      </c>
      <c r="F29">
        <v>5.75</v>
      </c>
      <c r="G29">
        <v>93.85</v>
      </c>
      <c r="H29">
        <v>4</v>
      </c>
      <c r="I29">
        <v>539.63749999999993</v>
      </c>
    </row>
    <row r="30" spans="1:9" x14ac:dyDescent="0.25">
      <c r="A30" t="s">
        <v>35</v>
      </c>
      <c r="B30">
        <v>6265</v>
      </c>
      <c r="C30" t="s">
        <v>114</v>
      </c>
      <c r="D30" t="s">
        <v>112</v>
      </c>
      <c r="E30" t="s">
        <v>113</v>
      </c>
      <c r="F30">
        <v>5.75</v>
      </c>
      <c r="G30">
        <v>82.51</v>
      </c>
      <c r="H30">
        <v>4</v>
      </c>
      <c r="I30">
        <v>474.4325</v>
      </c>
    </row>
    <row r="31" spans="1:9" x14ac:dyDescent="0.25">
      <c r="A31" t="s">
        <v>36</v>
      </c>
      <c r="B31">
        <v>8010</v>
      </c>
      <c r="C31" t="s">
        <v>115</v>
      </c>
      <c r="D31" t="s">
        <v>116</v>
      </c>
      <c r="E31" t="s">
        <v>117</v>
      </c>
      <c r="F31">
        <v>1</v>
      </c>
      <c r="G31">
        <v>0.2</v>
      </c>
      <c r="H31">
        <v>12</v>
      </c>
      <c r="I31">
        <v>0.2</v>
      </c>
    </row>
    <row r="32" spans="1:9" x14ac:dyDescent="0.25">
      <c r="A32" t="s">
        <v>36</v>
      </c>
      <c r="B32">
        <v>8010</v>
      </c>
      <c r="C32" t="s">
        <v>115</v>
      </c>
      <c r="D32" t="s">
        <v>118</v>
      </c>
      <c r="E32" t="s">
        <v>119</v>
      </c>
      <c r="F32">
        <v>1</v>
      </c>
      <c r="G32">
        <v>0.65</v>
      </c>
      <c r="H32">
        <v>12</v>
      </c>
      <c r="I32">
        <v>0.65</v>
      </c>
    </row>
    <row r="33" spans="1:9" x14ac:dyDescent="0.25">
      <c r="A33" t="s">
        <v>36</v>
      </c>
      <c r="B33">
        <v>8010</v>
      </c>
      <c r="C33" t="s">
        <v>115</v>
      </c>
      <c r="D33" t="s">
        <v>120</v>
      </c>
      <c r="E33" t="s">
        <v>117</v>
      </c>
      <c r="F33">
        <v>6</v>
      </c>
      <c r="G33">
        <v>1.22</v>
      </c>
      <c r="H33">
        <v>12</v>
      </c>
      <c r="I33">
        <v>7.32</v>
      </c>
    </row>
    <row r="34" spans="1:9" x14ac:dyDescent="0.25">
      <c r="A34" t="s">
        <v>36</v>
      </c>
      <c r="B34">
        <v>8010</v>
      </c>
      <c r="C34" t="s">
        <v>115</v>
      </c>
      <c r="D34" t="s">
        <v>121</v>
      </c>
      <c r="E34" t="s">
        <v>117</v>
      </c>
      <c r="F34">
        <v>1</v>
      </c>
      <c r="G34">
        <v>212.1</v>
      </c>
      <c r="H34">
        <v>12</v>
      </c>
      <c r="I34">
        <v>212.1</v>
      </c>
    </row>
    <row r="35" spans="1:9" x14ac:dyDescent="0.25">
      <c r="A35" t="s">
        <v>36</v>
      </c>
      <c r="B35">
        <v>8010</v>
      </c>
      <c r="C35" t="s">
        <v>115</v>
      </c>
      <c r="D35" t="s">
        <v>122</v>
      </c>
      <c r="E35" t="s">
        <v>76</v>
      </c>
      <c r="F35">
        <v>6</v>
      </c>
      <c r="G35">
        <v>11.68</v>
      </c>
      <c r="H35">
        <v>12</v>
      </c>
      <c r="I35">
        <v>70.08</v>
      </c>
    </row>
    <row r="36" spans="1:9" x14ac:dyDescent="0.25">
      <c r="A36" t="s">
        <v>36</v>
      </c>
      <c r="B36">
        <v>8010</v>
      </c>
      <c r="C36" t="s">
        <v>115</v>
      </c>
      <c r="D36" t="s">
        <v>123</v>
      </c>
      <c r="E36" t="s">
        <v>119</v>
      </c>
      <c r="F36">
        <v>2</v>
      </c>
      <c r="G36">
        <v>95.95</v>
      </c>
      <c r="H36">
        <v>12</v>
      </c>
      <c r="I36">
        <v>191.9</v>
      </c>
    </row>
    <row r="37" spans="1:9" x14ac:dyDescent="0.25">
      <c r="A37" t="s">
        <v>36</v>
      </c>
      <c r="B37">
        <v>8010</v>
      </c>
      <c r="C37" t="s">
        <v>115</v>
      </c>
      <c r="D37" t="s">
        <v>124</v>
      </c>
      <c r="E37" t="s">
        <v>119</v>
      </c>
      <c r="F37">
        <v>4</v>
      </c>
      <c r="G37">
        <v>51.59</v>
      </c>
      <c r="H37">
        <v>12</v>
      </c>
      <c r="I37">
        <v>206.36</v>
      </c>
    </row>
    <row r="38" spans="1:9" x14ac:dyDescent="0.25">
      <c r="A38" t="s">
        <v>36</v>
      </c>
      <c r="B38">
        <v>8010</v>
      </c>
      <c r="C38" t="s">
        <v>115</v>
      </c>
      <c r="D38" t="s">
        <v>125</v>
      </c>
      <c r="E38" t="s">
        <v>117</v>
      </c>
      <c r="F38">
        <v>6</v>
      </c>
      <c r="G38">
        <v>35.99</v>
      </c>
      <c r="H38">
        <v>12</v>
      </c>
      <c r="I38">
        <v>215.94</v>
      </c>
    </row>
    <row r="39" spans="1:9" x14ac:dyDescent="0.25">
      <c r="A39" t="s">
        <v>36</v>
      </c>
      <c r="B39">
        <v>8010</v>
      </c>
      <c r="C39" t="s">
        <v>115</v>
      </c>
      <c r="D39" t="s">
        <v>126</v>
      </c>
      <c r="E39" t="s">
        <v>127</v>
      </c>
      <c r="F39">
        <v>6</v>
      </c>
      <c r="G39">
        <v>322.26</v>
      </c>
      <c r="H39">
        <v>12</v>
      </c>
      <c r="I39">
        <v>1933.56</v>
      </c>
    </row>
    <row r="40" spans="1:9" x14ac:dyDescent="0.25">
      <c r="A40" t="s">
        <v>36</v>
      </c>
      <c r="B40">
        <v>3805</v>
      </c>
      <c r="C40" t="s">
        <v>128</v>
      </c>
      <c r="D40" t="s">
        <v>129</v>
      </c>
      <c r="E40" t="s">
        <v>130</v>
      </c>
      <c r="F40">
        <v>1</v>
      </c>
      <c r="G40">
        <v>5266</v>
      </c>
      <c r="H40">
        <v>12</v>
      </c>
      <c r="I40">
        <v>5266</v>
      </c>
    </row>
    <row r="41" spans="1:9" x14ac:dyDescent="0.25">
      <c r="A41" t="s">
        <v>36</v>
      </c>
      <c r="B41">
        <v>3805</v>
      </c>
      <c r="C41" t="s">
        <v>131</v>
      </c>
      <c r="D41" t="s">
        <v>132</v>
      </c>
      <c r="E41" t="s">
        <v>133</v>
      </c>
      <c r="F41">
        <v>1</v>
      </c>
      <c r="G41">
        <v>914.72</v>
      </c>
      <c r="H41">
        <v>12</v>
      </c>
      <c r="I41">
        <v>914.72</v>
      </c>
    </row>
    <row r="42" spans="1:9" x14ac:dyDescent="0.25">
      <c r="A42" t="s">
        <v>37</v>
      </c>
      <c r="B42">
        <v>4010</v>
      </c>
      <c r="C42" t="s">
        <v>134</v>
      </c>
      <c r="D42" t="s">
        <v>135</v>
      </c>
      <c r="E42" t="s">
        <v>136</v>
      </c>
      <c r="F42">
        <v>1</v>
      </c>
      <c r="G42">
        <v>328.84</v>
      </c>
      <c r="H42">
        <v>8</v>
      </c>
      <c r="I42">
        <v>328.84</v>
      </c>
    </row>
    <row r="43" spans="1:9" x14ac:dyDescent="0.25">
      <c r="A43" t="s">
        <v>37</v>
      </c>
      <c r="B43">
        <v>4010</v>
      </c>
      <c r="C43" t="s">
        <v>134</v>
      </c>
      <c r="D43" t="s">
        <v>137</v>
      </c>
      <c r="E43" t="s">
        <v>138</v>
      </c>
      <c r="F43">
        <v>1</v>
      </c>
      <c r="G43">
        <v>210.59</v>
      </c>
      <c r="H43">
        <v>8</v>
      </c>
      <c r="I43">
        <v>210.59</v>
      </c>
    </row>
    <row r="44" spans="1:9" x14ac:dyDescent="0.25">
      <c r="A44" t="s">
        <v>37</v>
      </c>
      <c r="B44">
        <v>4010</v>
      </c>
      <c r="C44" t="s">
        <v>134</v>
      </c>
      <c r="D44" t="s">
        <v>139</v>
      </c>
      <c r="E44" t="s">
        <v>140</v>
      </c>
      <c r="F44">
        <v>2</v>
      </c>
      <c r="G44">
        <v>1608.91</v>
      </c>
      <c r="H44">
        <v>8</v>
      </c>
      <c r="I44">
        <v>3217.82</v>
      </c>
    </row>
    <row r="45" spans="1:9" x14ac:dyDescent="0.25">
      <c r="A45" t="s">
        <v>141</v>
      </c>
      <c r="B45">
        <v>4010</v>
      </c>
      <c r="C45" t="s">
        <v>134</v>
      </c>
      <c r="D45" t="s">
        <v>142</v>
      </c>
      <c r="E45" t="s">
        <v>143</v>
      </c>
      <c r="F45">
        <v>2</v>
      </c>
      <c r="G45">
        <v>14207.31</v>
      </c>
      <c r="H45">
        <v>8</v>
      </c>
      <c r="I45">
        <v>28414.62</v>
      </c>
    </row>
    <row r="46" spans="1:9" x14ac:dyDescent="0.25">
      <c r="A46" t="s">
        <v>141</v>
      </c>
      <c r="B46">
        <v>4010</v>
      </c>
      <c r="C46" t="s">
        <v>134</v>
      </c>
      <c r="D46" t="s">
        <v>144</v>
      </c>
      <c r="E46" t="s">
        <v>145</v>
      </c>
      <c r="F46">
        <v>2</v>
      </c>
      <c r="G46">
        <v>6207.94</v>
      </c>
      <c r="H46">
        <v>8</v>
      </c>
      <c r="I46">
        <v>12415.88</v>
      </c>
    </row>
    <row r="47" spans="1:9" x14ac:dyDescent="0.25">
      <c r="A47" t="s">
        <v>146</v>
      </c>
      <c r="B47">
        <v>4010</v>
      </c>
      <c r="C47" t="s">
        <v>134</v>
      </c>
      <c r="D47" t="s">
        <v>147</v>
      </c>
      <c r="E47" t="s">
        <v>148</v>
      </c>
      <c r="F47">
        <v>1</v>
      </c>
      <c r="G47">
        <v>6282</v>
      </c>
      <c r="H47">
        <v>8</v>
      </c>
      <c r="I47">
        <v>6282</v>
      </c>
    </row>
    <row r="48" spans="1:9" x14ac:dyDescent="0.25">
      <c r="A48" t="s">
        <v>149</v>
      </c>
      <c r="B48">
        <v>9510</v>
      </c>
      <c r="C48" t="s">
        <v>150</v>
      </c>
      <c r="D48" t="s">
        <v>151</v>
      </c>
      <c r="E48" t="s">
        <v>152</v>
      </c>
      <c r="F48">
        <v>0.8</v>
      </c>
      <c r="G48">
        <v>0.55000000000000004</v>
      </c>
      <c r="H48">
        <v>16</v>
      </c>
      <c r="I48">
        <v>0.44000000000000006</v>
      </c>
    </row>
    <row r="49" spans="1:9" x14ac:dyDescent="0.25">
      <c r="A49" t="s">
        <v>149</v>
      </c>
      <c r="B49">
        <v>9510</v>
      </c>
      <c r="C49" t="s">
        <v>150</v>
      </c>
      <c r="D49" t="s">
        <v>153</v>
      </c>
      <c r="E49" t="s">
        <v>154</v>
      </c>
      <c r="F49">
        <v>0.8</v>
      </c>
      <c r="G49">
        <v>4.4000000000000004</v>
      </c>
      <c r="H49">
        <v>16</v>
      </c>
      <c r="I49">
        <v>3.5200000000000005</v>
      </c>
    </row>
    <row r="50" spans="1:9" x14ac:dyDescent="0.25">
      <c r="A50" t="s">
        <v>149</v>
      </c>
      <c r="B50">
        <v>9510</v>
      </c>
      <c r="C50" t="s">
        <v>150</v>
      </c>
      <c r="D50" t="s">
        <v>155</v>
      </c>
      <c r="E50" t="s">
        <v>119</v>
      </c>
      <c r="F50">
        <v>4.8</v>
      </c>
      <c r="G50">
        <v>0.93</v>
      </c>
      <c r="H50">
        <v>16</v>
      </c>
      <c r="I50">
        <v>4.4640000000000004</v>
      </c>
    </row>
    <row r="51" spans="1:9" x14ac:dyDescent="0.25">
      <c r="A51" t="s">
        <v>149</v>
      </c>
      <c r="B51">
        <v>9510</v>
      </c>
      <c r="C51" t="s">
        <v>150</v>
      </c>
      <c r="D51" t="s">
        <v>156</v>
      </c>
      <c r="E51" t="s">
        <v>117</v>
      </c>
      <c r="F51">
        <v>4.8</v>
      </c>
      <c r="G51">
        <v>3.42</v>
      </c>
      <c r="H51">
        <v>16</v>
      </c>
      <c r="I51">
        <v>16.416</v>
      </c>
    </row>
    <row r="52" spans="1:9" x14ac:dyDescent="0.25">
      <c r="A52" t="s">
        <v>149</v>
      </c>
      <c r="B52">
        <v>9510</v>
      </c>
      <c r="C52" t="s">
        <v>150</v>
      </c>
      <c r="D52" t="s">
        <v>157</v>
      </c>
      <c r="E52" t="s">
        <v>158</v>
      </c>
      <c r="F52">
        <v>0.8</v>
      </c>
      <c r="G52">
        <v>22.36</v>
      </c>
      <c r="H52">
        <v>16</v>
      </c>
      <c r="I52">
        <v>17.888000000000002</v>
      </c>
    </row>
    <row r="53" spans="1:9" x14ac:dyDescent="0.25">
      <c r="A53" t="s">
        <v>149</v>
      </c>
      <c r="B53">
        <v>9510</v>
      </c>
      <c r="C53" t="s">
        <v>150</v>
      </c>
      <c r="D53" t="s">
        <v>159</v>
      </c>
      <c r="E53" t="s">
        <v>160</v>
      </c>
      <c r="F53">
        <v>0.8</v>
      </c>
      <c r="G53">
        <v>23.07</v>
      </c>
      <c r="H53">
        <v>16</v>
      </c>
      <c r="I53">
        <v>18.456</v>
      </c>
    </row>
    <row r="54" spans="1:9" x14ac:dyDescent="0.25">
      <c r="A54" t="s">
        <v>149</v>
      </c>
      <c r="B54">
        <v>9510</v>
      </c>
      <c r="C54" t="s">
        <v>150</v>
      </c>
      <c r="D54" t="s">
        <v>161</v>
      </c>
      <c r="E54" t="s">
        <v>117</v>
      </c>
      <c r="F54">
        <v>3.2</v>
      </c>
      <c r="G54">
        <v>9.3800000000000008</v>
      </c>
      <c r="H54">
        <v>16</v>
      </c>
      <c r="I54">
        <v>30.016000000000005</v>
      </c>
    </row>
    <row r="55" spans="1:9" x14ac:dyDescent="0.25">
      <c r="A55" t="s">
        <v>149</v>
      </c>
      <c r="B55">
        <v>9510</v>
      </c>
      <c r="C55" t="s">
        <v>150</v>
      </c>
      <c r="D55" t="s">
        <v>116</v>
      </c>
      <c r="E55" t="s">
        <v>117</v>
      </c>
      <c r="F55">
        <v>168</v>
      </c>
      <c r="G55">
        <v>0.2</v>
      </c>
      <c r="H55">
        <v>16</v>
      </c>
      <c r="I55">
        <v>33.6</v>
      </c>
    </row>
    <row r="56" spans="1:9" x14ac:dyDescent="0.25">
      <c r="A56" t="s">
        <v>149</v>
      </c>
      <c r="B56">
        <v>9510</v>
      </c>
      <c r="C56" t="s">
        <v>150</v>
      </c>
      <c r="D56" t="s">
        <v>162</v>
      </c>
      <c r="E56" t="s">
        <v>163</v>
      </c>
      <c r="F56">
        <v>2.8</v>
      </c>
      <c r="G56">
        <v>12.47</v>
      </c>
      <c r="H56">
        <v>16</v>
      </c>
      <c r="I56">
        <v>34.915999999999997</v>
      </c>
    </row>
    <row r="57" spans="1:9" x14ac:dyDescent="0.25">
      <c r="A57" t="s">
        <v>149</v>
      </c>
      <c r="B57">
        <v>9510</v>
      </c>
      <c r="C57" t="s">
        <v>150</v>
      </c>
      <c r="D57" t="s">
        <v>164</v>
      </c>
      <c r="E57" t="s">
        <v>165</v>
      </c>
      <c r="F57">
        <v>0.8</v>
      </c>
      <c r="G57">
        <v>49.2</v>
      </c>
      <c r="H57">
        <v>16</v>
      </c>
      <c r="I57">
        <v>39.360000000000007</v>
      </c>
    </row>
    <row r="58" spans="1:9" x14ac:dyDescent="0.25">
      <c r="A58" t="s">
        <v>149</v>
      </c>
      <c r="B58">
        <v>9510</v>
      </c>
      <c r="C58" t="s">
        <v>150</v>
      </c>
      <c r="D58" t="s">
        <v>166</v>
      </c>
      <c r="E58" t="s">
        <v>167</v>
      </c>
      <c r="F58">
        <v>2.4</v>
      </c>
      <c r="G58">
        <v>23.01</v>
      </c>
      <c r="H58">
        <v>16</v>
      </c>
      <c r="I58">
        <v>55.224000000000004</v>
      </c>
    </row>
    <row r="59" spans="1:9" x14ac:dyDescent="0.25">
      <c r="A59" t="s">
        <v>149</v>
      </c>
      <c r="B59">
        <v>9510</v>
      </c>
      <c r="C59" t="s">
        <v>150</v>
      </c>
      <c r="D59" t="s">
        <v>168</v>
      </c>
      <c r="E59" t="s">
        <v>76</v>
      </c>
      <c r="F59">
        <v>84</v>
      </c>
      <c r="G59">
        <v>0.76</v>
      </c>
      <c r="H59">
        <v>16</v>
      </c>
      <c r="I59">
        <v>63.84</v>
      </c>
    </row>
    <row r="60" spans="1:9" x14ac:dyDescent="0.25">
      <c r="A60" t="s">
        <v>149</v>
      </c>
      <c r="B60">
        <v>9510</v>
      </c>
      <c r="C60" t="s">
        <v>150</v>
      </c>
      <c r="D60" t="s">
        <v>169</v>
      </c>
      <c r="E60" t="s">
        <v>170</v>
      </c>
      <c r="F60">
        <v>1.2</v>
      </c>
      <c r="G60">
        <v>53.41</v>
      </c>
      <c r="H60">
        <v>16</v>
      </c>
      <c r="I60">
        <v>64.091999999999999</v>
      </c>
    </row>
    <row r="61" spans="1:9" x14ac:dyDescent="0.25">
      <c r="A61" t="s">
        <v>149</v>
      </c>
      <c r="B61">
        <v>9510</v>
      </c>
      <c r="C61" t="s">
        <v>150</v>
      </c>
      <c r="D61" t="s">
        <v>171</v>
      </c>
      <c r="E61" t="s">
        <v>119</v>
      </c>
      <c r="F61">
        <v>3.2</v>
      </c>
      <c r="G61">
        <v>20.420000000000002</v>
      </c>
      <c r="H61">
        <v>16</v>
      </c>
      <c r="I61">
        <v>65.344000000000008</v>
      </c>
    </row>
    <row r="62" spans="1:9" x14ac:dyDescent="0.25">
      <c r="A62" t="s">
        <v>149</v>
      </c>
      <c r="B62">
        <v>9510</v>
      </c>
      <c r="C62" t="s">
        <v>150</v>
      </c>
      <c r="D62" t="s">
        <v>172</v>
      </c>
      <c r="E62" t="s">
        <v>173</v>
      </c>
      <c r="F62">
        <v>8</v>
      </c>
      <c r="G62">
        <v>12.09</v>
      </c>
      <c r="H62">
        <v>16</v>
      </c>
      <c r="I62">
        <v>96.72</v>
      </c>
    </row>
    <row r="63" spans="1:9" x14ac:dyDescent="0.25">
      <c r="A63" t="s">
        <v>149</v>
      </c>
      <c r="B63">
        <v>9510</v>
      </c>
      <c r="C63" t="s">
        <v>150</v>
      </c>
      <c r="D63" t="s">
        <v>174</v>
      </c>
      <c r="E63" t="s">
        <v>175</v>
      </c>
      <c r="F63">
        <v>0.8</v>
      </c>
      <c r="G63">
        <v>124.06</v>
      </c>
      <c r="H63">
        <v>16</v>
      </c>
      <c r="I63">
        <v>99.248000000000005</v>
      </c>
    </row>
    <row r="64" spans="1:9" x14ac:dyDescent="0.25">
      <c r="A64" t="s">
        <v>149</v>
      </c>
      <c r="B64">
        <v>9510</v>
      </c>
      <c r="C64" t="s">
        <v>150</v>
      </c>
      <c r="D64" t="s">
        <v>176</v>
      </c>
      <c r="E64" t="s">
        <v>119</v>
      </c>
      <c r="F64">
        <v>117.6</v>
      </c>
      <c r="G64">
        <v>0.99</v>
      </c>
      <c r="H64">
        <v>16</v>
      </c>
      <c r="I64">
        <v>116.42399999999999</v>
      </c>
    </row>
    <row r="65" spans="1:9" x14ac:dyDescent="0.25">
      <c r="A65" t="s">
        <v>149</v>
      </c>
      <c r="B65">
        <v>9510</v>
      </c>
      <c r="C65" t="s">
        <v>150</v>
      </c>
      <c r="D65" t="s">
        <v>177</v>
      </c>
      <c r="E65" t="s">
        <v>178</v>
      </c>
      <c r="F65">
        <v>0.8</v>
      </c>
      <c r="G65">
        <v>152.52000000000001</v>
      </c>
      <c r="H65">
        <v>16</v>
      </c>
      <c r="I65">
        <v>122.01600000000002</v>
      </c>
    </row>
    <row r="66" spans="1:9" x14ac:dyDescent="0.25">
      <c r="A66" t="s">
        <v>149</v>
      </c>
      <c r="B66">
        <v>9510</v>
      </c>
      <c r="C66" t="s">
        <v>150</v>
      </c>
      <c r="D66" t="s">
        <v>179</v>
      </c>
      <c r="E66" t="s">
        <v>180</v>
      </c>
      <c r="F66">
        <v>0.1</v>
      </c>
      <c r="G66">
        <v>1382.32</v>
      </c>
      <c r="H66">
        <v>16</v>
      </c>
      <c r="I66">
        <v>138.232</v>
      </c>
    </row>
    <row r="67" spans="1:9" x14ac:dyDescent="0.25">
      <c r="A67" t="s">
        <v>149</v>
      </c>
      <c r="B67">
        <v>9510</v>
      </c>
      <c r="C67" t="s">
        <v>150</v>
      </c>
      <c r="D67" t="s">
        <v>181</v>
      </c>
      <c r="E67" t="s">
        <v>119</v>
      </c>
      <c r="F67">
        <v>12</v>
      </c>
      <c r="G67">
        <v>25.41</v>
      </c>
      <c r="H67">
        <v>16</v>
      </c>
      <c r="I67">
        <v>304.92</v>
      </c>
    </row>
    <row r="68" spans="1:9" x14ac:dyDescent="0.25">
      <c r="A68" t="s">
        <v>149</v>
      </c>
      <c r="B68">
        <v>9510</v>
      </c>
      <c r="C68" t="s">
        <v>150</v>
      </c>
      <c r="D68" t="s">
        <v>182</v>
      </c>
      <c r="E68" t="s">
        <v>183</v>
      </c>
      <c r="F68">
        <v>8</v>
      </c>
      <c r="G68">
        <v>50.21</v>
      </c>
      <c r="H68">
        <v>16</v>
      </c>
      <c r="I68">
        <v>401.68</v>
      </c>
    </row>
    <row r="69" spans="1:9" x14ac:dyDescent="0.25">
      <c r="A69" t="s">
        <v>149</v>
      </c>
      <c r="B69">
        <v>9510</v>
      </c>
      <c r="C69" t="s">
        <v>150</v>
      </c>
      <c r="D69" t="s">
        <v>184</v>
      </c>
      <c r="E69" t="s">
        <v>160</v>
      </c>
      <c r="F69">
        <v>6</v>
      </c>
      <c r="G69">
        <v>67.25</v>
      </c>
      <c r="H69">
        <v>16</v>
      </c>
      <c r="I69">
        <v>403.5</v>
      </c>
    </row>
    <row r="70" spans="1:9" x14ac:dyDescent="0.25">
      <c r="A70" t="s">
        <v>149</v>
      </c>
      <c r="B70">
        <v>9510</v>
      </c>
      <c r="C70" t="s">
        <v>150</v>
      </c>
      <c r="D70" t="s">
        <v>185</v>
      </c>
      <c r="E70" t="s">
        <v>186</v>
      </c>
      <c r="F70">
        <v>1</v>
      </c>
      <c r="G70">
        <v>463.58</v>
      </c>
      <c r="H70">
        <v>16</v>
      </c>
      <c r="I70">
        <v>463.58</v>
      </c>
    </row>
    <row r="71" spans="1:9" x14ac:dyDescent="0.25">
      <c r="A71" t="s">
        <v>149</v>
      </c>
      <c r="B71">
        <v>9510</v>
      </c>
      <c r="C71" t="s">
        <v>150</v>
      </c>
      <c r="D71" t="s">
        <v>187</v>
      </c>
      <c r="E71" t="s">
        <v>188</v>
      </c>
      <c r="F71">
        <v>2.4</v>
      </c>
      <c r="G71">
        <v>217.75</v>
      </c>
      <c r="H71">
        <v>16</v>
      </c>
      <c r="I71">
        <v>522.6</v>
      </c>
    </row>
    <row r="72" spans="1:9" x14ac:dyDescent="0.25">
      <c r="A72" t="s">
        <v>149</v>
      </c>
      <c r="B72">
        <v>9510</v>
      </c>
      <c r="C72" t="s">
        <v>150</v>
      </c>
      <c r="D72" t="s">
        <v>189</v>
      </c>
      <c r="E72" t="s">
        <v>190</v>
      </c>
      <c r="F72">
        <v>8</v>
      </c>
      <c r="G72">
        <v>82.26</v>
      </c>
      <c r="H72">
        <v>16</v>
      </c>
      <c r="I72">
        <v>658.08</v>
      </c>
    </row>
    <row r="73" spans="1:9" x14ac:dyDescent="0.25">
      <c r="A73" t="s">
        <v>149</v>
      </c>
      <c r="B73">
        <v>9510</v>
      </c>
      <c r="C73" t="s">
        <v>150</v>
      </c>
      <c r="D73" t="s">
        <v>191</v>
      </c>
      <c r="E73" t="s">
        <v>165</v>
      </c>
      <c r="F73">
        <v>6</v>
      </c>
      <c r="G73">
        <v>128.41</v>
      </c>
      <c r="H73">
        <v>16</v>
      </c>
      <c r="I73">
        <v>770.46</v>
      </c>
    </row>
    <row r="74" spans="1:9" x14ac:dyDescent="0.25">
      <c r="A74" t="s">
        <v>149</v>
      </c>
      <c r="B74">
        <v>9510</v>
      </c>
      <c r="C74" t="s">
        <v>150</v>
      </c>
      <c r="D74" t="s">
        <v>192</v>
      </c>
      <c r="E74" t="s">
        <v>193</v>
      </c>
      <c r="F74">
        <v>0.8</v>
      </c>
      <c r="G74">
        <v>1094.73</v>
      </c>
      <c r="H74">
        <v>16</v>
      </c>
      <c r="I74">
        <v>875.78400000000011</v>
      </c>
    </row>
    <row r="75" spans="1:9" x14ac:dyDescent="0.25">
      <c r="A75" t="s">
        <v>149</v>
      </c>
      <c r="B75">
        <v>9510</v>
      </c>
      <c r="C75" t="s">
        <v>150</v>
      </c>
      <c r="D75" t="s">
        <v>194</v>
      </c>
      <c r="E75" t="s">
        <v>195</v>
      </c>
      <c r="F75">
        <v>2</v>
      </c>
      <c r="G75">
        <v>701.75</v>
      </c>
      <c r="H75">
        <v>16</v>
      </c>
      <c r="I75">
        <v>1403.5</v>
      </c>
    </row>
    <row r="76" spans="1:9" x14ac:dyDescent="0.25">
      <c r="A76" t="s">
        <v>149</v>
      </c>
      <c r="B76">
        <v>9510</v>
      </c>
      <c r="C76" t="s">
        <v>150</v>
      </c>
      <c r="D76" t="s">
        <v>196</v>
      </c>
      <c r="E76" t="s">
        <v>195</v>
      </c>
      <c r="F76">
        <v>8</v>
      </c>
      <c r="G76">
        <v>679.92</v>
      </c>
      <c r="H76">
        <v>16</v>
      </c>
      <c r="I76">
        <v>5439.36</v>
      </c>
    </row>
    <row r="77" spans="1:9" x14ac:dyDescent="0.25">
      <c r="A77" t="s">
        <v>149</v>
      </c>
      <c r="B77">
        <v>9510</v>
      </c>
      <c r="C77" t="s">
        <v>150</v>
      </c>
      <c r="D77" t="s">
        <v>197</v>
      </c>
      <c r="E77" t="s">
        <v>117</v>
      </c>
      <c r="F77">
        <v>1.6</v>
      </c>
      <c r="G77">
        <v>0.81</v>
      </c>
      <c r="H77">
        <v>16</v>
      </c>
      <c r="I77">
        <v>1.2960000000000003</v>
      </c>
    </row>
    <row r="78" spans="1:9" x14ac:dyDescent="0.25">
      <c r="A78" t="s">
        <v>198</v>
      </c>
      <c r="B78">
        <v>5410</v>
      </c>
      <c r="C78" t="s">
        <v>199</v>
      </c>
      <c r="D78" t="s">
        <v>200</v>
      </c>
      <c r="E78" t="s">
        <v>117</v>
      </c>
      <c r="F78">
        <v>16</v>
      </c>
      <c r="G78">
        <v>0.06</v>
      </c>
      <c r="H78">
        <v>4</v>
      </c>
      <c r="I78">
        <v>0.96</v>
      </c>
    </row>
    <row r="79" spans="1:9" x14ac:dyDescent="0.25">
      <c r="B79">
        <v>5410</v>
      </c>
      <c r="C79" t="s">
        <v>371</v>
      </c>
      <c r="D79" t="s">
        <v>372</v>
      </c>
      <c r="E79" t="s">
        <v>373</v>
      </c>
      <c r="F79">
        <v>1</v>
      </c>
      <c r="G79">
        <v>1</v>
      </c>
      <c r="H79">
        <v>4</v>
      </c>
      <c r="I79">
        <v>1527</v>
      </c>
    </row>
    <row r="80" spans="1:9" x14ac:dyDescent="0.25">
      <c r="A80" t="s">
        <v>198</v>
      </c>
      <c r="B80">
        <v>5410</v>
      </c>
      <c r="C80" t="s">
        <v>199</v>
      </c>
      <c r="D80" t="s">
        <v>201</v>
      </c>
      <c r="E80" t="s">
        <v>202</v>
      </c>
      <c r="F80">
        <v>4</v>
      </c>
      <c r="G80">
        <v>0.55000000000000004</v>
      </c>
      <c r="H80">
        <v>4</v>
      </c>
      <c r="I80">
        <v>2.2000000000000002</v>
      </c>
    </row>
    <row r="81" spans="1:9" x14ac:dyDescent="0.25">
      <c r="A81" t="s">
        <v>198</v>
      </c>
      <c r="B81">
        <v>5410</v>
      </c>
      <c r="C81" t="s">
        <v>199</v>
      </c>
      <c r="D81" t="s">
        <v>203</v>
      </c>
      <c r="E81" t="s">
        <v>202</v>
      </c>
      <c r="F81">
        <v>4</v>
      </c>
      <c r="G81">
        <v>0.55000000000000004</v>
      </c>
      <c r="H81">
        <v>4</v>
      </c>
      <c r="I81">
        <v>2.2000000000000002</v>
      </c>
    </row>
    <row r="82" spans="1:9" x14ac:dyDescent="0.25">
      <c r="A82" t="s">
        <v>198</v>
      </c>
      <c r="B82">
        <v>5410</v>
      </c>
      <c r="C82" t="s">
        <v>199</v>
      </c>
      <c r="D82" t="s">
        <v>204</v>
      </c>
      <c r="E82" t="s">
        <v>76</v>
      </c>
      <c r="F82">
        <v>16</v>
      </c>
      <c r="G82">
        <v>0.19</v>
      </c>
      <c r="H82">
        <v>4</v>
      </c>
      <c r="I82">
        <v>3.04</v>
      </c>
    </row>
    <row r="83" spans="1:9" x14ac:dyDescent="0.25">
      <c r="A83" t="s">
        <v>198</v>
      </c>
      <c r="B83">
        <v>5410</v>
      </c>
      <c r="C83" t="s">
        <v>199</v>
      </c>
      <c r="D83" t="s">
        <v>205</v>
      </c>
      <c r="E83" t="s">
        <v>206</v>
      </c>
      <c r="F83">
        <v>8</v>
      </c>
      <c r="G83">
        <v>9.75</v>
      </c>
      <c r="H83">
        <v>4</v>
      </c>
      <c r="I83">
        <v>78</v>
      </c>
    </row>
    <row r="84" spans="1:9" x14ac:dyDescent="0.25">
      <c r="A84" t="s">
        <v>198</v>
      </c>
      <c r="B84">
        <v>5410</v>
      </c>
      <c r="C84" t="s">
        <v>199</v>
      </c>
      <c r="D84" t="s">
        <v>207</v>
      </c>
      <c r="E84" t="s">
        <v>208</v>
      </c>
      <c r="F84">
        <v>2</v>
      </c>
      <c r="G84">
        <v>86.34</v>
      </c>
      <c r="H84">
        <v>4</v>
      </c>
      <c r="I84">
        <v>172.68</v>
      </c>
    </row>
    <row r="85" spans="1:9" x14ac:dyDescent="0.25">
      <c r="A85" t="s">
        <v>198</v>
      </c>
      <c r="B85">
        <v>6310</v>
      </c>
      <c r="C85" t="s">
        <v>209</v>
      </c>
      <c r="D85" t="s">
        <v>116</v>
      </c>
      <c r="E85" t="s">
        <v>117</v>
      </c>
      <c r="F85">
        <v>8</v>
      </c>
      <c r="G85">
        <v>0.2</v>
      </c>
      <c r="H85">
        <v>6</v>
      </c>
      <c r="I85">
        <v>1.6</v>
      </c>
    </row>
    <row r="86" spans="1:9" x14ac:dyDescent="0.25">
      <c r="A86" t="s">
        <v>198</v>
      </c>
      <c r="B86">
        <v>6310</v>
      </c>
      <c r="C86" t="s">
        <v>209</v>
      </c>
      <c r="D86" t="s">
        <v>78</v>
      </c>
      <c r="E86" t="s">
        <v>76</v>
      </c>
      <c r="F86">
        <v>8</v>
      </c>
      <c r="G86">
        <v>0.6</v>
      </c>
      <c r="H86">
        <v>6</v>
      </c>
      <c r="I86">
        <v>4.8</v>
      </c>
    </row>
    <row r="87" spans="1:9" x14ac:dyDescent="0.25">
      <c r="A87" t="s">
        <v>198</v>
      </c>
      <c r="B87">
        <v>6310</v>
      </c>
      <c r="C87" t="s">
        <v>209</v>
      </c>
      <c r="D87" t="s">
        <v>210</v>
      </c>
      <c r="E87" t="s">
        <v>211</v>
      </c>
      <c r="F87">
        <v>2</v>
      </c>
      <c r="G87">
        <v>3.63</v>
      </c>
      <c r="H87">
        <v>6</v>
      </c>
      <c r="I87">
        <v>7.26</v>
      </c>
    </row>
    <row r="88" spans="1:9" x14ac:dyDescent="0.25">
      <c r="A88" t="s">
        <v>198</v>
      </c>
      <c r="B88">
        <v>6310</v>
      </c>
      <c r="C88" t="s">
        <v>209</v>
      </c>
      <c r="D88" t="s">
        <v>212</v>
      </c>
      <c r="E88" t="s">
        <v>213</v>
      </c>
      <c r="F88">
        <v>2</v>
      </c>
      <c r="G88">
        <v>32.92</v>
      </c>
      <c r="H88">
        <v>6</v>
      </c>
      <c r="I88">
        <v>65.84</v>
      </c>
    </row>
    <row r="89" spans="1:9" x14ac:dyDescent="0.25">
      <c r="A89" t="s">
        <v>198</v>
      </c>
      <c r="B89">
        <v>6310</v>
      </c>
      <c r="C89" t="s">
        <v>209</v>
      </c>
      <c r="D89" t="s">
        <v>214</v>
      </c>
      <c r="E89" t="s">
        <v>206</v>
      </c>
      <c r="F89">
        <v>4</v>
      </c>
      <c r="G89">
        <v>20.170000000000002</v>
      </c>
      <c r="H89">
        <v>6</v>
      </c>
      <c r="I89">
        <v>80.680000000000007</v>
      </c>
    </row>
    <row r="90" spans="1:9" x14ac:dyDescent="0.25">
      <c r="A90" t="s">
        <v>198</v>
      </c>
      <c r="B90">
        <v>6310</v>
      </c>
      <c r="C90" t="s">
        <v>209</v>
      </c>
      <c r="D90" t="s">
        <v>215</v>
      </c>
      <c r="E90" t="s">
        <v>216</v>
      </c>
      <c r="F90">
        <v>2</v>
      </c>
      <c r="G90">
        <v>213.73</v>
      </c>
      <c r="H90">
        <v>6</v>
      </c>
      <c r="I90">
        <v>427.46</v>
      </c>
    </row>
    <row r="91" spans="1:9" x14ac:dyDescent="0.25">
      <c r="A91" t="s">
        <v>217</v>
      </c>
      <c r="B91">
        <v>5310</v>
      </c>
      <c r="C91" t="s">
        <v>218</v>
      </c>
      <c r="D91" t="s">
        <v>219</v>
      </c>
      <c r="E91" t="s">
        <v>211</v>
      </c>
      <c r="F91">
        <v>0.5</v>
      </c>
      <c r="G91">
        <v>1.19</v>
      </c>
      <c r="H91">
        <v>5</v>
      </c>
      <c r="I91">
        <v>0.59499999999999997</v>
      </c>
    </row>
    <row r="92" spans="1:9" x14ac:dyDescent="0.25">
      <c r="A92" t="s">
        <v>217</v>
      </c>
      <c r="B92">
        <v>5310</v>
      </c>
      <c r="C92" t="s">
        <v>218</v>
      </c>
      <c r="D92" t="s">
        <v>203</v>
      </c>
      <c r="E92" t="s">
        <v>202</v>
      </c>
      <c r="F92">
        <v>2.5</v>
      </c>
      <c r="G92">
        <v>0.55000000000000004</v>
      </c>
      <c r="H92">
        <v>5</v>
      </c>
      <c r="I92">
        <v>1.375</v>
      </c>
    </row>
    <row r="93" spans="1:9" x14ac:dyDescent="0.25">
      <c r="A93" t="s">
        <v>217</v>
      </c>
      <c r="B93">
        <v>5310</v>
      </c>
      <c r="C93" t="s">
        <v>218</v>
      </c>
      <c r="D93" t="s">
        <v>220</v>
      </c>
      <c r="E93" t="s">
        <v>202</v>
      </c>
      <c r="F93">
        <v>3</v>
      </c>
      <c r="G93">
        <v>0.52</v>
      </c>
      <c r="H93">
        <v>5</v>
      </c>
      <c r="I93">
        <v>1.56</v>
      </c>
    </row>
    <row r="94" spans="1:9" x14ac:dyDescent="0.25">
      <c r="A94" t="s">
        <v>217</v>
      </c>
      <c r="B94">
        <v>5310</v>
      </c>
      <c r="C94" t="s">
        <v>218</v>
      </c>
      <c r="D94" t="s">
        <v>221</v>
      </c>
      <c r="E94" t="s">
        <v>202</v>
      </c>
      <c r="F94">
        <v>0.5</v>
      </c>
      <c r="G94">
        <v>3.3</v>
      </c>
      <c r="H94">
        <v>5</v>
      </c>
      <c r="I94">
        <v>1.65</v>
      </c>
    </row>
    <row r="95" spans="1:9" x14ac:dyDescent="0.25">
      <c r="A95" t="s">
        <v>217</v>
      </c>
      <c r="B95">
        <v>5310</v>
      </c>
      <c r="C95" t="s">
        <v>218</v>
      </c>
      <c r="D95" t="s">
        <v>222</v>
      </c>
      <c r="E95" t="s">
        <v>211</v>
      </c>
      <c r="F95">
        <v>0.5</v>
      </c>
      <c r="G95">
        <v>5.75</v>
      </c>
      <c r="H95">
        <v>5</v>
      </c>
      <c r="I95">
        <v>2.875</v>
      </c>
    </row>
    <row r="96" spans="1:9" x14ac:dyDescent="0.25">
      <c r="A96" t="s">
        <v>217</v>
      </c>
      <c r="B96">
        <v>5310</v>
      </c>
      <c r="C96" t="s">
        <v>218</v>
      </c>
      <c r="D96" t="s">
        <v>223</v>
      </c>
      <c r="E96" t="s">
        <v>202</v>
      </c>
      <c r="F96">
        <v>2.5</v>
      </c>
      <c r="G96">
        <v>1.1599999999999999</v>
      </c>
      <c r="H96">
        <v>5</v>
      </c>
      <c r="I96">
        <v>2.9</v>
      </c>
    </row>
    <row r="97" spans="1:9" x14ac:dyDescent="0.25">
      <c r="A97" t="s">
        <v>217</v>
      </c>
      <c r="B97">
        <v>5310</v>
      </c>
      <c r="C97" t="s">
        <v>218</v>
      </c>
      <c r="D97" t="s">
        <v>224</v>
      </c>
      <c r="E97" t="s">
        <v>211</v>
      </c>
      <c r="F97">
        <v>1</v>
      </c>
      <c r="G97">
        <v>2.92</v>
      </c>
      <c r="H97">
        <v>5</v>
      </c>
      <c r="I97">
        <v>2.92</v>
      </c>
    </row>
    <row r="98" spans="1:9" x14ac:dyDescent="0.25">
      <c r="A98" t="s">
        <v>217</v>
      </c>
      <c r="B98">
        <v>5310</v>
      </c>
      <c r="C98" t="s">
        <v>218</v>
      </c>
      <c r="D98" t="s">
        <v>225</v>
      </c>
      <c r="E98" t="s">
        <v>202</v>
      </c>
      <c r="F98">
        <v>6</v>
      </c>
      <c r="G98">
        <v>0.77</v>
      </c>
      <c r="H98">
        <v>5</v>
      </c>
      <c r="I98">
        <v>4.62</v>
      </c>
    </row>
    <row r="99" spans="1:9" x14ac:dyDescent="0.25">
      <c r="A99" t="s">
        <v>217</v>
      </c>
      <c r="B99">
        <v>5310</v>
      </c>
      <c r="C99" t="s">
        <v>218</v>
      </c>
      <c r="D99" t="s">
        <v>226</v>
      </c>
      <c r="E99" t="s">
        <v>211</v>
      </c>
      <c r="F99">
        <v>1.5</v>
      </c>
      <c r="G99">
        <v>4.75</v>
      </c>
      <c r="H99">
        <v>5</v>
      </c>
      <c r="I99">
        <v>7.125</v>
      </c>
    </row>
    <row r="100" spans="1:9" x14ac:dyDescent="0.25">
      <c r="A100" t="s">
        <v>217</v>
      </c>
      <c r="B100">
        <v>5310</v>
      </c>
      <c r="C100" t="s">
        <v>218</v>
      </c>
      <c r="D100" t="s">
        <v>227</v>
      </c>
      <c r="E100" t="s">
        <v>228</v>
      </c>
      <c r="F100">
        <v>0.5</v>
      </c>
      <c r="G100">
        <v>15.24</v>
      </c>
      <c r="H100">
        <v>5</v>
      </c>
      <c r="I100">
        <v>7.62</v>
      </c>
    </row>
    <row r="101" spans="1:9" x14ac:dyDescent="0.25">
      <c r="A101" t="s">
        <v>217</v>
      </c>
      <c r="B101">
        <v>5310</v>
      </c>
      <c r="C101" t="s">
        <v>218</v>
      </c>
      <c r="D101" t="s">
        <v>229</v>
      </c>
      <c r="E101" t="s">
        <v>230</v>
      </c>
      <c r="F101">
        <v>1</v>
      </c>
      <c r="G101">
        <v>8.51</v>
      </c>
      <c r="H101">
        <v>5</v>
      </c>
      <c r="I101">
        <v>8.51</v>
      </c>
    </row>
    <row r="102" spans="1:9" x14ac:dyDescent="0.25">
      <c r="A102" t="s">
        <v>217</v>
      </c>
      <c r="B102">
        <v>5310</v>
      </c>
      <c r="C102" t="s">
        <v>218</v>
      </c>
      <c r="D102" t="s">
        <v>231</v>
      </c>
      <c r="E102" t="s">
        <v>211</v>
      </c>
      <c r="F102">
        <v>4.5</v>
      </c>
      <c r="G102">
        <v>3.07</v>
      </c>
      <c r="H102">
        <v>5</v>
      </c>
      <c r="I102">
        <v>13.815</v>
      </c>
    </row>
    <row r="103" spans="1:9" x14ac:dyDescent="0.25">
      <c r="A103" t="s">
        <v>217</v>
      </c>
      <c r="B103">
        <v>5310</v>
      </c>
      <c r="C103" t="s">
        <v>218</v>
      </c>
      <c r="D103" t="s">
        <v>232</v>
      </c>
      <c r="E103" t="s">
        <v>233</v>
      </c>
      <c r="F103">
        <v>1</v>
      </c>
      <c r="G103">
        <v>255.51</v>
      </c>
      <c r="H103">
        <v>5</v>
      </c>
      <c r="I103">
        <v>255.51</v>
      </c>
    </row>
    <row r="104" spans="1:9" x14ac:dyDescent="0.25">
      <c r="A104" t="s">
        <v>217</v>
      </c>
      <c r="B104">
        <v>5610</v>
      </c>
      <c r="C104" t="s">
        <v>234</v>
      </c>
      <c r="D104" t="s">
        <v>116</v>
      </c>
      <c r="E104" t="s">
        <v>117</v>
      </c>
      <c r="F104">
        <v>7</v>
      </c>
      <c r="G104">
        <v>0.2</v>
      </c>
      <c r="H104">
        <v>2</v>
      </c>
      <c r="I104">
        <v>1.4000000000000001</v>
      </c>
    </row>
    <row r="105" spans="1:9" x14ac:dyDescent="0.25">
      <c r="A105" t="s">
        <v>217</v>
      </c>
      <c r="B105">
        <v>5610</v>
      </c>
      <c r="C105" t="s">
        <v>234</v>
      </c>
      <c r="D105" t="s">
        <v>78</v>
      </c>
      <c r="E105" t="s">
        <v>76</v>
      </c>
      <c r="F105">
        <v>7</v>
      </c>
      <c r="G105">
        <v>0.6</v>
      </c>
      <c r="H105">
        <v>2</v>
      </c>
      <c r="I105">
        <v>4.2</v>
      </c>
    </row>
    <row r="106" spans="1:9" x14ac:dyDescent="0.25">
      <c r="A106" t="s">
        <v>217</v>
      </c>
      <c r="B106">
        <v>5610</v>
      </c>
      <c r="C106" t="s">
        <v>234</v>
      </c>
      <c r="D106" t="s">
        <v>235</v>
      </c>
      <c r="E106" t="s">
        <v>211</v>
      </c>
      <c r="F106">
        <v>4</v>
      </c>
      <c r="G106">
        <v>1.63</v>
      </c>
      <c r="H106">
        <v>2</v>
      </c>
      <c r="I106">
        <v>6.52</v>
      </c>
    </row>
    <row r="107" spans="1:9" x14ac:dyDescent="0.25">
      <c r="A107" t="s">
        <v>217</v>
      </c>
      <c r="B107">
        <v>5610</v>
      </c>
      <c r="C107" t="s">
        <v>234</v>
      </c>
      <c r="D107" t="s">
        <v>236</v>
      </c>
      <c r="E107" t="s">
        <v>119</v>
      </c>
      <c r="F107">
        <v>7</v>
      </c>
      <c r="G107">
        <v>1.25</v>
      </c>
      <c r="H107">
        <v>2</v>
      </c>
      <c r="I107">
        <v>8.75</v>
      </c>
    </row>
    <row r="108" spans="1:9" x14ac:dyDescent="0.25">
      <c r="A108" t="s">
        <v>217</v>
      </c>
      <c r="B108">
        <v>5610</v>
      </c>
      <c r="C108" t="s">
        <v>234</v>
      </c>
      <c r="D108" t="s">
        <v>237</v>
      </c>
      <c r="E108" t="s">
        <v>238</v>
      </c>
      <c r="F108">
        <v>0.1</v>
      </c>
      <c r="G108">
        <v>3124.15</v>
      </c>
      <c r="H108">
        <v>2</v>
      </c>
      <c r="I108">
        <v>312.41500000000002</v>
      </c>
    </row>
    <row r="109" spans="1:9" x14ac:dyDescent="0.25">
      <c r="A109" t="s">
        <v>239</v>
      </c>
      <c r="B109">
        <v>6110</v>
      </c>
      <c r="C109" t="s">
        <v>240</v>
      </c>
      <c r="D109" t="s">
        <v>241</v>
      </c>
      <c r="E109" t="s">
        <v>242</v>
      </c>
      <c r="F109">
        <v>6</v>
      </c>
      <c r="G109">
        <v>104</v>
      </c>
      <c r="H109">
        <v>16</v>
      </c>
      <c r="I109">
        <v>624</v>
      </c>
    </row>
    <row r="110" spans="1:9" x14ac:dyDescent="0.25">
      <c r="A110" t="s">
        <v>239</v>
      </c>
      <c r="B110">
        <v>6110</v>
      </c>
      <c r="C110" t="s">
        <v>240</v>
      </c>
      <c r="D110" t="s">
        <v>243</v>
      </c>
      <c r="E110" t="s">
        <v>244</v>
      </c>
      <c r="F110">
        <v>4</v>
      </c>
      <c r="G110">
        <v>267</v>
      </c>
      <c r="H110">
        <v>16</v>
      </c>
      <c r="I110">
        <v>1068</v>
      </c>
    </row>
    <row r="111" spans="1:9" x14ac:dyDescent="0.25">
      <c r="A111" t="s">
        <v>239</v>
      </c>
      <c r="B111">
        <v>6110</v>
      </c>
      <c r="C111" t="s">
        <v>240</v>
      </c>
      <c r="D111" t="s">
        <v>245</v>
      </c>
      <c r="E111" t="s">
        <v>246</v>
      </c>
      <c r="F111">
        <v>4</v>
      </c>
      <c r="G111">
        <v>242</v>
      </c>
      <c r="H111">
        <v>16</v>
      </c>
      <c r="I111">
        <v>968</v>
      </c>
    </row>
    <row r="112" spans="1:9" x14ac:dyDescent="0.25">
      <c r="A112" t="s">
        <v>239</v>
      </c>
      <c r="B112">
        <v>6110</v>
      </c>
      <c r="C112" t="s">
        <v>240</v>
      </c>
      <c r="D112" t="s">
        <v>247</v>
      </c>
      <c r="E112" t="s">
        <v>248</v>
      </c>
      <c r="F112">
        <v>2</v>
      </c>
      <c r="G112">
        <v>335</v>
      </c>
      <c r="H112">
        <v>16</v>
      </c>
      <c r="I112">
        <v>670</v>
      </c>
    </row>
    <row r="113" spans="1:9" x14ac:dyDescent="0.25">
      <c r="A113" t="s">
        <v>239</v>
      </c>
      <c r="B113">
        <v>6110</v>
      </c>
      <c r="C113" t="s">
        <v>240</v>
      </c>
      <c r="D113" t="s">
        <v>249</v>
      </c>
      <c r="E113" t="s">
        <v>186</v>
      </c>
      <c r="F113">
        <v>4</v>
      </c>
      <c r="G113">
        <v>14.6</v>
      </c>
      <c r="H113">
        <v>16</v>
      </c>
      <c r="I113">
        <v>58.4</v>
      </c>
    </row>
    <row r="114" spans="1:9" x14ac:dyDescent="0.25">
      <c r="A114" t="s">
        <v>239</v>
      </c>
      <c r="B114">
        <v>6110</v>
      </c>
      <c r="C114" t="s">
        <v>240</v>
      </c>
      <c r="D114" t="s">
        <v>250</v>
      </c>
      <c r="E114" t="s">
        <v>251</v>
      </c>
      <c r="F114">
        <v>8</v>
      </c>
      <c r="G114">
        <v>50</v>
      </c>
      <c r="H114">
        <v>16</v>
      </c>
      <c r="I114">
        <v>400</v>
      </c>
    </row>
    <row r="115" spans="1:9" x14ac:dyDescent="0.25">
      <c r="A115" t="s">
        <v>239</v>
      </c>
      <c r="B115">
        <v>6110</v>
      </c>
      <c r="C115" t="s">
        <v>240</v>
      </c>
      <c r="D115" t="s">
        <v>75</v>
      </c>
      <c r="E115" t="s">
        <v>252</v>
      </c>
      <c r="F115">
        <v>8</v>
      </c>
      <c r="G115">
        <v>0.1</v>
      </c>
      <c r="H115">
        <v>16</v>
      </c>
      <c r="I115">
        <v>0.8</v>
      </c>
    </row>
    <row r="116" spans="1:9" x14ac:dyDescent="0.25">
      <c r="A116" t="s">
        <v>239</v>
      </c>
      <c r="B116">
        <v>6110</v>
      </c>
      <c r="C116" t="s">
        <v>240</v>
      </c>
      <c r="D116" t="s">
        <v>200</v>
      </c>
      <c r="E116" t="s">
        <v>117</v>
      </c>
      <c r="F116">
        <v>8</v>
      </c>
      <c r="G116">
        <v>0.06</v>
      </c>
      <c r="H116">
        <v>16</v>
      </c>
      <c r="I116">
        <v>0.48</v>
      </c>
    </row>
    <row r="117" spans="1:9" x14ac:dyDescent="0.25">
      <c r="A117" t="s">
        <v>239</v>
      </c>
      <c r="B117">
        <v>6110</v>
      </c>
      <c r="C117" t="s">
        <v>240</v>
      </c>
      <c r="D117" t="s">
        <v>253</v>
      </c>
      <c r="E117" t="s">
        <v>254</v>
      </c>
      <c r="F117">
        <v>1</v>
      </c>
      <c r="G117">
        <v>24328</v>
      </c>
      <c r="H117">
        <v>16</v>
      </c>
      <c r="I117">
        <v>24328</v>
      </c>
    </row>
    <row r="118" spans="1:9" x14ac:dyDescent="0.25">
      <c r="A118" t="s">
        <v>239</v>
      </c>
      <c r="B118">
        <v>6110</v>
      </c>
      <c r="C118" t="s">
        <v>240</v>
      </c>
      <c r="D118" t="s">
        <v>255</v>
      </c>
      <c r="E118" t="s">
        <v>256</v>
      </c>
      <c r="F118">
        <v>2</v>
      </c>
      <c r="G118">
        <v>469.93</v>
      </c>
      <c r="H118">
        <v>16</v>
      </c>
      <c r="I118">
        <v>939.86</v>
      </c>
    </row>
    <row r="119" spans="1:9" x14ac:dyDescent="0.25">
      <c r="A119" t="s">
        <v>257</v>
      </c>
      <c r="B119">
        <v>7105</v>
      </c>
      <c r="C119" t="s">
        <v>258</v>
      </c>
      <c r="D119" t="s">
        <v>259</v>
      </c>
      <c r="E119" t="s">
        <v>260</v>
      </c>
      <c r="F119">
        <v>1</v>
      </c>
      <c r="G119">
        <v>16479.990000000002</v>
      </c>
      <c r="H119">
        <v>150</v>
      </c>
      <c r="I119">
        <v>16479.990000000002</v>
      </c>
    </row>
    <row r="120" spans="1:9" x14ac:dyDescent="0.25">
      <c r="A120" t="s">
        <v>261</v>
      </c>
      <c r="B120">
        <v>7105</v>
      </c>
      <c r="C120" t="s">
        <v>258</v>
      </c>
      <c r="D120" t="s">
        <v>262</v>
      </c>
      <c r="E120" t="s">
        <v>263</v>
      </c>
      <c r="F120">
        <v>1</v>
      </c>
      <c r="G120">
        <v>14524.05</v>
      </c>
      <c r="H120">
        <v>76</v>
      </c>
      <c r="I120">
        <v>14524.05</v>
      </c>
    </row>
    <row r="121" spans="1:9" x14ac:dyDescent="0.25">
      <c r="A121" t="s">
        <v>264</v>
      </c>
      <c r="B121">
        <v>7105</v>
      </c>
      <c r="C121" t="s">
        <v>258</v>
      </c>
      <c r="D121" t="s">
        <v>265</v>
      </c>
      <c r="E121" t="s">
        <v>266</v>
      </c>
      <c r="F121">
        <v>1</v>
      </c>
      <c r="G121">
        <v>2604.6799999999998</v>
      </c>
      <c r="H121">
        <v>76</v>
      </c>
      <c r="I121">
        <v>2604.6799999999998</v>
      </c>
    </row>
    <row r="122" spans="1:9" x14ac:dyDescent="0.25">
      <c r="A122" t="s">
        <v>267</v>
      </c>
      <c r="B122">
        <v>7105</v>
      </c>
      <c r="C122" t="s">
        <v>258</v>
      </c>
      <c r="D122" t="s">
        <v>268</v>
      </c>
      <c r="E122" t="s">
        <v>266</v>
      </c>
      <c r="F122">
        <v>1</v>
      </c>
      <c r="G122">
        <v>2604.6799999999998</v>
      </c>
      <c r="H122">
        <v>76</v>
      </c>
      <c r="I122">
        <v>2604.6799999999998</v>
      </c>
    </row>
    <row r="123" spans="1:9" x14ac:dyDescent="0.25">
      <c r="A123" t="s">
        <v>269</v>
      </c>
      <c r="B123">
        <v>7105</v>
      </c>
      <c r="C123" t="s">
        <v>258</v>
      </c>
      <c r="D123" t="s">
        <v>270</v>
      </c>
      <c r="E123" t="s">
        <v>271</v>
      </c>
      <c r="F123">
        <v>1</v>
      </c>
      <c r="G123">
        <v>2277.58</v>
      </c>
      <c r="H123">
        <v>24</v>
      </c>
      <c r="I123">
        <v>2277.58</v>
      </c>
    </row>
    <row r="124" spans="1:9" x14ac:dyDescent="0.25">
      <c r="A124" t="s">
        <v>269</v>
      </c>
      <c r="B124">
        <v>7106</v>
      </c>
      <c r="C124" t="s">
        <v>258</v>
      </c>
      <c r="D124" t="s">
        <v>272</v>
      </c>
      <c r="E124" t="s">
        <v>273</v>
      </c>
      <c r="F124">
        <v>1</v>
      </c>
      <c r="G124">
        <v>2511.66</v>
      </c>
      <c r="H124">
        <v>24</v>
      </c>
      <c r="I124">
        <v>2511.66</v>
      </c>
    </row>
    <row r="125" spans="1:9" x14ac:dyDescent="0.25">
      <c r="A125" t="s">
        <v>269</v>
      </c>
      <c r="B125">
        <v>7107</v>
      </c>
      <c r="C125" t="s">
        <v>258</v>
      </c>
      <c r="D125" t="s">
        <v>274</v>
      </c>
      <c r="E125" t="s">
        <v>275</v>
      </c>
      <c r="F125">
        <v>1</v>
      </c>
      <c r="G125">
        <v>2714.91</v>
      </c>
      <c r="H125">
        <v>24</v>
      </c>
      <c r="I125">
        <v>2714.91</v>
      </c>
    </row>
    <row r="126" spans="1:9" x14ac:dyDescent="0.25">
      <c r="A126" t="s">
        <v>276</v>
      </c>
      <c r="B126">
        <v>4010</v>
      </c>
      <c r="C126" t="s">
        <v>277</v>
      </c>
      <c r="D126" t="s">
        <v>278</v>
      </c>
      <c r="E126" t="s">
        <v>279</v>
      </c>
      <c r="F126">
        <v>1</v>
      </c>
      <c r="G126">
        <v>66459.08</v>
      </c>
      <c r="H126">
        <v>18</v>
      </c>
      <c r="I126">
        <v>66459.08</v>
      </c>
    </row>
    <row r="127" spans="1:9" x14ac:dyDescent="0.25">
      <c r="A127" t="s">
        <v>50</v>
      </c>
      <c r="B127" t="s">
        <v>50</v>
      </c>
      <c r="C127" t="s">
        <v>280</v>
      </c>
      <c r="D127" t="s">
        <v>281</v>
      </c>
      <c r="E127" t="s">
        <v>282</v>
      </c>
      <c r="F127">
        <v>1</v>
      </c>
      <c r="G127">
        <v>2519.79</v>
      </c>
      <c r="H127">
        <v>8</v>
      </c>
      <c r="I127">
        <v>2519.79</v>
      </c>
    </row>
    <row r="128" spans="1:9" x14ac:dyDescent="0.25">
      <c r="A128" t="s">
        <v>50</v>
      </c>
      <c r="B128" t="s">
        <v>50</v>
      </c>
      <c r="C128" t="s">
        <v>280</v>
      </c>
      <c r="D128" t="s">
        <v>283</v>
      </c>
      <c r="E128" t="s">
        <v>284</v>
      </c>
      <c r="F128">
        <v>1</v>
      </c>
      <c r="G128">
        <v>141.6</v>
      </c>
      <c r="H128">
        <v>8</v>
      </c>
      <c r="I128">
        <v>141.6</v>
      </c>
    </row>
    <row r="129" spans="1:9" x14ac:dyDescent="0.25">
      <c r="A129" t="s">
        <v>50</v>
      </c>
      <c r="B129" t="s">
        <v>50</v>
      </c>
      <c r="C129" t="s">
        <v>280</v>
      </c>
      <c r="D129" t="s">
        <v>285</v>
      </c>
      <c r="E129" t="s">
        <v>284</v>
      </c>
      <c r="F129">
        <v>1</v>
      </c>
      <c r="G129">
        <v>124.22</v>
      </c>
      <c r="H129">
        <v>8</v>
      </c>
      <c r="I129">
        <v>124.22</v>
      </c>
    </row>
    <row r="130" spans="1:9" x14ac:dyDescent="0.25">
      <c r="A130" t="s">
        <v>50</v>
      </c>
      <c r="B130" t="s">
        <v>50</v>
      </c>
      <c r="C130" t="s">
        <v>280</v>
      </c>
      <c r="D130" t="s">
        <v>286</v>
      </c>
      <c r="E130" t="s">
        <v>287</v>
      </c>
      <c r="F130">
        <v>2</v>
      </c>
      <c r="G130">
        <v>7.56</v>
      </c>
      <c r="H130">
        <v>8</v>
      </c>
      <c r="I130">
        <v>15.12</v>
      </c>
    </row>
    <row r="131" spans="1:9" x14ac:dyDescent="0.25">
      <c r="A131" t="s">
        <v>50</v>
      </c>
      <c r="B131" t="s">
        <v>50</v>
      </c>
      <c r="C131" t="s">
        <v>280</v>
      </c>
      <c r="D131" t="s">
        <v>288</v>
      </c>
      <c r="E131" t="s">
        <v>289</v>
      </c>
      <c r="F131">
        <v>5</v>
      </c>
      <c r="G131">
        <v>34.15</v>
      </c>
      <c r="H131">
        <v>8</v>
      </c>
      <c r="I131">
        <v>170.75</v>
      </c>
    </row>
    <row r="132" spans="1:9" x14ac:dyDescent="0.25">
      <c r="A132" t="s">
        <v>50</v>
      </c>
      <c r="B132" t="s">
        <v>50</v>
      </c>
      <c r="C132" t="s">
        <v>280</v>
      </c>
      <c r="D132" t="s">
        <v>290</v>
      </c>
      <c r="E132" t="s">
        <v>291</v>
      </c>
      <c r="F132">
        <v>1</v>
      </c>
      <c r="G132">
        <v>30.62</v>
      </c>
      <c r="H132">
        <v>8</v>
      </c>
      <c r="I132">
        <v>30.62</v>
      </c>
    </row>
    <row r="133" spans="1:9" x14ac:dyDescent="0.25">
      <c r="A133" t="s">
        <v>50</v>
      </c>
      <c r="B133" t="s">
        <v>50</v>
      </c>
      <c r="C133" t="s">
        <v>280</v>
      </c>
      <c r="D133" t="s">
        <v>292</v>
      </c>
      <c r="E133" t="s">
        <v>293</v>
      </c>
      <c r="F133">
        <v>1</v>
      </c>
      <c r="G133">
        <v>36.1</v>
      </c>
      <c r="H133">
        <v>8</v>
      </c>
      <c r="I133">
        <v>36.1</v>
      </c>
    </row>
    <row r="134" spans="1:9" x14ac:dyDescent="0.25">
      <c r="A134" t="s">
        <v>50</v>
      </c>
      <c r="B134" t="s">
        <v>50</v>
      </c>
      <c r="C134" t="s">
        <v>280</v>
      </c>
      <c r="D134" t="s">
        <v>294</v>
      </c>
      <c r="E134" t="s">
        <v>289</v>
      </c>
      <c r="F134">
        <v>3</v>
      </c>
      <c r="G134">
        <v>84.71</v>
      </c>
      <c r="H134">
        <v>8</v>
      </c>
      <c r="I134">
        <v>254.13</v>
      </c>
    </row>
    <row r="135" spans="1:9" x14ac:dyDescent="0.25">
      <c r="A135" t="s">
        <v>50</v>
      </c>
      <c r="B135" t="s">
        <v>50</v>
      </c>
      <c r="C135" t="s">
        <v>280</v>
      </c>
      <c r="D135" t="s">
        <v>295</v>
      </c>
      <c r="E135" t="s">
        <v>284</v>
      </c>
      <c r="F135">
        <v>1</v>
      </c>
      <c r="G135">
        <v>12.94</v>
      </c>
      <c r="H135">
        <v>8</v>
      </c>
      <c r="I135">
        <v>12.94</v>
      </c>
    </row>
    <row r="136" spans="1:9" x14ac:dyDescent="0.25">
      <c r="A136" t="s">
        <v>50</v>
      </c>
      <c r="B136" t="s">
        <v>50</v>
      </c>
      <c r="C136" t="s">
        <v>280</v>
      </c>
      <c r="D136" t="s">
        <v>296</v>
      </c>
      <c r="E136" t="s">
        <v>297</v>
      </c>
      <c r="F136">
        <v>2</v>
      </c>
      <c r="G136">
        <v>48.44</v>
      </c>
      <c r="H136">
        <v>8</v>
      </c>
      <c r="I136">
        <v>96.88</v>
      </c>
    </row>
    <row r="137" spans="1:9" x14ac:dyDescent="0.25">
      <c r="A137" t="s">
        <v>50</v>
      </c>
      <c r="B137" t="s">
        <v>50</v>
      </c>
      <c r="C137" t="s">
        <v>280</v>
      </c>
      <c r="D137" t="s">
        <v>298</v>
      </c>
      <c r="E137" t="s">
        <v>284</v>
      </c>
      <c r="F137">
        <v>2</v>
      </c>
      <c r="G137">
        <v>83.8</v>
      </c>
      <c r="H137">
        <v>8</v>
      </c>
      <c r="I137">
        <v>167.6</v>
      </c>
    </row>
    <row r="138" spans="1:9" x14ac:dyDescent="0.25">
      <c r="A138" t="s">
        <v>50</v>
      </c>
      <c r="B138" t="s">
        <v>50</v>
      </c>
      <c r="C138" t="s">
        <v>280</v>
      </c>
      <c r="D138" t="s">
        <v>299</v>
      </c>
      <c r="E138" t="s">
        <v>300</v>
      </c>
      <c r="F138">
        <v>2</v>
      </c>
      <c r="G138">
        <v>6.11</v>
      </c>
      <c r="H138">
        <v>8</v>
      </c>
      <c r="I138">
        <v>12.22</v>
      </c>
    </row>
    <row r="139" spans="1:9" x14ac:dyDescent="0.25">
      <c r="A139" t="s">
        <v>50</v>
      </c>
      <c r="B139" t="s">
        <v>50</v>
      </c>
      <c r="C139" t="s">
        <v>280</v>
      </c>
      <c r="D139" t="s">
        <v>301</v>
      </c>
      <c r="E139" t="s">
        <v>289</v>
      </c>
      <c r="F139">
        <v>4</v>
      </c>
      <c r="G139">
        <v>36.42</v>
      </c>
      <c r="H139">
        <v>8</v>
      </c>
      <c r="I139">
        <v>145.68</v>
      </c>
    </row>
    <row r="140" spans="1:9" x14ac:dyDescent="0.25">
      <c r="A140" t="s">
        <v>50</v>
      </c>
      <c r="B140" t="s">
        <v>50</v>
      </c>
      <c r="C140" t="s">
        <v>280</v>
      </c>
      <c r="D140" t="s">
        <v>288</v>
      </c>
      <c r="E140" t="s">
        <v>289</v>
      </c>
      <c r="F140">
        <v>5</v>
      </c>
      <c r="G140">
        <v>34.15</v>
      </c>
      <c r="H140">
        <v>8</v>
      </c>
      <c r="I140">
        <v>170.75</v>
      </c>
    </row>
    <row r="141" spans="1:9" x14ac:dyDescent="0.25">
      <c r="A141" t="s">
        <v>50</v>
      </c>
      <c r="B141" t="s">
        <v>50</v>
      </c>
      <c r="C141" t="s">
        <v>280</v>
      </c>
      <c r="D141" t="s">
        <v>302</v>
      </c>
      <c r="E141" t="s">
        <v>289</v>
      </c>
      <c r="F141">
        <v>5</v>
      </c>
      <c r="G141">
        <v>18.899999999999999</v>
      </c>
      <c r="H141">
        <v>8</v>
      </c>
      <c r="I141">
        <v>94.5</v>
      </c>
    </row>
    <row r="142" spans="1:9" x14ac:dyDescent="0.25">
      <c r="A142" t="s">
        <v>50</v>
      </c>
      <c r="B142" t="s">
        <v>50</v>
      </c>
      <c r="C142" t="s">
        <v>280</v>
      </c>
      <c r="D142" t="s">
        <v>303</v>
      </c>
      <c r="E142" t="s">
        <v>304</v>
      </c>
      <c r="F142">
        <v>2</v>
      </c>
      <c r="G142">
        <v>75.849999999999994</v>
      </c>
      <c r="H142">
        <v>8</v>
      </c>
      <c r="I142">
        <v>151.69999999999999</v>
      </c>
    </row>
    <row r="143" spans="1:9" x14ac:dyDescent="0.25">
      <c r="A143" t="s">
        <v>50</v>
      </c>
      <c r="B143" t="s">
        <v>50</v>
      </c>
      <c r="C143" t="s">
        <v>280</v>
      </c>
      <c r="D143" t="s">
        <v>305</v>
      </c>
      <c r="E143" t="s">
        <v>289</v>
      </c>
      <c r="F143">
        <v>108</v>
      </c>
      <c r="G143">
        <v>21.83</v>
      </c>
      <c r="H143">
        <v>8</v>
      </c>
      <c r="I143">
        <v>2357.64</v>
      </c>
    </row>
    <row r="144" spans="1:9" x14ac:dyDescent="0.25">
      <c r="A144" t="s">
        <v>50</v>
      </c>
      <c r="B144" t="s">
        <v>50</v>
      </c>
      <c r="C144" t="s">
        <v>280</v>
      </c>
      <c r="D144" t="s">
        <v>306</v>
      </c>
      <c r="E144" t="s">
        <v>284</v>
      </c>
      <c r="F144">
        <v>108</v>
      </c>
      <c r="G144">
        <v>45.69</v>
      </c>
      <c r="H144">
        <v>8</v>
      </c>
      <c r="I144">
        <v>4934.5199999999995</v>
      </c>
    </row>
    <row r="145" spans="1:9" x14ac:dyDescent="0.25">
      <c r="A145" t="s">
        <v>50</v>
      </c>
      <c r="B145" t="s">
        <v>50</v>
      </c>
      <c r="C145" t="s">
        <v>280</v>
      </c>
      <c r="D145" t="s">
        <v>307</v>
      </c>
      <c r="E145" t="s">
        <v>308</v>
      </c>
      <c r="F145">
        <v>13</v>
      </c>
      <c r="G145">
        <v>4.3099999999999996</v>
      </c>
      <c r="H145">
        <v>8</v>
      </c>
      <c r="I145">
        <v>56.029999999999994</v>
      </c>
    </row>
    <row r="146" spans="1:9" x14ac:dyDescent="0.25">
      <c r="A146" t="s">
        <v>50</v>
      </c>
      <c r="B146" t="s">
        <v>50</v>
      </c>
      <c r="C146" t="s">
        <v>280</v>
      </c>
      <c r="D146" t="s">
        <v>309</v>
      </c>
      <c r="E146" t="s">
        <v>308</v>
      </c>
      <c r="F146">
        <v>26</v>
      </c>
      <c r="G146">
        <v>4.6500000000000004</v>
      </c>
      <c r="H146">
        <v>8</v>
      </c>
      <c r="I146">
        <v>120.9</v>
      </c>
    </row>
    <row r="147" spans="1:9" x14ac:dyDescent="0.25">
      <c r="A147" t="s">
        <v>50</v>
      </c>
      <c r="B147" t="s">
        <v>50</v>
      </c>
      <c r="C147" t="s">
        <v>280</v>
      </c>
      <c r="D147" t="s">
        <v>310</v>
      </c>
      <c r="E147" t="s">
        <v>308</v>
      </c>
      <c r="F147">
        <v>13</v>
      </c>
      <c r="G147">
        <v>3.41</v>
      </c>
      <c r="H147">
        <v>8</v>
      </c>
      <c r="I147">
        <v>44.33</v>
      </c>
    </row>
    <row r="148" spans="1:9" x14ac:dyDescent="0.25">
      <c r="A148" t="s">
        <v>50</v>
      </c>
      <c r="B148" t="s">
        <v>50</v>
      </c>
      <c r="C148" t="s">
        <v>280</v>
      </c>
      <c r="D148" t="s">
        <v>122</v>
      </c>
      <c r="E148" t="s">
        <v>287</v>
      </c>
      <c r="F148">
        <v>12</v>
      </c>
      <c r="G148">
        <v>11.68</v>
      </c>
      <c r="H148">
        <v>8</v>
      </c>
      <c r="I148">
        <v>140.16</v>
      </c>
    </row>
    <row r="149" spans="1:9" x14ac:dyDescent="0.25">
      <c r="A149" t="s">
        <v>50</v>
      </c>
      <c r="B149" t="s">
        <v>50</v>
      </c>
      <c r="C149" t="s">
        <v>280</v>
      </c>
      <c r="D149" t="s">
        <v>120</v>
      </c>
      <c r="E149" t="s">
        <v>289</v>
      </c>
      <c r="F149">
        <v>25</v>
      </c>
      <c r="G149">
        <v>1.22</v>
      </c>
      <c r="H149">
        <v>8</v>
      </c>
      <c r="I149">
        <v>30.5</v>
      </c>
    </row>
    <row r="150" spans="1:9" x14ac:dyDescent="0.25">
      <c r="A150" t="s">
        <v>50</v>
      </c>
      <c r="B150" t="s">
        <v>50</v>
      </c>
      <c r="C150" t="s">
        <v>280</v>
      </c>
      <c r="D150" t="s">
        <v>311</v>
      </c>
      <c r="E150" t="s">
        <v>284</v>
      </c>
      <c r="F150">
        <v>12</v>
      </c>
      <c r="G150">
        <v>47.45</v>
      </c>
      <c r="H150">
        <v>8</v>
      </c>
      <c r="I150">
        <v>569.40000000000009</v>
      </c>
    </row>
    <row r="151" spans="1:9" x14ac:dyDescent="0.25">
      <c r="A151" t="s">
        <v>50</v>
      </c>
      <c r="B151" t="s">
        <v>50</v>
      </c>
      <c r="C151" t="s">
        <v>280</v>
      </c>
      <c r="D151" t="s">
        <v>312</v>
      </c>
      <c r="E151" t="s">
        <v>313</v>
      </c>
      <c r="F151">
        <v>2</v>
      </c>
      <c r="G151">
        <v>87.31</v>
      </c>
      <c r="H151">
        <v>8</v>
      </c>
      <c r="I151">
        <v>174.62</v>
      </c>
    </row>
    <row r="152" spans="1:9" x14ac:dyDescent="0.25">
      <c r="A152" t="s">
        <v>50</v>
      </c>
      <c r="B152" t="s">
        <v>50</v>
      </c>
      <c r="C152" t="s">
        <v>280</v>
      </c>
      <c r="D152" t="s">
        <v>314</v>
      </c>
      <c r="E152" t="s">
        <v>315</v>
      </c>
      <c r="F152">
        <v>2</v>
      </c>
      <c r="G152">
        <v>535.62</v>
      </c>
      <c r="H152">
        <v>8</v>
      </c>
      <c r="I152">
        <v>1071.24</v>
      </c>
    </row>
    <row r="153" spans="1:9" x14ac:dyDescent="0.25">
      <c r="A153" t="s">
        <v>50</v>
      </c>
      <c r="B153" t="s">
        <v>50</v>
      </c>
      <c r="C153" t="s">
        <v>280</v>
      </c>
      <c r="D153" t="s">
        <v>316</v>
      </c>
      <c r="E153" t="s">
        <v>284</v>
      </c>
      <c r="F153">
        <v>2</v>
      </c>
      <c r="G153">
        <v>55.75</v>
      </c>
      <c r="H153">
        <v>8</v>
      </c>
      <c r="I153">
        <v>111.5</v>
      </c>
    </row>
    <row r="154" spans="1:9" x14ac:dyDescent="0.25">
      <c r="A154" t="s">
        <v>50</v>
      </c>
      <c r="B154" t="s">
        <v>50</v>
      </c>
      <c r="C154" t="s">
        <v>280</v>
      </c>
      <c r="D154" t="s">
        <v>305</v>
      </c>
      <c r="E154" t="s">
        <v>289</v>
      </c>
      <c r="F154">
        <v>8</v>
      </c>
      <c r="G154">
        <v>21.83</v>
      </c>
      <c r="H154">
        <v>8</v>
      </c>
      <c r="I154">
        <v>174.64</v>
      </c>
    </row>
    <row r="155" spans="1:9" x14ac:dyDescent="0.25">
      <c r="A155" t="s">
        <v>50</v>
      </c>
      <c r="B155" t="s">
        <v>50</v>
      </c>
      <c r="C155" t="s">
        <v>280</v>
      </c>
      <c r="D155" t="s">
        <v>317</v>
      </c>
      <c r="E155" t="s">
        <v>284</v>
      </c>
      <c r="F155">
        <v>8</v>
      </c>
      <c r="G155">
        <v>82.89</v>
      </c>
      <c r="H155">
        <v>8</v>
      </c>
      <c r="I155">
        <v>663.12</v>
      </c>
    </row>
    <row r="156" spans="1:9" x14ac:dyDescent="0.25">
      <c r="A156" t="s">
        <v>50</v>
      </c>
      <c r="B156" t="s">
        <v>50</v>
      </c>
      <c r="C156" t="s">
        <v>280</v>
      </c>
      <c r="D156" t="s">
        <v>305</v>
      </c>
      <c r="E156" t="s">
        <v>289</v>
      </c>
      <c r="F156">
        <v>8</v>
      </c>
      <c r="G156">
        <v>21.83</v>
      </c>
      <c r="H156">
        <v>8</v>
      </c>
      <c r="I156">
        <v>174.64</v>
      </c>
    </row>
    <row r="157" spans="1:9" x14ac:dyDescent="0.25">
      <c r="A157" t="s">
        <v>50</v>
      </c>
      <c r="B157" t="s">
        <v>50</v>
      </c>
      <c r="C157" t="s">
        <v>280</v>
      </c>
      <c r="D157" t="s">
        <v>317</v>
      </c>
      <c r="E157" t="s">
        <v>284</v>
      </c>
      <c r="F157">
        <v>8</v>
      </c>
      <c r="G157">
        <v>82.89</v>
      </c>
      <c r="H157">
        <v>8</v>
      </c>
      <c r="I157">
        <v>663.12</v>
      </c>
    </row>
    <row r="158" spans="1:9" x14ac:dyDescent="0.25">
      <c r="A158" t="s">
        <v>318</v>
      </c>
      <c r="B158">
        <v>8210</v>
      </c>
      <c r="C158" t="s">
        <v>319</v>
      </c>
      <c r="D158" t="s">
        <v>320</v>
      </c>
      <c r="E158" t="s">
        <v>321</v>
      </c>
      <c r="F158">
        <v>1</v>
      </c>
      <c r="G158">
        <v>141.63999999999999</v>
      </c>
      <c r="H158">
        <v>4</v>
      </c>
      <c r="I158">
        <v>141.63999999999999</v>
      </c>
    </row>
    <row r="159" spans="1:9" x14ac:dyDescent="0.25">
      <c r="A159" t="s">
        <v>318</v>
      </c>
      <c r="B159">
        <v>8210</v>
      </c>
      <c r="C159" t="s">
        <v>319</v>
      </c>
      <c r="D159" t="s">
        <v>322</v>
      </c>
      <c r="E159" t="s">
        <v>284</v>
      </c>
      <c r="F159">
        <v>1</v>
      </c>
      <c r="G159">
        <v>0.26</v>
      </c>
      <c r="H159">
        <v>4</v>
      </c>
      <c r="I159">
        <v>0.26</v>
      </c>
    </row>
    <row r="160" spans="1:9" x14ac:dyDescent="0.25">
      <c r="A160" t="s">
        <v>318</v>
      </c>
      <c r="B160">
        <v>8210</v>
      </c>
      <c r="C160" t="s">
        <v>319</v>
      </c>
      <c r="D160" t="s">
        <v>200</v>
      </c>
      <c r="E160" t="s">
        <v>289</v>
      </c>
      <c r="F160">
        <v>8</v>
      </c>
      <c r="G160">
        <v>0.06</v>
      </c>
      <c r="H160">
        <v>4</v>
      </c>
      <c r="I160">
        <v>0.48</v>
      </c>
    </row>
    <row r="161" spans="1:9" x14ac:dyDescent="0.25">
      <c r="A161" t="s">
        <v>318</v>
      </c>
      <c r="B161">
        <v>8210</v>
      </c>
      <c r="C161" t="s">
        <v>319</v>
      </c>
      <c r="D161" t="s">
        <v>323</v>
      </c>
      <c r="E161" t="s">
        <v>284</v>
      </c>
      <c r="F161">
        <v>52</v>
      </c>
      <c r="G161">
        <v>1.25</v>
      </c>
      <c r="H161">
        <v>4</v>
      </c>
      <c r="I161">
        <v>65</v>
      </c>
    </row>
    <row r="162" spans="1:9" x14ac:dyDescent="0.25">
      <c r="A162" t="s">
        <v>318</v>
      </c>
      <c r="B162">
        <v>8210</v>
      </c>
      <c r="C162" t="s">
        <v>319</v>
      </c>
      <c r="D162" t="s">
        <v>324</v>
      </c>
      <c r="E162" t="s">
        <v>289</v>
      </c>
      <c r="F162">
        <v>3</v>
      </c>
      <c r="G162">
        <v>16.48</v>
      </c>
      <c r="H162">
        <v>4</v>
      </c>
      <c r="I162">
        <v>49.44</v>
      </c>
    </row>
    <row r="163" spans="1:9" x14ac:dyDescent="0.25">
      <c r="A163" t="s">
        <v>318</v>
      </c>
      <c r="B163">
        <v>8210</v>
      </c>
      <c r="C163" t="s">
        <v>319</v>
      </c>
      <c r="D163" t="s">
        <v>75</v>
      </c>
      <c r="E163" t="s">
        <v>325</v>
      </c>
      <c r="F163">
        <v>3</v>
      </c>
      <c r="G163">
        <v>0.1</v>
      </c>
      <c r="H163">
        <v>4</v>
      </c>
      <c r="I163">
        <v>0.30000000000000004</v>
      </c>
    </row>
    <row r="164" spans="1:9" x14ac:dyDescent="0.25">
      <c r="A164" t="s">
        <v>318</v>
      </c>
      <c r="B164">
        <v>8210</v>
      </c>
      <c r="C164" t="s">
        <v>319</v>
      </c>
      <c r="D164" t="s">
        <v>326</v>
      </c>
      <c r="E164" t="s">
        <v>284</v>
      </c>
      <c r="F164">
        <v>36</v>
      </c>
      <c r="G164">
        <v>0.36</v>
      </c>
      <c r="H164">
        <v>4</v>
      </c>
      <c r="I164">
        <v>12.959999999999999</v>
      </c>
    </row>
    <row r="165" spans="1:9" x14ac:dyDescent="0.25">
      <c r="A165" t="s">
        <v>318</v>
      </c>
      <c r="B165">
        <v>8210</v>
      </c>
      <c r="C165" t="s">
        <v>319</v>
      </c>
      <c r="D165" t="s">
        <v>326</v>
      </c>
      <c r="E165" t="s">
        <v>327</v>
      </c>
      <c r="F165">
        <v>12</v>
      </c>
      <c r="G165">
        <v>1.5</v>
      </c>
      <c r="H165">
        <v>4</v>
      </c>
      <c r="I165">
        <v>18</v>
      </c>
    </row>
    <row r="166" spans="1:9" x14ac:dyDescent="0.25">
      <c r="A166" t="s">
        <v>318</v>
      </c>
      <c r="B166">
        <v>8210</v>
      </c>
      <c r="C166" t="s">
        <v>319</v>
      </c>
      <c r="D166" t="s">
        <v>328</v>
      </c>
      <c r="E166" t="s">
        <v>329</v>
      </c>
      <c r="F166">
        <v>1</v>
      </c>
      <c r="G166">
        <v>72.209999999999994</v>
      </c>
      <c r="H166">
        <v>4</v>
      </c>
      <c r="I166">
        <v>72.209999999999994</v>
      </c>
    </row>
    <row r="167" spans="1:9" x14ac:dyDescent="0.25">
      <c r="A167" t="s">
        <v>318</v>
      </c>
      <c r="B167">
        <v>8210</v>
      </c>
      <c r="C167" t="s">
        <v>319</v>
      </c>
      <c r="D167" t="s">
        <v>330</v>
      </c>
      <c r="E167" t="s">
        <v>331</v>
      </c>
      <c r="F167">
        <v>2</v>
      </c>
      <c r="G167">
        <v>72.209999999999994</v>
      </c>
      <c r="H167">
        <v>4</v>
      </c>
      <c r="I167">
        <v>144.41999999999999</v>
      </c>
    </row>
    <row r="168" spans="1:9" x14ac:dyDescent="0.25">
      <c r="A168" t="s">
        <v>318</v>
      </c>
      <c r="B168">
        <v>8210</v>
      </c>
      <c r="C168" t="s">
        <v>319</v>
      </c>
      <c r="D168" t="s">
        <v>332</v>
      </c>
      <c r="E168" t="s">
        <v>333</v>
      </c>
      <c r="F168">
        <v>1</v>
      </c>
      <c r="G168">
        <v>72.209999999999994</v>
      </c>
      <c r="H168">
        <v>4</v>
      </c>
      <c r="I168">
        <v>72.209999999999994</v>
      </c>
    </row>
    <row r="169" spans="1:9" x14ac:dyDescent="0.25">
      <c r="A169" t="s">
        <v>334</v>
      </c>
      <c r="B169">
        <v>2320</v>
      </c>
      <c r="C169" t="s">
        <v>335</v>
      </c>
      <c r="D169" t="s">
        <v>62</v>
      </c>
      <c r="E169" t="s">
        <v>336</v>
      </c>
      <c r="F169">
        <v>1</v>
      </c>
      <c r="G169">
        <v>0.27</v>
      </c>
      <c r="H169">
        <v>8</v>
      </c>
      <c r="I169">
        <v>0.27</v>
      </c>
    </row>
    <row r="170" spans="1:9" x14ac:dyDescent="0.25">
      <c r="A170" t="s">
        <v>334</v>
      </c>
      <c r="B170">
        <v>2320</v>
      </c>
      <c r="C170" t="s">
        <v>335</v>
      </c>
      <c r="D170" t="s">
        <v>337</v>
      </c>
      <c r="E170" t="s">
        <v>284</v>
      </c>
      <c r="F170">
        <v>1</v>
      </c>
      <c r="G170">
        <v>0.75</v>
      </c>
      <c r="H170">
        <v>8</v>
      </c>
      <c r="I170">
        <v>0.75</v>
      </c>
    </row>
    <row r="171" spans="1:9" x14ac:dyDescent="0.25">
      <c r="A171" t="s">
        <v>334</v>
      </c>
      <c r="B171">
        <v>2320</v>
      </c>
      <c r="C171" t="s">
        <v>335</v>
      </c>
      <c r="D171" t="s">
        <v>338</v>
      </c>
      <c r="E171" t="s">
        <v>284</v>
      </c>
      <c r="F171">
        <v>1</v>
      </c>
      <c r="G171">
        <v>2.85</v>
      </c>
      <c r="H171">
        <v>8</v>
      </c>
      <c r="I171">
        <v>2.85</v>
      </c>
    </row>
    <row r="172" spans="1:9" x14ac:dyDescent="0.25">
      <c r="A172" t="s">
        <v>334</v>
      </c>
      <c r="B172">
        <v>2320</v>
      </c>
      <c r="C172" t="s">
        <v>335</v>
      </c>
      <c r="D172" t="s">
        <v>156</v>
      </c>
      <c r="E172" t="s">
        <v>289</v>
      </c>
      <c r="F172">
        <v>1</v>
      </c>
      <c r="G172">
        <v>3.42</v>
      </c>
      <c r="H172">
        <v>8</v>
      </c>
      <c r="I172">
        <v>3.42</v>
      </c>
    </row>
    <row r="173" spans="1:9" x14ac:dyDescent="0.25">
      <c r="A173" t="s">
        <v>334</v>
      </c>
      <c r="B173">
        <v>2320</v>
      </c>
      <c r="C173" t="s">
        <v>335</v>
      </c>
      <c r="D173" t="s">
        <v>301</v>
      </c>
      <c r="E173" t="s">
        <v>289</v>
      </c>
      <c r="F173">
        <v>1</v>
      </c>
      <c r="G173">
        <v>36.42</v>
      </c>
      <c r="H173">
        <v>8</v>
      </c>
      <c r="I173">
        <v>36.42</v>
      </c>
    </row>
    <row r="174" spans="1:9" x14ac:dyDescent="0.25">
      <c r="A174" t="s">
        <v>334</v>
      </c>
      <c r="B174">
        <v>2320</v>
      </c>
      <c r="C174" t="s">
        <v>335</v>
      </c>
      <c r="D174" t="s">
        <v>299</v>
      </c>
      <c r="E174" t="s">
        <v>300</v>
      </c>
      <c r="F174">
        <v>1</v>
      </c>
      <c r="G174">
        <v>6.11</v>
      </c>
      <c r="H174">
        <v>8</v>
      </c>
      <c r="I174">
        <v>6.11</v>
      </c>
    </row>
    <row r="175" spans="1:9" x14ac:dyDescent="0.25">
      <c r="A175" t="s">
        <v>334</v>
      </c>
      <c r="B175">
        <v>2320</v>
      </c>
      <c r="C175" t="s">
        <v>335</v>
      </c>
      <c r="D175" t="s">
        <v>298</v>
      </c>
      <c r="E175" t="s">
        <v>284</v>
      </c>
      <c r="F175">
        <v>1</v>
      </c>
      <c r="G175">
        <v>83.8</v>
      </c>
      <c r="H175">
        <v>8</v>
      </c>
      <c r="I175">
        <v>83.8</v>
      </c>
    </row>
    <row r="176" spans="1:9" x14ac:dyDescent="0.25">
      <c r="A176" t="s">
        <v>334</v>
      </c>
      <c r="B176">
        <v>2320</v>
      </c>
      <c r="C176" t="s">
        <v>335</v>
      </c>
      <c r="D176" t="s">
        <v>296</v>
      </c>
      <c r="E176" t="s">
        <v>297</v>
      </c>
      <c r="F176">
        <v>1</v>
      </c>
      <c r="G176">
        <v>48.44</v>
      </c>
      <c r="H176">
        <v>8</v>
      </c>
      <c r="I176">
        <v>48.44</v>
      </c>
    </row>
    <row r="177" spans="1:9" x14ac:dyDescent="0.25">
      <c r="A177" t="s">
        <v>334</v>
      </c>
      <c r="B177">
        <v>2320</v>
      </c>
      <c r="C177" t="s">
        <v>335</v>
      </c>
      <c r="D177" t="s">
        <v>302</v>
      </c>
      <c r="E177" t="s">
        <v>289</v>
      </c>
      <c r="F177">
        <v>1</v>
      </c>
      <c r="G177">
        <v>18.899999999999999</v>
      </c>
      <c r="H177">
        <v>8</v>
      </c>
      <c r="I177">
        <v>18.899999999999999</v>
      </c>
    </row>
    <row r="178" spans="1:9" x14ac:dyDescent="0.25">
      <c r="A178" t="s">
        <v>334</v>
      </c>
      <c r="B178">
        <v>2320</v>
      </c>
      <c r="C178" t="s">
        <v>335</v>
      </c>
      <c r="D178" t="s">
        <v>288</v>
      </c>
      <c r="E178" t="s">
        <v>289</v>
      </c>
      <c r="F178">
        <v>1</v>
      </c>
      <c r="G178">
        <v>34.15</v>
      </c>
      <c r="H178">
        <v>8</v>
      </c>
      <c r="I178">
        <v>34.15</v>
      </c>
    </row>
    <row r="179" spans="1:9" x14ac:dyDescent="0.25">
      <c r="A179" t="s">
        <v>334</v>
      </c>
      <c r="B179">
        <v>2320</v>
      </c>
      <c r="C179" t="s">
        <v>335</v>
      </c>
      <c r="D179" t="s">
        <v>339</v>
      </c>
      <c r="E179" t="s">
        <v>289</v>
      </c>
      <c r="F179">
        <v>1</v>
      </c>
      <c r="G179">
        <v>3.31</v>
      </c>
      <c r="H179">
        <v>8</v>
      </c>
      <c r="I179">
        <v>3.31</v>
      </c>
    </row>
    <row r="180" spans="1:9" x14ac:dyDescent="0.25">
      <c r="A180" t="s">
        <v>334</v>
      </c>
      <c r="B180">
        <v>2320</v>
      </c>
      <c r="C180" t="s">
        <v>335</v>
      </c>
      <c r="D180" t="s">
        <v>285</v>
      </c>
      <c r="E180" t="s">
        <v>284</v>
      </c>
      <c r="F180">
        <v>1</v>
      </c>
      <c r="G180">
        <v>124.22</v>
      </c>
      <c r="H180">
        <v>8</v>
      </c>
      <c r="I180">
        <v>124.22</v>
      </c>
    </row>
    <row r="181" spans="1:9" x14ac:dyDescent="0.25">
      <c r="A181" t="s">
        <v>334</v>
      </c>
      <c r="B181">
        <v>2320</v>
      </c>
      <c r="C181" t="s">
        <v>335</v>
      </c>
      <c r="D181" t="s">
        <v>340</v>
      </c>
      <c r="E181" t="s">
        <v>321</v>
      </c>
      <c r="F181">
        <v>1</v>
      </c>
      <c r="G181">
        <v>1275.69</v>
      </c>
      <c r="H181">
        <v>8</v>
      </c>
      <c r="I181">
        <v>1275.69</v>
      </c>
    </row>
    <row r="182" spans="1:9" x14ac:dyDescent="0.25">
      <c r="A182" t="s">
        <v>334</v>
      </c>
      <c r="B182">
        <v>2320</v>
      </c>
      <c r="C182" t="s">
        <v>335</v>
      </c>
      <c r="D182" t="s">
        <v>341</v>
      </c>
      <c r="E182" t="s">
        <v>342</v>
      </c>
      <c r="F182">
        <v>1</v>
      </c>
      <c r="G182">
        <v>131.5</v>
      </c>
      <c r="H182">
        <v>8</v>
      </c>
      <c r="I182">
        <v>131.5</v>
      </c>
    </row>
    <row r="183" spans="1:9" x14ac:dyDescent="0.25">
      <c r="A183" t="s">
        <v>334</v>
      </c>
      <c r="B183">
        <v>2320</v>
      </c>
      <c r="C183" t="s">
        <v>335</v>
      </c>
      <c r="D183" t="s">
        <v>343</v>
      </c>
      <c r="E183" t="s">
        <v>344</v>
      </c>
      <c r="F183">
        <v>1</v>
      </c>
      <c r="G183">
        <v>600.33000000000004</v>
      </c>
      <c r="H183">
        <v>8</v>
      </c>
      <c r="I183">
        <v>600.33000000000004</v>
      </c>
    </row>
    <row r="184" spans="1:9" x14ac:dyDescent="0.25">
      <c r="A184" t="s">
        <v>334</v>
      </c>
      <c r="B184">
        <v>2320</v>
      </c>
      <c r="C184" t="s">
        <v>335</v>
      </c>
      <c r="D184" t="s">
        <v>345</v>
      </c>
      <c r="E184" t="s">
        <v>346</v>
      </c>
      <c r="F184">
        <v>1</v>
      </c>
      <c r="G184">
        <v>141.58000000000001</v>
      </c>
      <c r="H184">
        <v>8</v>
      </c>
      <c r="I184">
        <v>141.58000000000001</v>
      </c>
    </row>
    <row r="185" spans="1:9" x14ac:dyDescent="0.25">
      <c r="A185" t="s">
        <v>334</v>
      </c>
      <c r="B185">
        <v>2320</v>
      </c>
      <c r="C185" t="s">
        <v>335</v>
      </c>
      <c r="D185" t="s">
        <v>283</v>
      </c>
      <c r="E185" t="s">
        <v>284</v>
      </c>
      <c r="F185">
        <v>1</v>
      </c>
      <c r="G185">
        <v>141.6</v>
      </c>
      <c r="H185">
        <v>8</v>
      </c>
      <c r="I185">
        <v>141.6</v>
      </c>
    </row>
    <row r="186" spans="1:9" x14ac:dyDescent="0.25">
      <c r="A186" t="s">
        <v>334</v>
      </c>
      <c r="B186">
        <v>2320</v>
      </c>
      <c r="C186" t="s">
        <v>335</v>
      </c>
      <c r="D186" t="s">
        <v>286</v>
      </c>
      <c r="E186" t="s">
        <v>287</v>
      </c>
      <c r="F186">
        <v>1</v>
      </c>
      <c r="G186">
        <v>7.56</v>
      </c>
      <c r="H186">
        <v>8</v>
      </c>
      <c r="I186">
        <v>7.56</v>
      </c>
    </row>
    <row r="187" spans="1:9" x14ac:dyDescent="0.25">
      <c r="A187" t="s">
        <v>334</v>
      </c>
      <c r="B187">
        <v>2320</v>
      </c>
      <c r="C187" t="s">
        <v>335</v>
      </c>
      <c r="D187" t="s">
        <v>347</v>
      </c>
      <c r="E187" t="s">
        <v>342</v>
      </c>
      <c r="F187">
        <v>1</v>
      </c>
      <c r="G187">
        <v>125.93</v>
      </c>
      <c r="H187">
        <v>8</v>
      </c>
      <c r="I187">
        <v>125.93</v>
      </c>
    </row>
    <row r="188" spans="1:9" x14ac:dyDescent="0.25">
      <c r="A188" t="s">
        <v>334</v>
      </c>
      <c r="B188">
        <v>2320</v>
      </c>
      <c r="C188" t="s">
        <v>335</v>
      </c>
      <c r="D188" t="s">
        <v>348</v>
      </c>
      <c r="E188" t="s">
        <v>344</v>
      </c>
      <c r="F188">
        <v>1</v>
      </c>
      <c r="G188">
        <v>594.12</v>
      </c>
      <c r="H188">
        <v>8</v>
      </c>
      <c r="I188">
        <v>594.12</v>
      </c>
    </row>
    <row r="189" spans="1:9" x14ac:dyDescent="0.25">
      <c r="A189" t="s">
        <v>334</v>
      </c>
      <c r="B189">
        <v>2320</v>
      </c>
      <c r="C189" t="s">
        <v>335</v>
      </c>
      <c r="D189" t="s">
        <v>349</v>
      </c>
      <c r="E189" t="s">
        <v>346</v>
      </c>
      <c r="F189">
        <v>1</v>
      </c>
      <c r="G189">
        <v>243.72</v>
      </c>
      <c r="H189">
        <v>8</v>
      </c>
      <c r="I189">
        <v>243.72</v>
      </c>
    </row>
    <row r="190" spans="1:9" x14ac:dyDescent="0.25">
      <c r="A190" t="s">
        <v>334</v>
      </c>
      <c r="B190">
        <v>2320</v>
      </c>
      <c r="C190" t="s">
        <v>335</v>
      </c>
      <c r="D190" t="s">
        <v>350</v>
      </c>
      <c r="E190" t="s">
        <v>308</v>
      </c>
      <c r="F190">
        <v>1</v>
      </c>
      <c r="G190">
        <v>9.2100000000000009</v>
      </c>
      <c r="H190">
        <v>8</v>
      </c>
      <c r="I190">
        <v>9.2100000000000009</v>
      </c>
    </row>
    <row r="191" spans="1:9" x14ac:dyDescent="0.25">
      <c r="A191" t="s">
        <v>334</v>
      </c>
      <c r="B191">
        <v>2320</v>
      </c>
      <c r="C191" t="s">
        <v>335</v>
      </c>
      <c r="D191" t="s">
        <v>351</v>
      </c>
      <c r="E191" t="s">
        <v>308</v>
      </c>
      <c r="F191">
        <v>1</v>
      </c>
      <c r="G191">
        <v>9.75</v>
      </c>
      <c r="H191">
        <v>8</v>
      </c>
      <c r="I191">
        <v>9.75</v>
      </c>
    </row>
    <row r="192" spans="1:9" x14ac:dyDescent="0.25">
      <c r="A192" t="s">
        <v>334</v>
      </c>
      <c r="B192">
        <v>2320</v>
      </c>
      <c r="C192" t="s">
        <v>335</v>
      </c>
      <c r="D192" t="s">
        <v>352</v>
      </c>
      <c r="E192" t="s">
        <v>308</v>
      </c>
      <c r="F192">
        <v>1</v>
      </c>
      <c r="G192">
        <v>16.88</v>
      </c>
      <c r="H192">
        <v>8</v>
      </c>
      <c r="I192">
        <v>16.88</v>
      </c>
    </row>
    <row r="193" spans="1:9" x14ac:dyDescent="0.25">
      <c r="A193" t="s">
        <v>334</v>
      </c>
      <c r="B193">
        <v>2320</v>
      </c>
      <c r="C193" t="s">
        <v>335</v>
      </c>
      <c r="D193" t="s">
        <v>353</v>
      </c>
      <c r="E193" t="s">
        <v>321</v>
      </c>
      <c r="F193">
        <v>1</v>
      </c>
      <c r="G193">
        <v>1278.8599999999999</v>
      </c>
      <c r="H193">
        <v>8</v>
      </c>
      <c r="I193">
        <v>1278.8599999999999</v>
      </c>
    </row>
    <row r="194" spans="1:9" x14ac:dyDescent="0.25">
      <c r="A194" t="s">
        <v>334</v>
      </c>
      <c r="B194">
        <v>2320</v>
      </c>
      <c r="C194" t="s">
        <v>335</v>
      </c>
      <c r="D194" t="s">
        <v>354</v>
      </c>
      <c r="E194" t="s">
        <v>355</v>
      </c>
      <c r="F194">
        <v>1</v>
      </c>
      <c r="G194">
        <v>240.6</v>
      </c>
      <c r="H194">
        <v>8</v>
      </c>
      <c r="I194">
        <v>240.6</v>
      </c>
    </row>
    <row r="195" spans="1:9" x14ac:dyDescent="0.25">
      <c r="A195" t="s">
        <v>334</v>
      </c>
      <c r="B195">
        <v>2320</v>
      </c>
      <c r="C195" t="s">
        <v>335</v>
      </c>
      <c r="D195" t="s">
        <v>295</v>
      </c>
      <c r="E195" t="s">
        <v>284</v>
      </c>
      <c r="F195">
        <v>1</v>
      </c>
      <c r="G195">
        <v>12.94</v>
      </c>
      <c r="H195">
        <v>8</v>
      </c>
      <c r="I195">
        <v>12.94</v>
      </c>
    </row>
    <row r="196" spans="1:9" x14ac:dyDescent="0.25">
      <c r="A196" t="s">
        <v>334</v>
      </c>
      <c r="B196">
        <v>2320</v>
      </c>
      <c r="C196" t="s">
        <v>335</v>
      </c>
      <c r="D196" t="s">
        <v>294</v>
      </c>
      <c r="E196" t="s">
        <v>289</v>
      </c>
      <c r="F196">
        <v>1</v>
      </c>
      <c r="G196">
        <v>84.71</v>
      </c>
      <c r="H196">
        <v>8</v>
      </c>
      <c r="I196">
        <v>84.71</v>
      </c>
    </row>
    <row r="197" spans="1:9" x14ac:dyDescent="0.25">
      <c r="A197" t="s">
        <v>334</v>
      </c>
      <c r="B197">
        <v>2320</v>
      </c>
      <c r="C197" t="s">
        <v>335</v>
      </c>
      <c r="D197" t="s">
        <v>292</v>
      </c>
      <c r="E197" t="s">
        <v>293</v>
      </c>
      <c r="F197">
        <v>1</v>
      </c>
      <c r="G197">
        <v>36.1</v>
      </c>
      <c r="H197">
        <v>8</v>
      </c>
      <c r="I197">
        <v>36.1</v>
      </c>
    </row>
    <row r="198" spans="1:9" x14ac:dyDescent="0.25">
      <c r="A198" t="s">
        <v>334</v>
      </c>
      <c r="B198">
        <v>2320</v>
      </c>
      <c r="C198" t="s">
        <v>335</v>
      </c>
      <c r="D198" t="s">
        <v>290</v>
      </c>
      <c r="E198" t="s">
        <v>291</v>
      </c>
      <c r="F198">
        <v>1</v>
      </c>
      <c r="G198">
        <v>30.62</v>
      </c>
      <c r="H198">
        <v>8</v>
      </c>
      <c r="I198">
        <v>30.62</v>
      </c>
    </row>
    <row r="199" spans="1:9" x14ac:dyDescent="0.25">
      <c r="A199" t="s">
        <v>334</v>
      </c>
      <c r="B199">
        <v>2320</v>
      </c>
      <c r="C199" t="s">
        <v>335</v>
      </c>
      <c r="D199" t="s">
        <v>356</v>
      </c>
      <c r="E199" t="s">
        <v>293</v>
      </c>
      <c r="F199">
        <v>1</v>
      </c>
      <c r="G199">
        <v>13.16</v>
      </c>
      <c r="H199">
        <v>8</v>
      </c>
      <c r="I199">
        <v>13.16</v>
      </c>
    </row>
    <row r="200" spans="1:9" x14ac:dyDescent="0.25">
      <c r="A200" t="s">
        <v>334</v>
      </c>
      <c r="B200">
        <v>2320</v>
      </c>
      <c r="C200" t="s">
        <v>335</v>
      </c>
      <c r="D200" t="s">
        <v>357</v>
      </c>
      <c r="E200" t="s">
        <v>293</v>
      </c>
      <c r="F200">
        <v>1</v>
      </c>
      <c r="G200">
        <v>10.63</v>
      </c>
      <c r="H200">
        <v>8</v>
      </c>
      <c r="I200">
        <v>10.63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Structural</vt:lpstr>
      <vt:lpstr>Rules &amp; Rate</vt:lpstr>
      <vt:lpstr>Labour</vt:lpstr>
      <vt:lpstr>Component $</vt:lpstr>
      <vt:lpstr>Kits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Ibanez, Ivan</dc:creator>
  <cp:lastModifiedBy>Ibanez, Ivan</cp:lastModifiedBy>
  <dcterms:created xsi:type="dcterms:W3CDTF">2026-04-27T14:26:40Z</dcterms:created>
  <dcterms:modified xsi:type="dcterms:W3CDTF">2026-04-28T22:44:05Z</dcterms:modified>
</cp:coreProperties>
</file>